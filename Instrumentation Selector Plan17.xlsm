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R:\TRANSFER\Tevis Gehr\Working Files\‌Instrumentation Selector Tool\"/>
    </mc:Choice>
  </mc:AlternateContent>
  <bookViews>
    <workbookView xWindow="0" yWindow="0" windowWidth="11970" windowHeight="5970" activeTab="1"/>
  </bookViews>
  <sheets>
    <sheet name="TODO-Priorities" sheetId="9" r:id="rId1"/>
    <sheet name="Item Masters to Create" sheetId="26" r:id="rId2"/>
    <sheet name="Mounting Meeting 11-23-16" sheetId="24" r:id="rId3"/>
    <sheet name="Mounting Standards Table" sheetId="25" r:id="rId4"/>
    <sheet name="Manifold Valves" sheetId="10" r:id="rId5"/>
    <sheet name="Updating instructions" sheetId="19" r:id="rId6"/>
    <sheet name="PT PNs" sheetId="23" r:id="rId7"/>
    <sheet name="PT Help" sheetId="20" r:id="rId8"/>
    <sheet name="DPT Help" sheetId="21" r:id="rId9"/>
    <sheet name="TT Data Updates(610) 11-4-16" sheetId="18" r:id="rId10"/>
    <sheet name="10-20-16 MTG" sheetId="16" r:id="rId11"/>
    <sheet name="Yokogawa Pressure Transmitters" sheetId="1" r:id="rId12"/>
    <sheet name="PT Quotes" sheetId="13" r:id="rId13"/>
    <sheet name="DPT Quotes" sheetId="14" r:id="rId14"/>
    <sheet name="TT Quotes" sheetId="15" r:id="rId15"/>
    <sheet name="Applications" sheetId="12" r:id="rId16"/>
    <sheet name="Counts" sheetId="7" r:id="rId17"/>
    <sheet name="All Yokogawa Transmitters" sheetId="5" r:id="rId18"/>
    <sheet name="Notes" sheetId="2" r:id="rId19"/>
    <sheet name="Pressure Transmitter" sheetId="3" r:id="rId20"/>
    <sheet name="Temperature Transmitter" sheetId="8" r:id="rId21"/>
    <sheet name="Temperature Transmitter Input" sheetId="11" r:id="rId22"/>
    <sheet name="Pressure Transmitter Input" sheetId="6" r:id="rId23"/>
    <sheet name="Differential Pressure Transmit" sheetId="4" r:id="rId24"/>
  </sheets>
  <definedNames>
    <definedName name="_xlnm._FilterDatabase" localSheetId="17" hidden="1">'All Yokogawa Transmitters'!$A$1:$F$187</definedName>
    <definedName name="_xlnm._FilterDatabase" localSheetId="11" hidden="1">'Yokogawa Pressure Transmitters'!$A$1:$XFB$105</definedName>
  </definedNames>
  <calcPr calcId="152511"/>
  <pivotCaches>
    <pivotCache cacheId="0" r:id="rId25"/>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4" i="26" l="1"/>
  <c r="G122" i="9" l="1"/>
  <c r="I118" i="9"/>
  <c r="B17" i="26" l="1"/>
  <c r="H9" i="24" l="1"/>
  <c r="D23" i="23" l="1"/>
  <c r="C23" i="23"/>
</calcChain>
</file>

<file path=xl/comments1.xml><?xml version="1.0" encoding="utf-8"?>
<comments xmlns="http://schemas.openxmlformats.org/spreadsheetml/2006/main">
  <authors>
    <author>Tevis Gehr</author>
  </authors>
  <commentList>
    <comment ref="AB78" authorId="0" shapeId="0">
      <text>
        <r>
          <rPr>
            <b/>
            <sz val="9"/>
            <color indexed="81"/>
            <rFont val="Tahoma"/>
            <family val="2"/>
          </rPr>
          <t>Tevis Gehr:</t>
        </r>
        <r>
          <rPr>
            <sz val="9"/>
            <color indexed="81"/>
            <rFont val="Tahoma"/>
            <family val="2"/>
          </rPr>
          <t xml:space="preserve">
This is a Parker manifold</t>
        </r>
      </text>
    </comment>
    <comment ref="AB79" authorId="0" shapeId="0">
      <text>
        <r>
          <rPr>
            <b/>
            <sz val="9"/>
            <color indexed="81"/>
            <rFont val="Tahoma"/>
            <family val="2"/>
          </rPr>
          <t>Tevis Gehr:</t>
        </r>
        <r>
          <rPr>
            <sz val="9"/>
            <color indexed="81"/>
            <rFont val="Tahoma"/>
            <family val="2"/>
          </rPr>
          <t xml:space="preserve">
This is a Parker manifold</t>
        </r>
      </text>
    </comment>
  </commentList>
</comments>
</file>

<file path=xl/sharedStrings.xml><?xml version="1.0" encoding="utf-8"?>
<sst xmlns="http://schemas.openxmlformats.org/spreadsheetml/2006/main" count="4122" uniqueCount="1304">
  <si>
    <t>Item Number</t>
  </si>
  <si>
    <t>Description</t>
  </si>
  <si>
    <t>Description 2</t>
  </si>
  <si>
    <t>93-385</t>
  </si>
  <si>
    <t>TRANSMITTER,PRESSURE,YOKOGAWA,</t>
  </si>
  <si>
    <t>EJA530A-EB</t>
  </si>
  <si>
    <t>77-474</t>
  </si>
  <si>
    <t>TRANSMTR, PRESSURE, YOKOGAWA</t>
  </si>
  <si>
    <t>EJA530A-FBS4N-02DF/SU1/X1/LC1</t>
  </si>
  <si>
    <t>77-475</t>
  </si>
  <si>
    <t>EJA530A-EAS4N-02EF/SU1/X1</t>
  </si>
  <si>
    <t>77-476</t>
  </si>
  <si>
    <t>TRANSMTR, TEMP, YOKOGAWA</t>
  </si>
  <si>
    <t>YTA320-FA2DB/X1/LC1/SU1</t>
  </si>
  <si>
    <t>77-477</t>
  </si>
  <si>
    <t>TRANSMTR, TEMP, YOKOGAWA, HART</t>
  </si>
  <si>
    <t>YTA320-EA2DN/X1/SU1</t>
  </si>
  <si>
    <t>77-478</t>
  </si>
  <si>
    <t>TRANSMTR, DP YOKOGAWA</t>
  </si>
  <si>
    <t>EJA110A-FHS4B-92DB/SU1/X1/LC1</t>
  </si>
  <si>
    <t>67-1169</t>
  </si>
  <si>
    <t>TRANSMITTER,PRESS,YOKOGAWA,PT</t>
  </si>
  <si>
    <t>1.4-29PSIG,INTRINSICALLY SAFE</t>
  </si>
  <si>
    <t>67-1170</t>
  </si>
  <si>
    <t>TRANSMITTER,PRESS,YOKOGAWA</t>
  </si>
  <si>
    <t>14.5-290PSIG,INTRINSICALLY SAF</t>
  </si>
  <si>
    <t>67-1339</t>
  </si>
  <si>
    <t>93-512</t>
  </si>
  <si>
    <t>TRANSMITTER,PRESSURE,YOKOGAWA</t>
  </si>
  <si>
    <t>DIRECT MOUNT,1/2"NPT</t>
  </si>
  <si>
    <t>93-525</t>
  </si>
  <si>
    <t>93-528</t>
  </si>
  <si>
    <t>EJA430A-EAS4A-82E­B/KS2/D4</t>
  </si>
  <si>
    <t>77-744</t>
  </si>
  <si>
    <t>TRANSMITTER,TEMP,YOKOGAWA</t>
  </si>
  <si>
    <t>YTA320-FA2DB/A/D2/KF2/LC1</t>
  </si>
  <si>
    <t>77-745</t>
  </si>
  <si>
    <t>YTA110-EA2DB/A/D2/KU2</t>
  </si>
  <si>
    <t>77-746</t>
  </si>
  <si>
    <t>EJX430A-EAS5GB17EM/KF21/A/D3</t>
  </si>
  <si>
    <t>77-747</t>
  </si>
  <si>
    <t>EJX430A-FAS5GB17DM/KF21/A/D3/E</t>
  </si>
  <si>
    <t>77-748</t>
  </si>
  <si>
    <t>TRANSMITTER,DIFFPRESS,YOKOGAWA</t>
  </si>
  <si>
    <t>EJX110A-FHS5GB17DM/KF21/A/D3/E</t>
  </si>
  <si>
    <t>77-749</t>
  </si>
  <si>
    <t>EJX430A-EHS5GB17EM/KF21/A/D3</t>
  </si>
  <si>
    <t>77-750</t>
  </si>
  <si>
    <t>EJX110A-FVS5GB17DM/KF21/A/D3/L</t>
  </si>
  <si>
    <t>77-751</t>
  </si>
  <si>
    <t>EJX110A-EVS5GB17EM/KF21/A/D3</t>
  </si>
  <si>
    <t>77-752</t>
  </si>
  <si>
    <t>EJX110A-FMS5GB17DM/KF21/A/D4/E</t>
  </si>
  <si>
    <t>77-753</t>
  </si>
  <si>
    <t>EJX110A-FLS5GB17DM/KF21/A/D4/E</t>
  </si>
  <si>
    <t>77-754</t>
  </si>
  <si>
    <t>EJX110A-ELS5GB17EM/KF21/A/D4</t>
  </si>
  <si>
    <t>TCC1455963-01</t>
  </si>
  <si>
    <t>THERMOCOUPLE,TYPE K,YOKOGAWA</t>
  </si>
  <si>
    <t>TSE100-KKE5A3A100TF6A06/WE04/A</t>
  </si>
  <si>
    <t>TCC1455963-02</t>
  </si>
  <si>
    <t>TSE100-KKE5A3A070TF6A06/WE04/A</t>
  </si>
  <si>
    <t>77-768</t>
  </si>
  <si>
    <t>EJX430A-FHS5GB17DM/KF21/A/D3/E</t>
  </si>
  <si>
    <t>77-769</t>
  </si>
  <si>
    <t>93-565</t>
  </si>
  <si>
    <t>EJA430A-FAS4A-92DB/KF25/D4/N4</t>
  </si>
  <si>
    <t>93-567</t>
  </si>
  <si>
    <t>PRESSURE TRANSMITTER, YOKOGAWA</t>
  </si>
  <si>
    <t>EJA460A-EAS4A-92EB/KU2/D4/N4</t>
  </si>
  <si>
    <t>93-569</t>
  </si>
  <si>
    <t>EJA430A-EAS4A-92EB/KF2/D4/N4/M</t>
  </si>
  <si>
    <t>67-2135</t>
  </si>
  <si>
    <t>ELEC,TRANS,PRESS,YOKOGAWA</t>
  </si>
  <si>
    <t>EJA530A-EBS4N-02EF/KU2/D4</t>
  </si>
  <si>
    <t>67-2136</t>
  </si>
  <si>
    <t>ELEC,TRANS, DIFF, YOKOGAWA</t>
  </si>
  <si>
    <t>EJA110A-EHS4B-92EB/KU2/D4</t>
  </si>
  <si>
    <t>67-2137</t>
  </si>
  <si>
    <t>ELEC,TRANS,TEMP,YOKOGAWA</t>
  </si>
  <si>
    <t>YTA110-EA2DB/KU2/D2</t>
  </si>
  <si>
    <t>93-572</t>
  </si>
  <si>
    <t>EJA430A-EAS4A-82EB/KF2/D4/N4</t>
  </si>
  <si>
    <t>93-581</t>
  </si>
  <si>
    <t>TRANSMITTER,PRESSURE, YOKOGAWA</t>
  </si>
  <si>
    <t>EJA430A-EAS4A-92DB-KF2-D4-M11</t>
  </si>
  <si>
    <t>93-601</t>
  </si>
  <si>
    <t>TRANSMITER,PRESS,YOKOGAWA</t>
  </si>
  <si>
    <t>CENELECATEX,INMETRO,BRAZIL</t>
  </si>
  <si>
    <t>77-930</t>
  </si>
  <si>
    <t>YTA320,HART,INMETRO</t>
  </si>
  <si>
    <t>93-605</t>
  </si>
  <si>
    <t>EJA430A-EAS4B-82DB-KF2-D4</t>
  </si>
  <si>
    <t>93-609</t>
  </si>
  <si>
    <t>EJA530A-FBS4N-02EF-KU2-D4-N4</t>
  </si>
  <si>
    <t>93-610</t>
  </si>
  <si>
    <t>HART PROTOCOL,STAINLESS STEEL</t>
  </si>
  <si>
    <t>77-939</t>
  </si>
  <si>
    <t>93-614</t>
  </si>
  <si>
    <t>EJA530A-EAS7N-02NF/FF1/A/D1</t>
  </si>
  <si>
    <t>77-950</t>
  </si>
  <si>
    <t>93-618</t>
  </si>
  <si>
    <t>TRANS,DIFF PRESS, YOKOGAWA</t>
  </si>
  <si>
    <t>JS02315</t>
  </si>
  <si>
    <t>PRESS. TRANS, YOKOGAWA, EJA530</t>
  </si>
  <si>
    <t>4-20MA,HART,316SS,SEE NOTES</t>
  </si>
  <si>
    <t>JS02319</t>
  </si>
  <si>
    <t>FOUNDATION FIELDBUS,SEE NOTES</t>
  </si>
  <si>
    <t>93-624</t>
  </si>
  <si>
    <t>TRANS,YOKOGAWA,HART,CCOE CERT</t>
  </si>
  <si>
    <t>EJA530A-EBS4N-02EN/KU2/D4/M15</t>
  </si>
  <si>
    <t>93-627</t>
  </si>
  <si>
    <t>EJA530A-FBS4N-02DF/KU2/D4/N4</t>
  </si>
  <si>
    <t>93-629</t>
  </si>
  <si>
    <t>EJA430A,INDIA CCOE CERT</t>
  </si>
  <si>
    <t>77-1051</t>
  </si>
  <si>
    <t>TRANSMITTER,TEMP.,YOKOGAWA</t>
  </si>
  <si>
    <t>YTA110,INDIA CCOE CERT.</t>
  </si>
  <si>
    <t>93-644</t>
  </si>
  <si>
    <t>EJA430AFAS4A92DBKS25-INMETRO</t>
  </si>
  <si>
    <t>77-1035</t>
  </si>
  <si>
    <t>TRANSMITTER,TEMP, YOKOGAWA</t>
  </si>
  <si>
    <t>YTA320FA2DBKS25D2LC2-INMETRO</t>
  </si>
  <si>
    <t>93-645</t>
  </si>
  <si>
    <t>TRANSMITTER,YOKOGAWA DIFF PRES</t>
  </si>
  <si>
    <t>93-646</t>
  </si>
  <si>
    <t>TRANSMITTER,YOKOGAWA PRESSURE</t>
  </si>
  <si>
    <t>EJA530-EAS4N0CDF/SU2/D3/E1</t>
  </si>
  <si>
    <t>93-647</t>
  </si>
  <si>
    <t>TRANSMITTER,YOKOGAWA TEMP</t>
  </si>
  <si>
    <t>YTA110-EA2DB/SU2/D2/E1</t>
  </si>
  <si>
    <t>93-649</t>
  </si>
  <si>
    <t>EJA530A-EBS4N-0CDF/KU21/D3/E1</t>
  </si>
  <si>
    <t>93-661</t>
  </si>
  <si>
    <t>EJA530A-EBS4N-02EF/KU21/D4/M15</t>
  </si>
  <si>
    <t>JS02432</t>
  </si>
  <si>
    <t>77-1226</t>
  </si>
  <si>
    <t>TRANS,PRESS,YOKOGAWA,EJX530</t>
  </si>
  <si>
    <t>EJX530A-FBS4N-012DL/KN26/D3/N4</t>
  </si>
  <si>
    <t>JS02456</t>
  </si>
  <si>
    <t>FOUND.FIELDBUS,316SS,SEE NOTES</t>
  </si>
  <si>
    <t>93-684</t>
  </si>
  <si>
    <t>EJX530A, W/CCOE, 4-20HART</t>
  </si>
  <si>
    <t>67-1588</t>
  </si>
  <si>
    <t>ELEC,TRANS,FLOW,YOKOGAWA</t>
  </si>
  <si>
    <t>77-1289</t>
  </si>
  <si>
    <t>TRANS,TEMP,YOKOGAWA,INMETRO</t>
  </si>
  <si>
    <t>YTA110-EA2DB/KU2/D2/N4/M1262AF</t>
  </si>
  <si>
    <t>77-1290</t>
  </si>
  <si>
    <t>TRANS,PRESS,YOKOGAWA,INMETRO</t>
  </si>
  <si>
    <t>EJA430A-EAS4B-92EB/KU22/D4</t>
  </si>
  <si>
    <t>93-702</t>
  </si>
  <si>
    <t>FOUNDATION FIELDBUS,PSI</t>
  </si>
  <si>
    <t>77-1404</t>
  </si>
  <si>
    <t>ELEC,TRANS,PRESSURE,YOKOGAWA</t>
  </si>
  <si>
    <t>EJX530A-EAS4N-012DN/KU22/D4</t>
  </si>
  <si>
    <t>77-1405</t>
  </si>
  <si>
    <t>ELEC,TRANS,DIFF PRESS,YOKOGAWA</t>
  </si>
  <si>
    <t>EJX110A-ELS4G-912DN/KU22/D4</t>
  </si>
  <si>
    <t>67-0001</t>
  </si>
  <si>
    <t>ELEC,TRANSMITTER,YOKOGAWA,PRES</t>
  </si>
  <si>
    <t>EJA530E-FBS4N-012EL/FF1/D1/N4</t>
  </si>
  <si>
    <t>67-0002</t>
  </si>
  <si>
    <t>ELEC,TRANSMITTER,YOKOGAWA,TEMP</t>
  </si>
  <si>
    <t>YTA310-FA2DB/FF1/N4/D2</t>
  </si>
  <si>
    <t>67-0003</t>
  </si>
  <si>
    <t>ELEC,TRANSMITTER,YOKOGAWA,RTD</t>
  </si>
  <si>
    <t>E-4T-PX1254X-ST4316-1T-MR</t>
  </si>
  <si>
    <t>67-0004</t>
  </si>
  <si>
    <t>EJA530E-FAS4N-012EL/FF1/D1/N4</t>
  </si>
  <si>
    <t>67-0005</t>
  </si>
  <si>
    <t>ELEC,TRANSMITTER,YOKOGAWA,DP</t>
  </si>
  <si>
    <t>EJA110E-FHS4G-912DD/FF1/N4</t>
  </si>
  <si>
    <t>67-0006</t>
  </si>
  <si>
    <t>TBD</t>
  </si>
  <si>
    <t>67-0007</t>
  </si>
  <si>
    <t>77-1512</t>
  </si>
  <si>
    <t>EJX530A-FCS4N-019DL/FU1/D1</t>
  </si>
  <si>
    <t>93-747</t>
  </si>
  <si>
    <t>EJA530A-FBS4N-02DN/FS15/D1</t>
  </si>
  <si>
    <t>93-755</t>
  </si>
  <si>
    <t>TRANSMITTER, PRESSURE,YOKOGAWA</t>
  </si>
  <si>
    <t>EJX530A-FBS7N-0122DN/KF2/D3</t>
  </si>
  <si>
    <t>67-2335</t>
  </si>
  <si>
    <t>67-2336</t>
  </si>
  <si>
    <t>ELEC,TRANS,DIFFP,YOKOGAWA</t>
  </si>
  <si>
    <t>67-2337</t>
  </si>
  <si>
    <t>67-2342</t>
  </si>
  <si>
    <t>JS02563</t>
  </si>
  <si>
    <t>PRESS. TRANS, YOKOGAWA, EJX530</t>
  </si>
  <si>
    <t>4-20MA,316SS,SEE NOTES</t>
  </si>
  <si>
    <t>93-761</t>
  </si>
  <si>
    <t>TRANSMITTER,YOKOGAWA,HART</t>
  </si>
  <si>
    <t>EJX530A-ECS4N-012DL/KU22/X2/D4</t>
  </si>
  <si>
    <t>93-762</t>
  </si>
  <si>
    <t>TRANSMITTER,YOKOGAWA,TEMP</t>
  </si>
  <si>
    <t>YTA110-EA2DB/KU2/X1/D2</t>
  </si>
  <si>
    <t>52628</t>
  </si>
  <si>
    <t>PRESS TRANSMITTER YOKOGAWA</t>
  </si>
  <si>
    <t>SEE NOTES</t>
  </si>
  <si>
    <t>77-1630</t>
  </si>
  <si>
    <t>FF,EJA430EFAS5G92DDJKS26AD3</t>
  </si>
  <si>
    <t>77-1632</t>
  </si>
  <si>
    <t>TRANMITTER,TEMP,YOKOGAWA,</t>
  </si>
  <si>
    <t>FF,HSG 316SST,YTA320FA4DB</t>
  </si>
  <si>
    <t>67-2397</t>
  </si>
  <si>
    <t>TRANSMITTER, PRESS, YOKOGAWA</t>
  </si>
  <si>
    <t>EJA530E-JCS4N-01CDL/FF1/N4</t>
  </si>
  <si>
    <t>67-2398</t>
  </si>
  <si>
    <t>TRANSMITTER, TEMP, YOKOGAWA</t>
  </si>
  <si>
    <t>YTA110-EA2DJ/FF1/D2/N4</t>
  </si>
  <si>
    <t>67-3400</t>
  </si>
  <si>
    <t>67-3401</t>
  </si>
  <si>
    <t>EJA530E-JBS4N-01CDL/FF1/N4</t>
  </si>
  <si>
    <t>67-3402</t>
  </si>
  <si>
    <t>EJA530A-EBS4N-0CDL/FF1N4</t>
  </si>
  <si>
    <t>93-798</t>
  </si>
  <si>
    <t>EJA530E-JAS4N-02DDN/KU22/D4</t>
  </si>
  <si>
    <t>67-3403</t>
  </si>
  <si>
    <t>EJA530E-JAS7-N-012DN/FF1D1</t>
  </si>
  <si>
    <t>67-3404</t>
  </si>
  <si>
    <t>EJA530E-JBS7-N-012DN/FF1D1</t>
  </si>
  <si>
    <t>67-3405</t>
  </si>
  <si>
    <t>EJA530E-JCS7-N-012DN/FF1D1</t>
  </si>
  <si>
    <t>67-2400</t>
  </si>
  <si>
    <t>YTA110-EA2DN/D2FF1</t>
  </si>
  <si>
    <t>67-2401</t>
  </si>
  <si>
    <t>67-2402</t>
  </si>
  <si>
    <t>RTD THERMOWELL ASSY, YOKOGAWA</t>
  </si>
  <si>
    <t>TSE300-L10A5AN045RT303</t>
  </si>
  <si>
    <t>67-2403</t>
  </si>
  <si>
    <t>RTD THERMOWELL ASSY,YOKOGAWA</t>
  </si>
  <si>
    <t>TSE300-L10A5AN045RW303</t>
  </si>
  <si>
    <t>77-1674</t>
  </si>
  <si>
    <t>YTA320-FA4DB/KS25/A/E1/LC2</t>
  </si>
  <si>
    <t>77-1675</t>
  </si>
  <si>
    <t>EJA430E-FAS5G-92DDJKS26AD3N4</t>
  </si>
  <si>
    <t>93-804</t>
  </si>
  <si>
    <t>EJX530A-JCS7N-012EL/FU1/D1</t>
  </si>
  <si>
    <t>77-1703</t>
  </si>
  <si>
    <t>TRANSMITTER,TEMP,YOKOGAWA,</t>
  </si>
  <si>
    <t>YTA320,</t>
  </si>
  <si>
    <t>67-2423</t>
  </si>
  <si>
    <t>EJA530E-JBS7N-03CDL/FF1/D4</t>
  </si>
  <si>
    <t>67-2424</t>
  </si>
  <si>
    <t>EJA530E-JCS7N-03CDL/FF1/D4</t>
  </si>
  <si>
    <t>67-2425</t>
  </si>
  <si>
    <t>EJA530E-JDS7N-03CDL/FF1/D4</t>
  </si>
  <si>
    <t>67-2422</t>
  </si>
  <si>
    <t>EJA530E-JAS7N-03CDL/FF1/D4</t>
  </si>
  <si>
    <t>67-2426</t>
  </si>
  <si>
    <t>67-1742</t>
  </si>
  <si>
    <t>TRANS,PRESS,YOKOGAWA</t>
  </si>
  <si>
    <t>EJX530A-FBS4N-012DL/KF22/D4/M</t>
  </si>
  <si>
    <t>67-1743</t>
  </si>
  <si>
    <t>TRANS,DIFF PRESS,YOKOGAWA</t>
  </si>
  <si>
    <t>EJA110E-FHS4G-812DJ/KF22/D4</t>
  </si>
  <si>
    <t>67-1744</t>
  </si>
  <si>
    <t>TRANS,TEMP,YOKOGAWA</t>
  </si>
  <si>
    <t>YTA320-FA2DB/KF2/D2</t>
  </si>
  <si>
    <t>67-1750</t>
  </si>
  <si>
    <t>EJX530BLCS4N07JDFKS27D1</t>
  </si>
  <si>
    <t>67-2470</t>
  </si>
  <si>
    <t>XMITTER,YOKOGAWA,PRESSURE</t>
  </si>
  <si>
    <t>EJA430A-FAS#4B-82DKKS25HCD3</t>
  </si>
  <si>
    <t>67-2471</t>
  </si>
  <si>
    <t>XMITTER,YOKOGAWA,TEMP</t>
  </si>
  <si>
    <t>YTA310-FA2DJHCKU2</t>
  </si>
  <si>
    <t>67-2472</t>
  </si>
  <si>
    <t>EJA430A-FAS#4B-82DKKS25HCD1</t>
  </si>
  <si>
    <t>67-2473</t>
  </si>
  <si>
    <t>YTA310-FA2DJHCD2KU2</t>
  </si>
  <si>
    <t>67-1755</t>
  </si>
  <si>
    <t>EJX530AJBS4N012DLKU22D4M15</t>
  </si>
  <si>
    <t>67-1756</t>
  </si>
  <si>
    <t>EJX530AJBS4N012DLKU22D4M15NACE</t>
  </si>
  <si>
    <t>67-1757</t>
  </si>
  <si>
    <t>EJX530AFBS4N012DLKU22D4M15NACE</t>
  </si>
  <si>
    <t>67-1758</t>
  </si>
  <si>
    <t>EJA110EFHS4G812DJKU22D4M11NACE</t>
  </si>
  <si>
    <t>67-2495</t>
  </si>
  <si>
    <t>TRANSMITTER,PRESS,YOKOGAWAKNPC</t>
  </si>
  <si>
    <t>EJX430A-FAS4G-914DB/KS26/D4/M1</t>
  </si>
  <si>
    <t>67-2496</t>
  </si>
  <si>
    <t>EJX430A-FAS4G-914DB/KS26/D3/M1</t>
  </si>
  <si>
    <t>67-2497</t>
  </si>
  <si>
    <t>EJX430A-JAS4G-914DB/KS21/D4/M1</t>
  </si>
  <si>
    <t>67-2498</t>
  </si>
  <si>
    <t>EJX430A-JAS4G-914DB/KS21/D3/M1</t>
  </si>
  <si>
    <t>67-2499</t>
  </si>
  <si>
    <t>FTC2501594-1A</t>
  </si>
  <si>
    <t>TRANSMITTER,FLOW,YOKOGAWA,KNPC</t>
  </si>
  <si>
    <t>EJX110A-JLS4G-914DB/KS21/D3/M1</t>
  </si>
  <si>
    <t>FTC2501594-1B</t>
  </si>
  <si>
    <t>FTC2501594-2A</t>
  </si>
  <si>
    <t>FTC2501594-2B</t>
  </si>
  <si>
    <t>67-2597</t>
  </si>
  <si>
    <t>ELEC,TRANSMITTER,FLOW,YOKOGAWA</t>
  </si>
  <si>
    <t>EJX110A-FFS4G-914DB/KS26/D3/M1</t>
  </si>
  <si>
    <t>67-2598</t>
  </si>
  <si>
    <t>ELEC,TRANSMITTER,DP,YOKOGAWA</t>
  </si>
  <si>
    <t>EJX110A-FMS4G-914DB/KS26/D3/M1</t>
  </si>
  <si>
    <t>67-2607</t>
  </si>
  <si>
    <t>EJX110A-FHS4G-914DB/KS26/D3/M1</t>
  </si>
  <si>
    <t>67-2608</t>
  </si>
  <si>
    <t>67-1742D2A</t>
  </si>
  <si>
    <t>67-1742,SPECIAL,SEE TEXT</t>
  </si>
  <si>
    <t>67-1742C2A</t>
  </si>
  <si>
    <t>67-1743D2A</t>
  </si>
  <si>
    <t>67-1743,SPECIAL,SEE TEXT</t>
  </si>
  <si>
    <t>67-1743C2A</t>
  </si>
  <si>
    <t>67-1744D2A</t>
  </si>
  <si>
    <t>67-1744,SPECIAL,SEE TEXT</t>
  </si>
  <si>
    <t>67-1744C2A</t>
  </si>
  <si>
    <t>67-1794</t>
  </si>
  <si>
    <t>YTA320-EA2DB/KU2/D2</t>
  </si>
  <si>
    <t>67-1794C2A</t>
  </si>
  <si>
    <t>YTA320-EA2DB/KU2/D2,SPECIAL,SE</t>
  </si>
  <si>
    <t>67-2622</t>
  </si>
  <si>
    <t>67-2651</t>
  </si>
  <si>
    <t>EJA530E-JCS4N-03CDL/FF1</t>
  </si>
  <si>
    <t>67-2652</t>
  </si>
  <si>
    <t>67-2653</t>
  </si>
  <si>
    <t>EJA530E-JBS4N-03CDL/FF1</t>
  </si>
  <si>
    <t>67-2654</t>
  </si>
  <si>
    <t>67-1819</t>
  </si>
  <si>
    <t>TRANSMITTER,PRESS,YOKOGAWA,</t>
  </si>
  <si>
    <t>EJA530E-ECS7N-012DL/FF1/1/D1</t>
  </si>
  <si>
    <t>67-1825</t>
  </si>
  <si>
    <t>EJX530A-JBS4N-012DL,KOSHA</t>
  </si>
  <si>
    <t>67-1825C2A</t>
  </si>
  <si>
    <t>EJX530A-JBS4N-012DL,SPECIAL,SE</t>
  </si>
  <si>
    <t>67-2658</t>
  </si>
  <si>
    <t>EJA110E-JHS4G-92CDB/PF22</t>
  </si>
  <si>
    <t>93-875</t>
  </si>
  <si>
    <t>EJA530E-JCS4N-02CDF/PF22</t>
  </si>
  <si>
    <t>93-876</t>
  </si>
  <si>
    <t>EJA530E-JDS4N-02CDF/PF22</t>
  </si>
  <si>
    <t>93-877</t>
  </si>
  <si>
    <t>EJA530E-JBS4N-02CDF/PF22</t>
  </si>
  <si>
    <t>93-878</t>
  </si>
  <si>
    <t>67-2660</t>
  </si>
  <si>
    <t>YTA110-EA2DJ/KU2/Z/0-200</t>
  </si>
  <si>
    <t>67-2661</t>
  </si>
  <si>
    <t>YTA110-EA2DJ/KU2/Z/0-100C</t>
  </si>
  <si>
    <t>93-882</t>
  </si>
  <si>
    <t>Type</t>
  </si>
  <si>
    <t>Pressure</t>
  </si>
  <si>
    <t>Temperature</t>
  </si>
  <si>
    <t>Differential Pressure</t>
  </si>
  <si>
    <t>Flow</t>
  </si>
  <si>
    <t>Data/Places to reference:</t>
  </si>
  <si>
    <t>ISA Datasheets: R:\Sealed\Public Library-REF MATERIAL\ISA Templates ISA</t>
  </si>
  <si>
    <t>Some are completed, others are just templates</t>
  </si>
  <si>
    <t>JDE Item Masters</t>
  </si>
  <si>
    <t>Search by model</t>
  </si>
  <si>
    <t>General Specs brochure on manufacturer website</t>
  </si>
  <si>
    <t>Current Projects folders P&amp;IDs</t>
  </si>
  <si>
    <t>JDE BOMS for past projects</t>
  </si>
  <si>
    <t>Scopes of Supply</t>
  </si>
  <si>
    <t>Model</t>
  </si>
  <si>
    <t>Process Temperature Limits</t>
  </si>
  <si>
    <t>Data to define Yoko pressure transmitter</t>
  </si>
  <si>
    <t>Ambient Temperature Limits</t>
  </si>
  <si>
    <t>Ingress Protection</t>
  </si>
  <si>
    <t>Absolute or Gauge? (Model Type)</t>
  </si>
  <si>
    <t>Output Signal</t>
  </si>
  <si>
    <t>Measurement Span</t>
  </si>
  <si>
    <t>Wetted Parts Material</t>
  </si>
  <si>
    <t>Process Connections</t>
  </si>
  <si>
    <t>Suffix Codes:</t>
  </si>
  <si>
    <t>Amplifier Housing</t>
  </si>
  <si>
    <t>Electrical Connection</t>
  </si>
  <si>
    <t>Integral Indicator</t>
  </si>
  <si>
    <t>Mounting Bracket</t>
  </si>
  <si>
    <t>Factory Mutual Explosionproof Approval</t>
  </si>
  <si>
    <t>ATEX</t>
  </si>
  <si>
    <t>CSA</t>
  </si>
  <si>
    <t>IECEx</t>
  </si>
  <si>
    <t>Painting</t>
  </si>
  <si>
    <t>316 SST Exterior Parts</t>
  </si>
  <si>
    <t>Flouro-rubber O-Ring</t>
  </si>
  <si>
    <t>Lightning protector</t>
  </si>
  <si>
    <t>Status output</t>
  </si>
  <si>
    <t>Oil-prohibited use</t>
  </si>
  <si>
    <t>Capsule fill fluid</t>
  </si>
  <si>
    <t>Calibration units</t>
  </si>
  <si>
    <t>Output limits and failure operation</t>
  </si>
  <si>
    <t>Gold-plated diaphragm</t>
  </si>
  <si>
    <t>Wired tag plate</t>
  </si>
  <si>
    <t>Data configuration at factory</t>
  </si>
  <si>
    <t>Advanced diagnostics</t>
  </si>
  <si>
    <t>European Pressure Equipment Directive</t>
  </si>
  <si>
    <t>Material certificate</t>
  </si>
  <si>
    <t>Pressure test/ Leak test certificate</t>
  </si>
  <si>
    <t>Yokogawa</t>
  </si>
  <si>
    <t>RTD &amp;Thermowell</t>
  </si>
  <si>
    <t>Thermocouple</t>
  </si>
  <si>
    <t>Accuracy</t>
  </si>
  <si>
    <t>EJA110A</t>
  </si>
  <si>
    <t>EJA110E</t>
  </si>
  <si>
    <t>EJX110A</t>
  </si>
  <si>
    <t>EJA430A</t>
  </si>
  <si>
    <t>EJA430E</t>
  </si>
  <si>
    <t>EJA530A</t>
  </si>
  <si>
    <t>EJX530A</t>
  </si>
  <si>
    <t>EJA530E</t>
  </si>
  <si>
    <t>EJX430A</t>
  </si>
  <si>
    <t>YTA110</t>
  </si>
  <si>
    <t>EJX530B</t>
  </si>
  <si>
    <t>YTA320</t>
  </si>
  <si>
    <t>YTA310</t>
  </si>
  <si>
    <t>TSE100</t>
  </si>
  <si>
    <t>Unknown</t>
  </si>
  <si>
    <t>Multiple</t>
  </si>
  <si>
    <t>EJA438</t>
  </si>
  <si>
    <t>EJA438E</t>
  </si>
  <si>
    <t>EJX438A</t>
  </si>
  <si>
    <t>EJA440A</t>
  </si>
  <si>
    <t>EJA440E</t>
  </si>
  <si>
    <t>EJX440A</t>
  </si>
  <si>
    <t>EJX630A</t>
  </si>
  <si>
    <t>MWP</t>
  </si>
  <si>
    <t>Stability</t>
  </si>
  <si>
    <t>3000 psi</t>
  </si>
  <si>
    <t>−40 to 120 °C (−40 to 248 °F)</t>
  </si>
  <si>
    <t>−40 to 85 °C (−40 to 185 °F) 
−30 to 80 °C (−22 to 176 °F) with LCD Display</t>
  </si>
  <si>
    <t>IP67, Type 4X</t>
  </si>
  <si>
    <t>Gauge</t>
  </si>
  <si>
    <t>3600 psi</t>
  </si>
  <si>
    <t>IP66/IP67, Type 4X</t>
  </si>
  <si>
    <t>8500 psi</t>
  </si>
  <si>
    <t>In-Line</t>
  </si>
  <si>
    <t>Traditional Mount</t>
  </si>
  <si>
    <t>8700 psi</t>
  </si>
  <si>
    <t>10800 psi</t>
  </si>
  <si>
    <t>Wireless</t>
  </si>
  <si>
    <t>Mount/Type</t>
  </si>
  <si>
    <t>IP66/IP67, NEMA4X</t>
  </si>
  <si>
    <t>E - 4 to 20 mA DC Output with digital communication (HART 5 protocol)</t>
  </si>
  <si>
    <t>J - 4 to 20 mA DC with digital communication (HART 5 / HART 7 protocol)
(Refer to GS 01C25T01-01EN)</t>
  </si>
  <si>
    <t>F - Digital communication (FOUNDATION Fieldbus protocol, refer to
GS 01C25T02-01EN)</t>
  </si>
  <si>
    <t>L- Wireless Communication 
(Only EJX530B)</t>
  </si>
  <si>
    <t>FF1</t>
  </si>
  <si>
    <t>FS1</t>
  </si>
  <si>
    <t>D - 4 to 20 mA DC with digital communication (BRAIN protocol)</t>
  </si>
  <si>
    <t>G - Digital communication (PROFIBUS PA protocol, refer to GS 01C22T03-00EN)</t>
  </si>
  <si>
    <t>Q - Low Power, 1 to 5 V DC with digital communication (HART 7 protocol)</t>
  </si>
  <si>
    <t>Add Price or Price ranking</t>
  </si>
  <si>
    <t>A - 4.3 to 430 psi</t>
  </si>
  <si>
    <t>B - 20 to 2000 psi</t>
  </si>
  <si>
    <t>H - 5 to 500 kPa</t>
  </si>
  <si>
    <t>A - 4.3 to 500 psi</t>
  </si>
  <si>
    <t>B - 20 to 2300 psi</t>
  </si>
  <si>
    <t>E - 4 to 20 mA DC with digital communication (HART protocol, refer to GS 01C22T01-00EN)</t>
  </si>
  <si>
    <t>A - 1.45 to 29 psi</t>
  </si>
  <si>
    <t>B - 14.5 to 290 psi</t>
  </si>
  <si>
    <t>C - 72.5 to 1450 psi</t>
  </si>
  <si>
    <t>D - 720 to 7200 psi</t>
  </si>
  <si>
    <t>S - (NACE)
Body: SCS14A 
Capsule: SUS316L
Vent Plug: SUS316</t>
  </si>
  <si>
    <t>H - (NACE)
Body: SCS14A 
Capsule: Hastelloy C-276
Vent Plug: SUS316</t>
  </si>
  <si>
    <t>M - (NACE)
Body: SCS14A 
Capsule: Monel
Vent Plug: SUS316</t>
  </si>
  <si>
    <t>T -
Body: SCS14A 
Capsule: Tantalum
Vent Plug: SUS316</t>
  </si>
  <si>
    <t>A - (NACE)
Body: Hastelloy C-276 equivalent
Capsule: Hastelloy C-276
Vent Plug: Hastelloy C-276</t>
  </si>
  <si>
    <t>D - 
Body: Hastelloy C-276 equivalent
Capsule: Tantalum
Vent Plug: Hastelloy C-276</t>
  </si>
  <si>
    <t>B - (NACE)
Body: Monel equivalent
Capsule: Monel
Vent Plug: Monel</t>
  </si>
  <si>
    <t>S - (NACE)
Cover flange and process
connector: ASTM CF-8M
Capsule: Hastelloy C-276
Capsule Gasket: Teflon-coated 316L SST
Vent/Drain plug: 316 SST</t>
  </si>
  <si>
    <t>H - (NACE)
Cover flange and process
connector: ASTM CF-8M
Capsule: Hastelloy C-276
Capsule Gasket: PTFE Teflon
Vent/Drain plug: 316 SST</t>
  </si>
  <si>
    <t>M - (NACE)
Cover flange and process
connector: ASTM CF-8M
Capsule: Monel
Capsule Gasket: PTFE Teflon
Vent/Drain plug: 316 SST</t>
  </si>
  <si>
    <t>T -
Cover flange and process
connector: ASTM CF-8M
Capsule: Tantalum
Capsule Gasket: PTFE Teflon
Vent/Drain plug: 316 SST</t>
  </si>
  <si>
    <t>A - (NACE)
Cover flange and process
connector: Hastelloy C-276 equivalent
Capsule: Hastelloy C-276
Capsule Gasket: PTFE Teflon
Vent/Drain plug: Hastelloy C-276</t>
  </si>
  <si>
    <t>D - 
Cover flange and process
connector: Hastelloy C-276 equivalent
Capsule: Tantalum
Capsule Gasket: PTFE Teflon
Vent/Drain plug: Hastelloy C-276</t>
  </si>
  <si>
    <t>B - (NACE)
Cover flange and process
connector:Monel equivalent
Capsule: Monel
Capsule Gasket: PTFE Teflon
Vent/Drain plug: Monel</t>
  </si>
  <si>
    <t xml:space="preserve">W - (NACE)
Cover flange and process
connector: Super Duplex SST equivalent
Capsule: Hastelloy C-276
Capsule Gasket: PTFE Teflon
Vent/Drain plug: Super Duplex SST </t>
  </si>
  <si>
    <t>S - (NACE)
Process Connection: SUS316L 
Diaphragm: Hastelloy C-276</t>
  </si>
  <si>
    <t>H - (NACE)
Process Connection: Hastelloy C-276
Diaphragm: Hastelloy C-276</t>
  </si>
  <si>
    <t>0 - without process connector (Rc1/4 female on the cover flanges)</t>
  </si>
  <si>
    <t>1 - with Rc1/4 female process connector</t>
  </si>
  <si>
    <t>2 - with Rc1/2 female process connector</t>
  </si>
  <si>
    <t>3 - with 1/4 NPT female process connector</t>
  </si>
  <si>
    <t>4 - with 1/2 NPT female process connector</t>
  </si>
  <si>
    <t>5 - without process connector (1/4 NPT female on the cover flanges)</t>
  </si>
  <si>
    <t>4 - 1/2 NPT female</t>
  </si>
  <si>
    <t>7 - 1/2 NPT male</t>
  </si>
  <si>
    <t>8 - G 1/2 DIN 16 288 male</t>
  </si>
  <si>
    <t>9 - M20×1.5 DIN 16 288 male</t>
  </si>
  <si>
    <t>Bolts and nuts material</t>
  </si>
  <si>
    <t>Installation</t>
  </si>
  <si>
    <t>A - SCM435</t>
  </si>
  <si>
    <t xml:space="preserve">B - SUS630 </t>
  </si>
  <si>
    <t xml:space="preserve">C - SUH660 </t>
  </si>
  <si>
    <t>J - B7 carbon steel</t>
  </si>
  <si>
    <t>G - 316L SST</t>
  </si>
  <si>
    <t>C - 660 SST</t>
  </si>
  <si>
    <t>N - (ALWAYS)</t>
  </si>
  <si>
    <t>0 - (ALWAYS)</t>
  </si>
  <si>
    <t>E</t>
  </si>
  <si>
    <t>S</t>
  </si>
  <si>
    <t>A</t>
  </si>
  <si>
    <t>H</t>
  </si>
  <si>
    <t>F</t>
  </si>
  <si>
    <t>C</t>
  </si>
  <si>
    <t>D</t>
  </si>
  <si>
    <t>0</t>
  </si>
  <si>
    <t>M</t>
  </si>
  <si>
    <t>N</t>
  </si>
  <si>
    <t>J</t>
  </si>
  <si>
    <t>B</t>
  </si>
  <si>
    <t>L</t>
  </si>
  <si>
    <t>G</t>
  </si>
  <si>
    <t>K</t>
  </si>
  <si>
    <t>SU2</t>
  </si>
  <si>
    <t>Process connections</t>
  </si>
  <si>
    <t>Electrical connection</t>
  </si>
  <si>
    <t>Integral indicator</t>
  </si>
  <si>
    <t>Mounting bracket</t>
  </si>
  <si>
    <t>Haz Area Cert</t>
  </si>
  <si>
    <t>Calibration Units</t>
  </si>
  <si>
    <t>Wired Tag Plate</t>
  </si>
  <si>
    <t>KF2</t>
  </si>
  <si>
    <t>KS2</t>
  </si>
  <si>
    <t>KU22</t>
  </si>
  <si>
    <t>KF25</t>
  </si>
  <si>
    <t>KU2</t>
  </si>
  <si>
    <t>SU1</t>
  </si>
  <si>
    <t>KU21</t>
  </si>
  <si>
    <t>FS15</t>
  </si>
  <si>
    <t>PF22</t>
  </si>
  <si>
    <t>D4</t>
  </si>
  <si>
    <t>D3</t>
  </si>
  <si>
    <t>X1</t>
  </si>
  <si>
    <t>D1</t>
  </si>
  <si>
    <t>KS25</t>
  </si>
  <si>
    <t>KS26</t>
  </si>
  <si>
    <t>KF21</t>
  </si>
  <si>
    <t>KS21</t>
  </si>
  <si>
    <t>KF22</t>
  </si>
  <si>
    <t>KN26</t>
  </si>
  <si>
    <t>FU1</t>
  </si>
  <si>
    <t>KS27</t>
  </si>
  <si>
    <t>N4</t>
  </si>
  <si>
    <t>INMETRO</t>
  </si>
  <si>
    <t>M15</t>
  </si>
  <si>
    <t>E1</t>
  </si>
  <si>
    <t>M1</t>
  </si>
  <si>
    <t>Material Cert</t>
  </si>
  <si>
    <t>Paint/Anti Corrosive Coating</t>
  </si>
  <si>
    <t>X2</t>
  </si>
  <si>
    <t>Softeware Download</t>
  </si>
  <si>
    <t>Lightning Protector</t>
  </si>
  <si>
    <t>SST Amplifier Housing</t>
  </si>
  <si>
    <t>M11</t>
  </si>
  <si>
    <t>2 - Vertical impulse piping type, right side high pressure, process connector upside*</t>
  </si>
  <si>
    <t>3 - Vertical impulse piping type, right side high pressure, process connector downside</t>
  </si>
  <si>
    <t>6 - Vertical impulse piping type, left side high pressure, process connector upside</t>
  </si>
  <si>
    <t>7 - Vertical impulse piping type, left side high pressure, process connector downside</t>
  </si>
  <si>
    <t>8 - Horizontal impulse piping type, right side high pressure</t>
  </si>
  <si>
    <t>9 - Horizontal impulse piping type, left side high pressure</t>
  </si>
  <si>
    <t>3 - Vertical piping, right side high pressure, and process connection down side</t>
  </si>
  <si>
    <t>7 - Vertical piping, left side high pressure, and process connection down side</t>
  </si>
  <si>
    <t>8 - Horizontal piping and right side high pressure</t>
  </si>
  <si>
    <t>9 - Horizontal piping and left side high pressure</t>
  </si>
  <si>
    <t>B - Bottom Process Connection, left side high pressure</t>
  </si>
  <si>
    <t>U - Universal flange</t>
  </si>
  <si>
    <t>1 - Cast aluminum alloy</t>
  </si>
  <si>
    <t>3 - Cast aluminum alloy with corrosion resistance properties</t>
  </si>
  <si>
    <t>0 - G1/2 female, one electrical connection</t>
  </si>
  <si>
    <t>2 - 1/2 NPT female, two electrical connections without blind plug</t>
  </si>
  <si>
    <t>3 - Pg 13.5 female, two electrical connections without blind plug</t>
  </si>
  <si>
    <t>4 - M20 female, two electrical connections without blind plug</t>
  </si>
  <si>
    <t>5 - G1/2 female, two electrical connections and a blind plug</t>
  </si>
  <si>
    <t>7 - 1/2 NPT female, two electrical connections and a blind plug</t>
  </si>
  <si>
    <t>8 - Pg 13.5 female, two electrical connections and a blind plug</t>
  </si>
  <si>
    <t>9 - M20 female, two electrical connections and a blind plug</t>
  </si>
  <si>
    <t>A - G1/2 female, two electrical connections and a SUS316 blind plug</t>
  </si>
  <si>
    <t>C - 1/2 NPT female, two electrical connections and a SUS316 blind plug</t>
  </si>
  <si>
    <t>D - M20 female, two electrical connections and a SUS316 blind plug</t>
  </si>
  <si>
    <t>0 - G1/2 female, one electrical connection without blind plugs</t>
  </si>
  <si>
    <t>2 - 1/2 NPT female, two electrical connections without blind plugs</t>
  </si>
  <si>
    <t>4 - M20 female, two electrical connections without blind plugs</t>
  </si>
  <si>
    <t>A - G1/2 female, two electrical connections and a 316 SST blind plug</t>
  </si>
  <si>
    <t>C - 1/2 NPT female, two electrical connections and a 316 SST blind plug</t>
  </si>
  <si>
    <t>D - M20 female, two electrical connections and a 316 SST blind plug</t>
  </si>
  <si>
    <t>Optional Specifications:</t>
  </si>
  <si>
    <t>D - Digital indicator</t>
  </si>
  <si>
    <t>E - Digital indicator with the range setting switch</t>
  </si>
  <si>
    <t>N - (None)</t>
  </si>
  <si>
    <t>A - SECC Carbon steel 2-inch pipe mounting (flat type)</t>
  </si>
  <si>
    <t>B - SUS304 2-inch pipe mounting (flat type)</t>
  </si>
  <si>
    <t>J - SUS316 2-inch pipe mounting (flat type)</t>
  </si>
  <si>
    <t>C - SECC Carbon steel 2-inch pipe mounting (L type)</t>
  </si>
  <si>
    <t>D - SUS304 or SCS13A 2-inch pipe mounting (L type)</t>
  </si>
  <si>
    <t>K - SUS316 or SCS14A 2-inch pipe mounting (L type)</t>
  </si>
  <si>
    <t>B - 304 SST 2-inch pipe mounting, flat type (for horizontal piping)</t>
  </si>
  <si>
    <t>D - 304 SST or SCS13A 2-inch pipe mounting, L type (for vertical piping)</t>
  </si>
  <si>
    <t>J - 316 SST 2-inch pipe mounting, flat type (for horizontal piping)</t>
  </si>
  <si>
    <t>K - 316 SST or SCS14A 2-inch pipe mounting, L type (for vertical piping)</t>
  </si>
  <si>
    <t>M - 316 SST or SCS14A 2-inch pipe mounting (for bottom process connection
type)</t>
  </si>
  <si>
    <t>E - SECC Carbon steel 2-inch pipe mounting</t>
  </si>
  <si>
    <t>F - SUS304 2-inch pipe mounting</t>
  </si>
  <si>
    <t xml:space="preserve">L - SUS316 2-inch pipe mounting </t>
  </si>
  <si>
    <t>L - 316 SST 2-inch pipe mounting</t>
  </si>
  <si>
    <t>FU1 -  Combine FF1 &amp;FS1</t>
  </si>
  <si>
    <t>FF1 - FM Explosionproof Approval</t>
  </si>
  <si>
    <t>FS1 - FM Intrinsically safe Approval</t>
  </si>
  <si>
    <t>KF22 - ATEX Flameproof Approval</t>
  </si>
  <si>
    <t>KS21 - ATEX Intrinsically safe Approval</t>
  </si>
  <si>
    <t>KU22 - Combined KF22, KS21 and ATEX Intrinsically safe Ex ic</t>
  </si>
  <si>
    <t xml:space="preserve">FS17 </t>
  </si>
  <si>
    <t>CU1</t>
  </si>
  <si>
    <t>CF1 - CSA Explosionproof Approval</t>
  </si>
  <si>
    <t>CS1 - CSA Intrinsically safe Approval</t>
  </si>
  <si>
    <t>CU1 - Combined CF1 and CS1</t>
  </si>
  <si>
    <t>SU2 - IECEx Intrinsically safe, type n and Flameproof Approval</t>
  </si>
  <si>
    <t>SF2 - IECEx Flameproof Approval</t>
  </si>
  <si>
    <t>SU21 - IECEx Intrinsically safe and Flameproof Approval</t>
  </si>
  <si>
    <t>D1 - psi</t>
  </si>
  <si>
    <t>D3 - bar</t>
  </si>
  <si>
    <t>D4 - kgf/cm2</t>
  </si>
  <si>
    <t>NF2</t>
  </si>
  <si>
    <t>YES</t>
  </si>
  <si>
    <t>T05</t>
  </si>
  <si>
    <t>Pressure Leak Test</t>
  </si>
  <si>
    <t>FF15</t>
  </si>
  <si>
    <t>T08</t>
  </si>
  <si>
    <t>2 - ASTM CF-8M stainless steel</t>
  </si>
  <si>
    <t>1</t>
  </si>
  <si>
    <t>316 SST exterior parts</t>
  </si>
  <si>
    <t>93-380</t>
  </si>
  <si>
    <t>TRANSMITTER,PRESS,GAUGE,</t>
  </si>
  <si>
    <t>YOKOGAWA,</t>
  </si>
  <si>
    <t>41-102</t>
  </si>
  <si>
    <t>TWELL,1-1/2"-150#RF,4"U</t>
  </si>
  <si>
    <t>YOKOGAWA</t>
  </si>
  <si>
    <t>77-521</t>
  </si>
  <si>
    <t>TEMPERATURE,RTD,THERMOWELL</t>
  </si>
  <si>
    <t>YOKOGAWA P/N: 15672-070TF8A03</t>
  </si>
  <si>
    <t>67-1178</t>
  </si>
  <si>
    <t>TRANS,DP,5 VALVE MANIFOLD,YOKO</t>
  </si>
  <si>
    <t>YOKOGAWA M24THPS-4-T-XP</t>
  </si>
  <si>
    <t>77-692</t>
  </si>
  <si>
    <t>ELEC,TRANSMITTER,TEMPERATURE,</t>
  </si>
  <si>
    <t>RTD &amp; Thermowell</t>
  </si>
  <si>
    <t>77-693</t>
  </si>
  <si>
    <t>ELEC,TEMPERATURE,RTD</t>
  </si>
  <si>
    <t>67-1357</t>
  </si>
  <si>
    <t>TRANSMITTER,PRESS</t>
  </si>
  <si>
    <t>YOKOGAWA, HART PROTOCOL</t>
  </si>
  <si>
    <t>67-1358</t>
  </si>
  <si>
    <t>TRANSMITTER,PRESSURE</t>
  </si>
  <si>
    <t>YOKOGAWA,HARTPROTOCOL</t>
  </si>
  <si>
    <t>77-735</t>
  </si>
  <si>
    <t>77-743</t>
  </si>
  <si>
    <t>TRANSMITTER,TEMPERATURE</t>
  </si>
  <si>
    <t>YOKOGAWA,FOUNDATION FIELD BUS</t>
  </si>
  <si>
    <t>BPTMA1711491-01-02</t>
  </si>
  <si>
    <t>PRESSURE TRANS  FOR BUFFER POT</t>
  </si>
  <si>
    <t>YOKOGAWA PT</t>
  </si>
  <si>
    <t>D2</t>
  </si>
  <si>
    <t>77-900</t>
  </si>
  <si>
    <t>TRANSMITTER,DIFFERENTIAL PRESS</t>
  </si>
  <si>
    <t>YOKOGAWA EJX110A-</t>
  </si>
  <si>
    <t>77-1188</t>
  </si>
  <si>
    <t>YOKOGAWA,EJX530A</t>
  </si>
  <si>
    <t>93-765</t>
  </si>
  <si>
    <t>TRANSMTR,PRESS,0-700KPA</t>
  </si>
  <si>
    <t>YOKOGAWA,EJA530E</t>
  </si>
  <si>
    <t>SF2</t>
  </si>
  <si>
    <t>93-766</t>
  </si>
  <si>
    <t>TRANSMTR,PRESS,0-200KPA</t>
  </si>
  <si>
    <t>93-767</t>
  </si>
  <si>
    <t>TRANSMTR,DP,0-200KPA</t>
  </si>
  <si>
    <t>YOKOGAWA,W-5VLVE MANIFOLD</t>
  </si>
  <si>
    <t>93-768</t>
  </si>
  <si>
    <t>TRANSMTR,FLOW,0-250"H2O</t>
  </si>
  <si>
    <t>93-769</t>
  </si>
  <si>
    <t>TRANSMTR,TEMP,0-100C</t>
  </si>
  <si>
    <t>93-770</t>
  </si>
  <si>
    <t>SENSOR ASSY,1-1/2RF,150#</t>
  </si>
  <si>
    <t>YOKOGAWA,TSE300,U=4.5</t>
  </si>
  <si>
    <t>93-771</t>
  </si>
  <si>
    <t>YOKOGAWA,TSE300,U=10</t>
  </si>
  <si>
    <t>93-776</t>
  </si>
  <si>
    <t>TRANS,PRESS,100 BAR</t>
  </si>
  <si>
    <t>YOKOGAWA,EJA530</t>
  </si>
  <si>
    <t>93-780</t>
  </si>
  <si>
    <t>YOKOGAWA,W-VALVE</t>
  </si>
  <si>
    <t>93-790</t>
  </si>
  <si>
    <t>TRANS,PRESS,700KPA</t>
  </si>
  <si>
    <t>93-793</t>
  </si>
  <si>
    <t>TRANS,DIFF PRESS,0TO500KPA</t>
  </si>
  <si>
    <t>YOKOGAWA,EJA110E</t>
  </si>
  <si>
    <t>93-843</t>
  </si>
  <si>
    <t>TRANSMITTER,PRESS,GAUGE</t>
  </si>
  <si>
    <t>T06</t>
  </si>
  <si>
    <t>93-855</t>
  </si>
  <si>
    <t>YOKOGAWA,EJA530E,IS,M20X1.5</t>
  </si>
  <si>
    <t>SU21</t>
  </si>
  <si>
    <t>C2</t>
  </si>
  <si>
    <t>67-1792</t>
  </si>
  <si>
    <t>ELEC,TRANSMITTER,PRESS</t>
  </si>
  <si>
    <t>YOKOGAWA EJX430A-FAS4G</t>
  </si>
  <si>
    <t>HC</t>
  </si>
  <si>
    <t>67-1793</t>
  </si>
  <si>
    <t>ELEC,TRANSMITTER,TEMP</t>
  </si>
  <si>
    <t>YOKOGAWA YTA320-FA2DB</t>
  </si>
  <si>
    <t>Input Parameters:</t>
  </si>
  <si>
    <t>Region in which the datasheet specifications are valid.</t>
  </si>
  <si>
    <t>Analog or digital….</t>
  </si>
  <si>
    <t>Tool should quantify error for actual application.</t>
  </si>
  <si>
    <t>Normal Operating Range</t>
  </si>
  <si>
    <t>MJY2-VIS-4-AT</t>
  </si>
  <si>
    <t>Manifold P/N (if applicable)</t>
  </si>
  <si>
    <t>M251VIS/46/ATCH</t>
  </si>
  <si>
    <t>-</t>
  </si>
  <si>
    <t>M251VIS/4M/ATCH</t>
  </si>
  <si>
    <t>Yes</t>
  </si>
  <si>
    <t>M4TPVIS/4/SSC/T/TAPT</t>
  </si>
  <si>
    <t>Certificate of Conformance</t>
  </si>
  <si>
    <t>M1202JHZ911E</t>
  </si>
  <si>
    <t>M251VIS/44F/TAPT</t>
  </si>
  <si>
    <t>M251VIS/44F/ATCH</t>
  </si>
  <si>
    <t>M4TP-V-I-S-4-TAPT-SSC</t>
  </si>
  <si>
    <t>M25HPS-44F-XP-TAPT</t>
  </si>
  <si>
    <t>M1202JHZ911E/M1100UX</t>
  </si>
  <si>
    <t>MB2VIS4-TAPT-SSC</t>
  </si>
  <si>
    <t>M1202JHEJXKS26/M1202JHZ911E/M1100UX</t>
  </si>
  <si>
    <t>MMHOMDS2L6098562351</t>
  </si>
  <si>
    <t>Row Labels</t>
  </si>
  <si>
    <t>(blank)</t>
  </si>
  <si>
    <t>Grand Total</t>
  </si>
  <si>
    <t>Count of Model</t>
  </si>
  <si>
    <t>Mounting Type</t>
  </si>
  <si>
    <t>Traditional or In-Line</t>
  </si>
  <si>
    <t>Haz Area Certs</t>
  </si>
  <si>
    <t>Price</t>
  </si>
  <si>
    <t>Data to define Yoko Temperature Transmitter</t>
  </si>
  <si>
    <t>Use Orange Instead of Green</t>
  </si>
  <si>
    <t>YTA710</t>
  </si>
  <si>
    <t>YTA110/310</t>
  </si>
  <si>
    <t>YTA320-F</t>
  </si>
  <si>
    <t>SIL</t>
  </si>
  <si>
    <t>SIL2 for one Transmitter, SIL3 for multiple</t>
  </si>
  <si>
    <t>I'm not sure if I really need to fill this out</t>
  </si>
  <si>
    <t>There aren't many options for temp transmitters</t>
  </si>
  <si>
    <t>Input Yokogawa data for temp transmitters</t>
  </si>
  <si>
    <t>Input Yokogawa data for DP transmitters</t>
  </si>
  <si>
    <t>Import valve manifold data for Gauge and DP transmitters</t>
  </si>
  <si>
    <t>Create selection standard/logic for manifolds</t>
  </si>
  <si>
    <t>Determine standards for Yoko mounting</t>
  </si>
  <si>
    <t>Create standards for certain situations (lube oil, Seal….) with specific Item Masters</t>
  </si>
  <si>
    <t>Duplicate for Rosemount</t>
  </si>
  <si>
    <t>Integrate Standards into tool design/logic</t>
  </si>
  <si>
    <t>530 (Traditional Mount)</t>
  </si>
  <si>
    <t>430 (Tradional Mount)</t>
  </si>
  <si>
    <t>M4TP</t>
  </si>
  <si>
    <t>M25</t>
  </si>
  <si>
    <t>Bonnet Packing</t>
  </si>
  <si>
    <t>V - Teflon</t>
  </si>
  <si>
    <t>Seat Material</t>
  </si>
  <si>
    <t>I - Integral</t>
  </si>
  <si>
    <t>Body Material</t>
  </si>
  <si>
    <t>S - 316SS</t>
  </si>
  <si>
    <t>S - SS</t>
  </si>
  <si>
    <t>4 - 1/2 inch Female NPT</t>
  </si>
  <si>
    <t>M25VIS4</t>
  </si>
  <si>
    <t>M4TPVIS4</t>
  </si>
  <si>
    <t>Manifold</t>
  </si>
  <si>
    <t>M6TVIS-4-T-SSC-ATCH</t>
  </si>
  <si>
    <t>MJY3-VIS-4-AT</t>
  </si>
  <si>
    <t>MB5PVIS4-TAPT-SSC</t>
  </si>
  <si>
    <t>MMHOMDS4L6098562051</t>
  </si>
  <si>
    <t xml:space="preserve">M4TVIS/4/SSC/T/ATCH  </t>
  </si>
  <si>
    <t>M675 S D T /MT / VSH /W9</t>
  </si>
  <si>
    <t>M24THPS-4-T-XP</t>
  </si>
  <si>
    <t>M6TWVIS/4/T/ATCH</t>
  </si>
  <si>
    <t>MMHOMDS4B6098562051</t>
  </si>
  <si>
    <t>M6TWVIS/4/SSC/T/ATCH</t>
  </si>
  <si>
    <t>DP Manifolds</t>
  </si>
  <si>
    <t>Models</t>
  </si>
  <si>
    <t>M6T</t>
  </si>
  <si>
    <t>MJY3</t>
  </si>
  <si>
    <t>MB5P</t>
  </si>
  <si>
    <t>Parker</t>
  </si>
  <si>
    <t>M4T</t>
  </si>
  <si>
    <t>M675</t>
  </si>
  <si>
    <t>M24THP</t>
  </si>
  <si>
    <t>&lt;&lt;Now M65T (?)</t>
  </si>
  <si>
    <t>110 (DP)</t>
  </si>
  <si>
    <t>M65T</t>
  </si>
  <si>
    <t>V</t>
  </si>
  <si>
    <t>SSC - 316 Flange bolts</t>
  </si>
  <si>
    <t>SG - NACE</t>
  </si>
  <si>
    <t>Possible Options:</t>
  </si>
  <si>
    <t>M65TVSS4</t>
  </si>
  <si>
    <t>Code:</t>
  </si>
  <si>
    <t>Output signal</t>
  </si>
  <si>
    <t>110 Does not offer foundation fieldbus</t>
  </si>
  <si>
    <t>4 to 20 mA w/ Hart</t>
  </si>
  <si>
    <t>Foundation Fieldbus</t>
  </si>
  <si>
    <t>2 - 1/2" NPT female</t>
  </si>
  <si>
    <t>D - with Indicator</t>
  </si>
  <si>
    <t>N - None</t>
  </si>
  <si>
    <t>K - 316 Vertical</t>
  </si>
  <si>
    <t>Optional</t>
  </si>
  <si>
    <t>Hazardous Area Certs</t>
  </si>
  <si>
    <t>FM</t>
  </si>
  <si>
    <t>Wired Tag</t>
  </si>
  <si>
    <t>316 Exterior Parts</t>
  </si>
  <si>
    <t>Calibration Unit</t>
  </si>
  <si>
    <t>D2 - oF</t>
  </si>
  <si>
    <t>RTD/Thermowell reccomendation?</t>
  </si>
  <si>
    <t xml:space="preserve">No calibration range needed, depends on choice of sensor. </t>
  </si>
  <si>
    <t>^^ Is this true?</t>
  </si>
  <si>
    <t>Pressure Transmitter</t>
  </si>
  <si>
    <t>Differential Pressure Transmitter</t>
  </si>
  <si>
    <t>Temperature Transmitter</t>
  </si>
  <si>
    <t>Range</t>
  </si>
  <si>
    <t>Lube Oil</t>
  </si>
  <si>
    <t>P/C/B</t>
  </si>
  <si>
    <t>Other Considerations</t>
  </si>
  <si>
    <t>Fast Response Time</t>
  </si>
  <si>
    <t>Port 2 Primary Seal Gas Leakage (Compressor)</t>
  </si>
  <si>
    <t>Port 1 Secondary Seal Gas Leakage (Compressor)</t>
  </si>
  <si>
    <t>Port 5 Primary Seal Gas (Compressor)</t>
  </si>
  <si>
    <t>Port 7 Buffer Gas Supply Pressure (Compressor)</t>
  </si>
  <si>
    <t>Plan for preset applications:</t>
  </si>
  <si>
    <t>Create sub that runs under the main input sheets (like pictures subs)</t>
  </si>
  <si>
    <t>Whenever the application box is changed, it will fill in all</t>
  </si>
  <si>
    <t>applicable fields from preset data from a different sheet.</t>
  </si>
  <si>
    <t xml:space="preserve">^^Means that I will need a </t>
  </si>
  <si>
    <t>Look at P&amp;IDs to see common transmitter useages</t>
  </si>
  <si>
    <t>If possible use option numbers so that existing code can be used and so that it is easy to change and update</t>
  </si>
  <si>
    <t>Gearbox Sump</t>
  </si>
  <si>
    <t>Lube Oil Filter</t>
  </si>
  <si>
    <t>(Flow Oriface…)</t>
  </si>
  <si>
    <t>Seal System Gas Filter</t>
  </si>
  <si>
    <t>From LMC-BMC Price List:</t>
  </si>
  <si>
    <t>Port 9 Gearbox Separation Gas Inlet (Compressor)</t>
  </si>
  <si>
    <t>Temperature Transmitter for T/C signal enhancement</t>
  </si>
  <si>
    <t>Compressor Surge Control (Compressor) (Suction and discharge)</t>
  </si>
  <si>
    <t>Surge Control Suction and Discharge Temperature Indicating Transmitters (TIT)</t>
  </si>
  <si>
    <t>(Seal System) Flow Orifice with Pressure Differential Indicating Transmitter (PDIT), with 316 SS 5-way valve</t>
  </si>
  <si>
    <t>(PORT 2) Pressure Differential Indicating Transmitter (DPIT) Across Flow Orifice with 316 SS 5-way valve</t>
  </si>
  <si>
    <t>(PORT 7) Pressure Differential Indicating Transmitter (PDIT) Across Filter(s), with 316 SS 5-way valve</t>
  </si>
  <si>
    <t>(PORT 7) Pressure Differential Indicating Transmitter (PDIT) Across Flow Orifice, with 316 SS 5-way valve</t>
  </si>
  <si>
    <t>(PORT 9) Pressure Differential Indicating Transmitter (PDIT) Across Filter(s), with 316 SS 5-way valve</t>
  </si>
  <si>
    <t>(PORT 9) Pressure Differential Indicating Transmitter (PDIT) Across Flow Orifice, with 316 SS 5-way valve</t>
  </si>
  <si>
    <t xml:space="preserve">(Surge Control) Orifice Plate Flow Meter with Differential Pressure Transmitter (DPT); Suction </t>
  </si>
  <si>
    <t>Lube Oil Line</t>
  </si>
  <si>
    <t>LEVEL Transmitters</t>
  </si>
  <si>
    <t>Lube Oil Reservoir Temperature</t>
  </si>
  <si>
    <t>Reservoir Level</t>
  </si>
  <si>
    <t>Port 5 Across Filter (From Suction)</t>
  </si>
  <si>
    <t>Port 5 Across Orifice (From Suction)</t>
  </si>
  <si>
    <t>(Port 5) Start up Gas Inlet with Pressure Indicating Transmitter (PIT), Pressure Regulator, and Check Valve  (Seal Control Systems)</t>
  </si>
  <si>
    <t>Don’t need to specify where the filter is, should be same for all ports</t>
  </si>
  <si>
    <t>Flow - Port 2 7 9 should be the same</t>
  </si>
  <si>
    <t>Port 5 will be custom for each job</t>
  </si>
  <si>
    <t>No</t>
  </si>
  <si>
    <t>Mount</t>
  </si>
  <si>
    <t>Measurment Span Limits</t>
  </si>
  <si>
    <t>Bolts and Nuts Material</t>
  </si>
  <si>
    <t>Integtral Indicator</t>
  </si>
  <si>
    <t>Notes:</t>
  </si>
  <si>
    <t>Do we want Wired Tag Plate? (N4)</t>
  </si>
  <si>
    <t>(N/A)</t>
  </si>
  <si>
    <t>Which other options do we want to consider/price?</t>
  </si>
  <si>
    <t>Price?</t>
  </si>
  <si>
    <t>316 SST Exterior Parts (HC)</t>
  </si>
  <si>
    <t>Flouro-Rubber O-Ring (HE)</t>
  </si>
  <si>
    <t>Lightning Protector (A)</t>
  </si>
  <si>
    <t>Wired Tag Plate (N4)</t>
  </si>
  <si>
    <t>Add Check-Boxes for Non-Standard options??</t>
  </si>
  <si>
    <t>Pressure Tests</t>
  </si>
  <si>
    <t>Fast Response (F1) EJA-E</t>
  </si>
  <si>
    <t>Yes?</t>
  </si>
  <si>
    <t>NOSHOK</t>
  </si>
  <si>
    <t>24-502</t>
  </si>
  <si>
    <t>604MFS-HL1</t>
  </si>
  <si>
    <t>Swaglok also has these, and we have used them</t>
  </si>
  <si>
    <t>Cant find 2400 or 2500 series</t>
  </si>
  <si>
    <t>From Shop:</t>
  </si>
  <si>
    <t>Yes, heads can rotate</t>
  </si>
  <si>
    <t>buy with bolts</t>
  </si>
  <si>
    <t>Make sure they come in calibrated correctly, serious pain to send them back out</t>
  </si>
  <si>
    <t>There is a way to mount the in-line transmitters, using just a small u bolt and rectangular bracket (see PPI job)</t>
  </si>
  <si>
    <t>Also want to make a list of manifolds to price</t>
  </si>
  <si>
    <t>For flange mounted manifolds, we want to order the bolts with the manifold.</t>
  </si>
  <si>
    <t>(For mounting to the transmittter)</t>
  </si>
  <si>
    <t>Friday Oct 14</t>
  </si>
  <si>
    <t>Decided to remove all notes from the Input sheets.</t>
  </si>
  <si>
    <t>Maybe add back notes later(?) Or have a separate sheet for standards/notes</t>
  </si>
  <si>
    <t>Making a bunch of cosmetic changes for v7.0</t>
  </si>
  <si>
    <t>Added non-standard options checkboxes</t>
  </si>
  <si>
    <t>if WE NEED TO ADD MORE non Standard Options, I can majke the pictures smaller</t>
  </si>
  <si>
    <t>How do we want to do the Non-Standard Options??</t>
  </si>
  <si>
    <t>Need desciption of prsocess connection types.</t>
  </si>
  <si>
    <t>Price difference for aluminum vs SST amplifier housing. Northwest. Get pricing on all 3 options for E models.</t>
  </si>
  <si>
    <t>What does vertical impulse piping mean?</t>
  </si>
  <si>
    <t>For electrical connection: Either C and D, or 7 and 9 depending on cost, most likely 7 and 9, get pricing. What is the blind plug made of.</t>
  </si>
  <si>
    <t>Need to find out what the range setting switch is. Possibly exclude option E. Price these.</t>
  </si>
  <si>
    <t>Add CSA option</t>
  </si>
  <si>
    <t>Price the haz area certs, but we probably always want to do the combined.</t>
  </si>
  <si>
    <t xml:space="preserve">What is standard calibration unit (No D tag). What will display on screen? </t>
  </si>
  <si>
    <t>Make PSI standard in drop downs.</t>
  </si>
  <si>
    <t>Area Cert must be specified. None of them is standard.</t>
  </si>
  <si>
    <t>Remove N4, possibly make optional. Ask Fastlane and shop.</t>
  </si>
  <si>
    <t>Mat Cert, 430: Make it so that M11 only comes up with #4 process connector option and M1 otherwise.</t>
  </si>
  <si>
    <t xml:space="preserve">One possibility is to add a Warnings box, that tells the user if they have put in a </t>
  </si>
  <si>
    <t>bad option of notes specific to their current selection.</t>
  </si>
  <si>
    <t>Remove low temp O-ring as option.</t>
  </si>
  <si>
    <t>Make option for "Special Paint" - puts in item master "Do Not Paint at Yoko.. Painting will be done at Sundyne."</t>
  </si>
  <si>
    <t>Try to include presure test without making it too complicated.</t>
  </si>
  <si>
    <t>remove Fast response option</t>
  </si>
  <si>
    <t>Add option for E1, with note (only on A model)</t>
  </si>
  <si>
    <t>Temperature Transmitters</t>
  </si>
  <si>
    <t>We want to price the models. What are the advantages of the 310? The 320?</t>
  </si>
  <si>
    <t>make electrical connection optins 2 and 4</t>
  </si>
  <si>
    <t>make area certs the same as pressure transmitter options</t>
  </si>
  <si>
    <t>Put in SST exterior parts as checkbox option , same as PT's</t>
  </si>
  <si>
    <t>Make note in motes sheet that SST exterior parts (-HC) &lt;&lt;Didn't finish typing. Look at superscript note in seletion table.</t>
  </si>
  <si>
    <t>^^ Createing help page broken down by option number.</t>
  </si>
  <si>
    <t>Notes for help page:</t>
  </si>
  <si>
    <t>Describe process connections</t>
  </si>
  <si>
    <t>Read all superscript note for all of the selections that are used in the tool</t>
  </si>
  <si>
    <t>Descibe installation</t>
  </si>
  <si>
    <t xml:space="preserve">Hazardous are certs- Tell them to choose one, nothing is standard. </t>
  </si>
  <si>
    <t>Paint - if special, need paint matrix</t>
  </si>
  <si>
    <t>Pressure test - pressure test unique to capsule, need to look up manually(include table??)</t>
  </si>
  <si>
    <t>Gauge pressure in-line</t>
  </si>
  <si>
    <t>Gauge pressure coplanar(traditional)</t>
  </si>
  <si>
    <t>Differential pressure</t>
  </si>
  <si>
    <t>Wednesday Oct 26</t>
  </si>
  <si>
    <t>FOR Designer mtg:</t>
  </si>
  <si>
    <t>Invite Tom, Darcy, Shawn Gress or Brian Joyce, and maybe one other instrument engineer from complex.</t>
  </si>
  <si>
    <t>Decide on standard mounting:</t>
  </si>
  <si>
    <t>Decide on manifolds:</t>
  </si>
  <si>
    <t>&gt;&gt;Can we make in-in line standard?</t>
  </si>
  <si>
    <t>&gt;&gt;What is the best way to mount them?</t>
  </si>
  <si>
    <t>&gt;&gt;Coplanar mounts directly to vertical gauge board face.</t>
  </si>
  <si>
    <t>&gt;&gt;Ref PPI example w/Ubolt.</t>
  </si>
  <si>
    <t>Monday Oct 31</t>
  </si>
  <si>
    <t>Working on updating Temperature Transmitter sheet. Then fix DPT and TT item masters.</t>
  </si>
  <si>
    <t xml:space="preserve">Waiting to hear back from Northwest before scheduling mounting meeting. </t>
  </si>
  <si>
    <t>Need to talk to Tom.</t>
  </si>
  <si>
    <t>Wednesday Nov 2</t>
  </si>
  <si>
    <t>Working on Item Master text - Done</t>
  </si>
  <si>
    <t>Thursday Nov 3</t>
  </si>
  <si>
    <t>Heard back from Dan Burton at Northwest (see email)</t>
  </si>
  <si>
    <t>EJA-A models are being discontinued(Actually? Need to confirm) and replaced by EJA-E.</t>
  </si>
  <si>
    <t>Temperature transmitters are also apparently being replaced by new model.</t>
  </si>
  <si>
    <t>As of now I have simply removed the EJA-A options from the drop-down menus.</t>
  </si>
  <si>
    <t>The data is still all in the file, and I don’t really see a reason to take it out.</t>
  </si>
  <si>
    <t>TT sheets will require more work as the new model has slightly different options</t>
  </si>
  <si>
    <t>Started V.10.0</t>
  </si>
  <si>
    <t>Code</t>
  </si>
  <si>
    <t>YTA610</t>
  </si>
  <si>
    <t>4-20mA w/ HART (Standard)</t>
  </si>
  <si>
    <t>ALWAYS</t>
  </si>
  <si>
    <t>Sensor Input</t>
  </si>
  <si>
    <t>Single (Standard)</t>
  </si>
  <si>
    <t>Double</t>
  </si>
  <si>
    <t>Housing Code</t>
  </si>
  <si>
    <t>Aluminum</t>
  </si>
  <si>
    <t>Stainless Steel</t>
  </si>
  <si>
    <t>1/2 NPT female</t>
  </si>
  <si>
    <t>M20 female</t>
  </si>
  <si>
    <t>Digital Indicator (Standard)</t>
  </si>
  <si>
    <t>None</t>
  </si>
  <si>
    <t>2” Vertical Piping (L Type)</t>
  </si>
  <si>
    <t>Hazardous Area Cert</t>
  </si>
  <si>
    <t>(Please Specifiy)</t>
  </si>
  <si>
    <t>FM Explosionproof and Intrinsically Safe</t>
  </si>
  <si>
    <t>-FU1</t>
  </si>
  <si>
    <t>CSA Explosionproof and Intrinsically Safe</t>
  </si>
  <si>
    <t>-CU1</t>
  </si>
  <si>
    <t>ATEX Flameproof and Intrinsically Safe</t>
  </si>
  <si>
    <t>-KU2</t>
  </si>
  <si>
    <t>IECEx Flameproof and Intrinsically Safe</t>
  </si>
  <si>
    <t>-SU2</t>
  </si>
  <si>
    <t>Lightning Protection</t>
  </si>
  <si>
    <t>-A</t>
  </si>
  <si>
    <t>SPECIAL PAINT</t>
  </si>
  <si>
    <t>SPECIAL PAINT - Paint at Sundyne</t>
  </si>
  <si>
    <t>Pam</t>
  </si>
  <si>
    <t>Copy</t>
  </si>
  <si>
    <t>Monday Nov 7</t>
  </si>
  <si>
    <t>Set up meeting with Northwest and Yoko</t>
  </si>
  <si>
    <t>Copy Pam on email.</t>
  </si>
  <si>
    <t>Friday Nov 11</t>
  </si>
  <si>
    <t>Submit version 11 to Greg for testing by EOW.</t>
  </si>
  <si>
    <t>To do:</t>
  </si>
  <si>
    <t>Make blanks in apps sheet input "Please Specify".</t>
  </si>
  <si>
    <t>Create a calibrated Range check - only if completely outside range</t>
  </si>
  <si>
    <t>Greg: We want to bring Dan in for a small meeting to discuss the new models.</t>
  </si>
  <si>
    <t>Make al housing std. update sheets</t>
  </si>
  <si>
    <t>Make applications pulldown options pull from applications sheet</t>
  </si>
  <si>
    <t>Convert DP spans to psi - put psi in ()</t>
  </si>
  <si>
    <t>Schedule Meeting with designers.</t>
  </si>
  <si>
    <t>&lt;Weds Nov 16</t>
  </si>
  <si>
    <t>Update Pictures for each page</t>
  </si>
  <si>
    <t>At least make a start on the help pages.</t>
  </si>
  <si>
    <t>Remove SST Amp Housing check boxes</t>
  </si>
  <si>
    <t>Comment code.</t>
  </si>
  <si>
    <t>***Make sure that the user can safely do a set list of things such as:</t>
  </si>
  <si>
    <t>Add new models</t>
  </si>
  <si>
    <t>Add new applications</t>
  </si>
  <si>
    <t>(with instructions)</t>
  </si>
  <si>
    <t>Change standards</t>
  </si>
  <si>
    <t>Update model data</t>
  </si>
  <si>
    <t>…</t>
  </si>
  <si>
    <t>(At least for this version make sure that greg knows what can be easily updated so he can try it)</t>
  </si>
  <si>
    <t>Add models to Range Check Data</t>
  </si>
  <si>
    <t>Make sure that all of the units are shown in PSI in the data sheets for each model.</t>
  </si>
  <si>
    <t>(And shows up in psi units everywhere)</t>
  </si>
  <si>
    <t>(Needs Testing)</t>
  </si>
  <si>
    <t>(Tested)</t>
  </si>
  <si>
    <t>&lt;Converted instead of removed (this way we can easliy reincorperate the EJA-A models if need be)</t>
  </si>
  <si>
    <t>Monday Nov 14</t>
  </si>
  <si>
    <t>TO DO:</t>
  </si>
  <si>
    <t>Test functionality and send to Greg.</t>
  </si>
  <si>
    <t>Write up instructions for updating the tool.</t>
  </si>
  <si>
    <t xml:space="preserve">Prepare for designer meeting by having good list of manifolds and YOKO mounting options ready. </t>
  </si>
  <si>
    <t>Finish pictures functionality w/ updated mounting standard</t>
  </si>
  <si>
    <t>(include manifold??)(get pics from Yoko or internal model?)</t>
  </si>
  <si>
    <t>Select second wave of testers and send out (everything should work)</t>
  </si>
  <si>
    <t>Actions:</t>
  </si>
  <si>
    <t>Update/change an application</t>
  </si>
  <si>
    <t>Add a new application</t>
  </si>
  <si>
    <t>Can be done by normal user?</t>
  </si>
  <si>
    <t>Create appropricate protections.</t>
  </si>
  <si>
    <t>Make changes to data within a model</t>
  </si>
  <si>
    <t>Add a new model</t>
  </si>
  <si>
    <t>Change the options that can be selected on a transmitter type</t>
  </si>
  <si>
    <t>Add a new transmitter type/brand</t>
  </si>
  <si>
    <t>Change valve manifold standards</t>
  </si>
  <si>
    <t>Summary of Instructions</t>
  </si>
  <si>
    <t>What else?????</t>
  </si>
  <si>
    <t>Update pictures</t>
  </si>
  <si>
    <t>Make changes to item master text</t>
  </si>
  <si>
    <t>Unhide the 'Applications' and the appropriate '(..) Data' worksheets. Go to 'Applications' sheet. Find the rows containing the appropriate instrument type. Change the numbers in the column for the application desired to match the number in the 'Choice Number' column of the appropriate '(..) Data' worksheet.  Hide the 'Applications' and '(..) Data' worksheets.</t>
  </si>
  <si>
    <t xml:space="preserve">Unhide the 'Applications' and the appropriate '(..) Data' worksheets. Find the rows containing the appropriate instrument type. Add a new set of numbers in the next availible column, along with the application name. Make sure the numbers correspond to the 'Choice Number' located in the leftmost column of the '(..) Data' worksheet. </t>
  </si>
  <si>
    <t xml:space="preserve">This will require code changes. Ex: dataColumn function need to be prepared to accept additional options. </t>
  </si>
  <si>
    <t xml:space="preserve">Unhide the appropriate '(..) Data' worksheet. Find the columns that correspond to the model that  needs to be changed. Locate the option that needs to be updated. Add or change data. Rows can be added or removed as needed. Make sure to follow the numbering system in the 'Option Number' and 'Choice Number' columns for any added rows. </t>
  </si>
  <si>
    <t xml:space="preserve">Unhide 'Valve Manifolds' worksheet. Find the column containing the appropriate transmitter model. Change data as nessasary. </t>
  </si>
  <si>
    <t xml:space="preserve">Go to the appropriate '(..) Item Master Text' worksheet. Add text ass needed in blank rows. Extra rows can be inserted if nessesary. Make sure not to modify the formulas in any of the cells (many of which appear blank under certain conditions). </t>
  </si>
  <si>
    <t>Write up Instrument type help sheets.</t>
  </si>
  <si>
    <t>OPTION NUMBER</t>
  </si>
  <si>
    <t>OPTION NAME</t>
  </si>
  <si>
    <t>NOTES:</t>
  </si>
  <si>
    <t>The output signal will almost always be 4-20 mA w/ HART for Core lane orders. Complex orders often require Foundation Feildbus digital ouput.</t>
  </si>
  <si>
    <t>Measurement Span Limits</t>
  </si>
  <si>
    <t>Pressure Test</t>
  </si>
  <si>
    <t>Capsule choices vary by model. Make sure that instrument's calibrated range is within the selected span limits.</t>
  </si>
  <si>
    <t>Still undecided until selection of mouning standard.</t>
  </si>
  <si>
    <t xml:space="preserve">1/2" NPT female is Sundyne standard. For EJA530E (in-line mounting, standard) model, 1/2" NPT male is availible as an option. For EJA430 (coplanar mounting) model, the second option is an open flange face with a 1/4" female NPT entry on flange face. See the Yokogawa specifications sheet for additional options and more information. </t>
  </si>
  <si>
    <t>Does HC option include SST blind plug?? Likewise can it be used with electrical connection number 7?</t>
  </si>
  <si>
    <t xml:space="preserve">Painted cast aluminum is Sundyne standard for transmitter body. A SST housing can be chosen as an 'Non-Standard Option' in the checkbox area. The SST Amplifier Housing option automatically includes 'SST Exterior Parts' option. </t>
  </si>
  <si>
    <t>Material cert is preselected as Sundyne standard to be included on all transmitter orders.</t>
  </si>
  <si>
    <t>Option vs Sleection (not 'choice')</t>
  </si>
  <si>
    <t>Review entire project to differentiate between the terms 'option' and 'selection'</t>
  </si>
  <si>
    <t>Remove the term 'Choice'./</t>
  </si>
  <si>
    <t>This option is the same as the SST selection in option 7.</t>
  </si>
  <si>
    <t>Screws and Set screw will be 316 or 316L. This option is automatically included if 'SST Amplifier Housing' is selected.</t>
  </si>
  <si>
    <t>Used only if required by specifications.</t>
  </si>
  <si>
    <t>Used only if required by specifications. NOTE: There is a different pressure test code for each selection of option 2 (measurement span limits). If the transmitter requires pressure testing, the user must manually edit the Item Master text to match the correct code from the Yokogawa transmitter specification sheet.</t>
  </si>
  <si>
    <t xml:space="preserve">This option puts a note into the Item Master text that Yokogawa should not paint the transmitter. Use only if the Transmitters are to be painted at Sundyne in accordance with a customer paint spec. A paint matrix will be required. See the Yokogawa specifications sheet for additional paint options and more information. </t>
  </si>
  <si>
    <t xml:space="preserve">NACE compliant 316SST is Sundyne standard. Other selections for this option have not been included in the tool. See the Yokogawa specifications sheet for additional selections and more information. </t>
  </si>
  <si>
    <t xml:space="preserve">Sundyne standard is 1/2" NPT female w/ a blind plug. Plug is aluminum. M20 connection type also availible.  See the Yokogawa specifications sheet for additional selections and more information. </t>
  </si>
  <si>
    <t xml:space="preserve">Stainless steel selection is Sundyne standard. This option only applies to the EJA430E (coplanar) model. The EJA530E (in-line) model does not have bolts. See the Yokogawa specifications sheet for additional selections and more information. </t>
  </si>
  <si>
    <t>PSI is standard. Transmitter display units can be changed without changing calibration units.</t>
  </si>
  <si>
    <t>A digital indicator is standard when the transmitter is to be mounted to a gauge board. Range setting switch (selection 'E') allows configuration of transmitter through push button on display and zero screw located side of transmitter.  Selection 'D' requires HART communicator for transmitter configuration.</t>
  </si>
  <si>
    <t>There is no Sundyne standard certification type. The Hazardous Area cetification type depends on the specifications/destination of the product. User must select a cert type for all transmitter orders.</t>
  </si>
  <si>
    <t>Currently the EJA-E models are the only Yokogawa models selected by this tool for Gauge Pressure Transmitter. The EJA-A models are being discontinued by Yokogawa. The EJX-A models are more costly and have few advantages over the EJA-E models except in applications requireing high accuracy. See Yokogawa specification sheets for more information.</t>
  </si>
  <si>
    <t xml:space="preserve">This option only applies to the EJA430E model. Horizontal impulse
piping option means thatthe process connection enters the transmitter
 in the horizontal direction (rather than vertical). This is Sundyne standard. </t>
  </si>
  <si>
    <t xml:space="preserve">The 430 model has a coplanar or 'traditional' mounting style. (See left picture).
This mounting style is convienient because it can be mounted directly to a gauge
board. However the 430 model is more expensive and requires a more expensive
valve manifold.
The 530 model is mounted 'in-line'. (See right picture). This model is simpler and
less costly than the 430 model and should be used whenever possible. </t>
  </si>
  <si>
    <t>TBD (PICTURES)</t>
  </si>
  <si>
    <t>Valve Manifolds</t>
  </si>
  <si>
    <t xml:space="preserve">1/2" NPT female is Sundyne standard. The '2' selection is an open flange face with a 1/4" female NPT entry on flange face. See the Yokogawa specifications sheet for additional options and more information. </t>
  </si>
  <si>
    <t>Tuesday Nov 15</t>
  </si>
  <si>
    <t>Sent v.12.2 to Greg for testing.</t>
  </si>
  <si>
    <t>I would really like to make it so that the user can add new models if desired</t>
  </si>
  <si>
    <t>IDEA: insert some blank model templates that the user can use to make new models??</t>
  </si>
  <si>
    <t>The main thing that has to be changed is the Get-Column function.</t>
  </si>
  <si>
    <t>PSI</t>
  </si>
  <si>
    <t>CREATE AGENDA FOR MOUNTING MEETING</t>
  </si>
  <si>
    <t>Option</t>
  </si>
  <si>
    <t>Selections</t>
  </si>
  <si>
    <t>PN Selections</t>
  </si>
  <si>
    <t>Option Number</t>
  </si>
  <si>
    <t>TOTAL</t>
  </si>
  <si>
    <t>CALIBRATED RANGES</t>
  </si>
  <si>
    <t>Calibrate Ranges</t>
  </si>
  <si>
    <t>Index Number</t>
  </si>
  <si>
    <t>Calibrated Ranges</t>
  </si>
  <si>
    <t>0 to 100 psi</t>
  </si>
  <si>
    <t>0 to 30 psi</t>
  </si>
  <si>
    <t>0 to 9 psi</t>
  </si>
  <si>
    <t>Agenda:</t>
  </si>
  <si>
    <r>
      <t xml:space="preserve">Select </t>
    </r>
    <r>
      <rPr>
        <b/>
        <sz val="11"/>
        <color theme="1"/>
        <rFont val="Calibri"/>
        <family val="2"/>
        <scheme val="minor"/>
      </rPr>
      <t>mounting style</t>
    </r>
    <r>
      <rPr>
        <sz val="11"/>
        <color theme="1"/>
        <rFont val="Calibri"/>
        <family val="2"/>
        <scheme val="minor"/>
      </rPr>
      <t xml:space="preserve"> standard</t>
    </r>
  </si>
  <si>
    <r>
      <t xml:space="preserve">Select </t>
    </r>
    <r>
      <rPr>
        <b/>
        <sz val="11"/>
        <color theme="1"/>
        <rFont val="Calibri"/>
        <family val="2"/>
        <scheme val="minor"/>
      </rPr>
      <t>all bracket options</t>
    </r>
    <r>
      <rPr>
        <sz val="11"/>
        <color theme="1"/>
        <rFont val="Calibri"/>
        <family val="2"/>
        <scheme val="minor"/>
      </rPr>
      <t xml:space="preserve"> for each transmitter model in tool</t>
    </r>
  </si>
  <si>
    <r>
      <t xml:space="preserve">Select standard </t>
    </r>
    <r>
      <rPr>
        <b/>
        <sz val="11"/>
        <color theme="1"/>
        <rFont val="Calibri"/>
        <family val="2"/>
        <scheme val="minor"/>
      </rPr>
      <t>valve manifold</t>
    </r>
    <r>
      <rPr>
        <sz val="11"/>
        <color theme="1"/>
        <rFont val="Calibri"/>
        <family val="2"/>
        <scheme val="minor"/>
      </rPr>
      <t xml:space="preserve"> for each pressure transmitter type</t>
    </r>
  </si>
  <si>
    <t>Mounting Styles:</t>
  </si>
  <si>
    <t>DPT: Coplanar (traditional)</t>
  </si>
  <si>
    <t>TT: "Field Mount"</t>
  </si>
  <si>
    <t>PT: Coplanar and In-line</t>
  </si>
  <si>
    <t>What is the price difference?</t>
  </si>
  <si>
    <t>PT Brackets:</t>
  </si>
  <si>
    <t>530 - Only options are 2 inch pipe bracket and none.</t>
  </si>
  <si>
    <t>430 - L type, flat type and none.</t>
  </si>
  <si>
    <t>DPT brackets: Same as 430</t>
  </si>
  <si>
    <t>Questions to answer:</t>
  </si>
  <si>
    <t>Do we want there to be an option for vertical impulse piping? (pic in tool help)</t>
  </si>
  <si>
    <t>What do we want the standard process connections to be?</t>
  </si>
  <si>
    <t>~$500 (See quotes)</t>
  </si>
  <si>
    <t>For 430 and 110 models, we can mount directly to the guage board.</t>
  </si>
  <si>
    <t>Do we want there to be and option for pipe mounting brackets on 110, 430, and YTA610 models?</t>
  </si>
  <si>
    <t>Valve Manifolds:</t>
  </si>
  <si>
    <t>Source: Rosemount</t>
  </si>
  <si>
    <t>Diff Pressure</t>
  </si>
  <si>
    <t>Temp</t>
  </si>
  <si>
    <t>Standard</t>
  </si>
  <si>
    <t>included as tool option</t>
  </si>
  <si>
    <t>Other mountings to be</t>
  </si>
  <si>
    <t>mounting</t>
  </si>
  <si>
    <t>valve manifold</t>
  </si>
  <si>
    <t>430 vs 530</t>
  </si>
  <si>
    <t>Can we create our own, without cutting the brackets? -ie Chris Reichert's method</t>
  </si>
  <si>
    <t>Can we use 24-502 as standard for 530 PT's?</t>
  </si>
  <si>
    <t>What do we want to use as standard for the coplanar pressure xmitters?</t>
  </si>
  <si>
    <t>(Anderson Greenwood, Swagelok, Parker…)</t>
  </si>
  <si>
    <t>No bracket</t>
  </si>
  <si>
    <t>No bracket - 3rd party ubolt</t>
  </si>
  <si>
    <t>03-237DS</t>
  </si>
  <si>
    <t>06-030</t>
  </si>
  <si>
    <t>For traditional w/ no bracket, need 7/16 fine thread bolts &amp; washers</t>
  </si>
  <si>
    <t>x4</t>
  </si>
  <si>
    <t>Find 530 u bolt bracket</t>
  </si>
  <si>
    <t>Check on TT bolt &amp; include</t>
  </si>
  <si>
    <t>x</t>
  </si>
  <si>
    <t>compare Swagelok, AG, Noshook</t>
  </si>
  <si>
    <t>71-634</t>
  </si>
  <si>
    <t>Include alternate manifold option for 530</t>
  </si>
  <si>
    <t>For 430 need to pick a model between AG and swagelok</t>
  </si>
  <si>
    <t>Look at country of origin w/ valves</t>
  </si>
  <si>
    <t>Swaglok is standard USA</t>
  </si>
  <si>
    <t>Eliminate 4 option from traditional (process conn)</t>
  </si>
  <si>
    <t>only 4 for 530</t>
  </si>
  <si>
    <t>When time to test tool, send to tom for complex review</t>
  </si>
  <si>
    <t>24-301</t>
  </si>
  <si>
    <t>^^ TALK TO AG AND SWAGLOK and ask which is best valve(s) for our appliocations</t>
  </si>
  <si>
    <t>Swagelok block and bleed 71-634</t>
  </si>
  <si>
    <t>Anderson Greenwood block and bleed 71-638</t>
  </si>
  <si>
    <t>TOM EMAIL (11/23):</t>
  </si>
  <si>
    <t>71-638</t>
  </si>
  <si>
    <t>71-124</t>
  </si>
  <si>
    <t>M6A-V-D-S-4</t>
  </si>
  <si>
    <t>Anderson Greenwood</t>
  </si>
  <si>
    <t>P/N</t>
  </si>
  <si>
    <t>MFG</t>
  </si>
  <si>
    <t>CODE</t>
  </si>
  <si>
    <t>TYPE</t>
  </si>
  <si>
    <t>Note</t>
  </si>
  <si>
    <t>A22N-VIS-4</t>
  </si>
  <si>
    <t>71-639</t>
  </si>
  <si>
    <t>Specifically for DPT</t>
  </si>
  <si>
    <t>71-587</t>
  </si>
  <si>
    <t>M4TVIS-4</t>
  </si>
  <si>
    <t>2 Valve Manifold (PT)</t>
  </si>
  <si>
    <t>5 valve (DPT)</t>
  </si>
  <si>
    <t>71-321</t>
  </si>
  <si>
    <t>M4TPVIS-4</t>
  </si>
  <si>
    <t>It doesn't look like this model still exists</t>
  </si>
  <si>
    <t>M6TVIS4</t>
  </si>
  <si>
    <t>'Natural Gas' model, NOT FLANGED</t>
  </si>
  <si>
    <t>'Natural Gas' model, FLANGED</t>
  </si>
  <si>
    <t>71-372</t>
  </si>
  <si>
    <t>Still want to look into the M24 model.</t>
  </si>
  <si>
    <t>Monday Dec 19, 2016</t>
  </si>
  <si>
    <t>What all needs to be done before the tool can be released for testing??</t>
  </si>
  <si>
    <t>Complete PN lists</t>
  </si>
  <si>
    <t>Pictures</t>
  </si>
  <si>
    <t>Find In-Line mounting Hardward</t>
  </si>
  <si>
    <t>Create mini BOMs (where needed)</t>
  </si>
  <si>
    <t>** First find notes from last meeting</t>
  </si>
  <si>
    <t>Finish range presets (DPT and TT)</t>
  </si>
  <si>
    <t>Talk to Northwest and Finalize a plan for discussion/training</t>
  </si>
  <si>
    <t>Help and documentation sheets/ external standard works</t>
  </si>
  <si>
    <t>M25-VIS-44</t>
  </si>
  <si>
    <t>In-line (use 24-502)</t>
  </si>
  <si>
    <t>EJA430E-JHS5G-917EN-KU22-D1-M01</t>
  </si>
  <si>
    <t>&lt;&lt;May want to hold off on DTP and TT lists until we get the PT system down</t>
  </si>
  <si>
    <t>&lt;&lt;Need to figure out who to talk to (designer)</t>
  </si>
  <si>
    <t>&lt;&lt;Discuss with Greg in next Tuesday meeting.</t>
  </si>
  <si>
    <t>TT Thermowell/Sensor element section</t>
  </si>
  <si>
    <t>https://www.mcmaster.com/#3042t94/=15jww8c</t>
  </si>
  <si>
    <t>Transmitter Measurment Span Limits</t>
  </si>
  <si>
    <t>Electrical Connections</t>
  </si>
  <si>
    <t>REF Number:</t>
  </si>
  <si>
    <t>PT-00002</t>
  </si>
  <si>
    <t xml:space="preserve">Item Number: </t>
  </si>
  <si>
    <t>All Standard - 0-30 Range - ATEX</t>
  </si>
  <si>
    <t>All Standard - 0-30 Range - IECEx</t>
  </si>
  <si>
    <t>Lube Oil Pressure - ATEX</t>
  </si>
  <si>
    <t>Lube Oil Pressure - IECEx</t>
  </si>
  <si>
    <t>Lube Oil Pressure - FM</t>
  </si>
  <si>
    <t>Lube Oil Pressure - CSA</t>
  </si>
  <si>
    <t>PT-00001</t>
  </si>
  <si>
    <t>All Standard - 0-30 Range - FM</t>
  </si>
  <si>
    <t>All Standard - 0-30 Range - CSA</t>
  </si>
  <si>
    <t>PT-00061</t>
  </si>
  <si>
    <t>PT-00121</t>
  </si>
  <si>
    <t>PT-00181</t>
  </si>
  <si>
    <t>Name:</t>
  </si>
  <si>
    <t>PT-00062</t>
  </si>
  <si>
    <t>PT-00122</t>
  </si>
  <si>
    <t>PT-00182</t>
  </si>
  <si>
    <t>PT-00003</t>
  </si>
  <si>
    <t>PT-00063</t>
  </si>
  <si>
    <t>PT-00123</t>
  </si>
  <si>
    <t>PT-00183</t>
  </si>
  <si>
    <t>All Standard - 0-300 Range - ATEX</t>
  </si>
  <si>
    <t>All Standard - 0-300 Range - IECEx</t>
  </si>
  <si>
    <t>All Standard - 0-300 Range - FM</t>
  </si>
  <si>
    <t>All Standard - 0-300 Range - CSA</t>
  </si>
  <si>
    <t>TOTAL COUNT</t>
  </si>
  <si>
    <t>FROM 12/20 MTG:</t>
  </si>
  <si>
    <t>Put link to Yoko website in help pages (for the corresponding model)</t>
  </si>
  <si>
    <t>Find out what the calibrtion units actually do</t>
  </si>
  <si>
    <t xml:space="preserve">See email Dan Burton </t>
  </si>
  <si>
    <t>What material are the Rosemount u-bolds</t>
  </si>
  <si>
    <t>316SST</t>
  </si>
  <si>
    <t>We want to show this to the designers (remind Greg)</t>
  </si>
  <si>
    <t>Does TT come with bolt?</t>
  </si>
  <si>
    <t>Need to figure out what bolt to order with TT</t>
  </si>
  <si>
    <t>All Standard - 0-1000 Range - CSA</t>
  </si>
  <si>
    <t>All Standard - 0-1000 Range - FM</t>
  </si>
  <si>
    <t>All Standard - 0-1000 Range - IECEx</t>
  </si>
  <si>
    <t>All Standard - 0-1000 Range - ATEX</t>
  </si>
  <si>
    <t>All Standard - 0-500 Range - CSA</t>
  </si>
  <si>
    <t>All Standard - 0-500 Range - FM</t>
  </si>
  <si>
    <t>All Standard - 0-500 Range - IECEx</t>
  </si>
  <si>
    <t>All Standard - 0-500 Range - ATEX</t>
  </si>
  <si>
    <t>PT-00004</t>
  </si>
  <si>
    <t>PT-00064</t>
  </si>
  <si>
    <t>PT-00124</t>
  </si>
  <si>
    <t>PT-00184</t>
  </si>
  <si>
    <t>PT-00005</t>
  </si>
  <si>
    <t>PT-00065</t>
  </si>
  <si>
    <t>PT-00125</t>
  </si>
  <si>
    <t>PT-00185</t>
  </si>
  <si>
    <t>67-2698</t>
  </si>
  <si>
    <t>67-2699</t>
  </si>
  <si>
    <t>67-2696</t>
  </si>
  <si>
    <t>67-2697</t>
  </si>
  <si>
    <t>67-2714</t>
  </si>
  <si>
    <t>67-2715</t>
  </si>
  <si>
    <t>67-2716</t>
  </si>
  <si>
    <t>67-2717</t>
  </si>
  <si>
    <t>67-2718</t>
  </si>
  <si>
    <t>67-2719</t>
  </si>
  <si>
    <t>67-2720</t>
  </si>
  <si>
    <t>67-2721</t>
  </si>
  <si>
    <t>67-2722</t>
  </si>
  <si>
    <t>67-2723</t>
  </si>
  <si>
    <t>67-2724</t>
  </si>
  <si>
    <t>67-2725</t>
  </si>
  <si>
    <t>67-2726</t>
  </si>
  <si>
    <t>67-2727</t>
  </si>
  <si>
    <t>67-2728</t>
  </si>
  <si>
    <t>67-2729</t>
  </si>
  <si>
    <t>All Standard - 0-9 Range - ATEX</t>
  </si>
  <si>
    <t>All Standard - 0-9 Range - IECEx</t>
  </si>
  <si>
    <t>All Standard - 0-9 Range - FM</t>
  </si>
  <si>
    <t>All Standard - 0-9 Range - CSA</t>
  </si>
  <si>
    <t>All Standard - 0-100 Range - ATEX</t>
  </si>
  <si>
    <t>All Standard - 0-100 Range - IECEx</t>
  </si>
  <si>
    <t>All Standard - 0-100 Range - FM</t>
  </si>
  <si>
    <t>All Standard - 0-100 Range - CSA</t>
  </si>
  <si>
    <t>DPT-00001</t>
  </si>
  <si>
    <t>DPT-00002</t>
  </si>
  <si>
    <t>DPT-00003</t>
  </si>
  <si>
    <t>DPT-00037</t>
  </si>
  <si>
    <t>DPT-00073</t>
  </si>
  <si>
    <t>DPT-00109</t>
  </si>
  <si>
    <t>DPT-00038</t>
  </si>
  <si>
    <t>DPT-00074</t>
  </si>
  <si>
    <t>DPT-00110</t>
  </si>
  <si>
    <t>DPT-00039</t>
  </si>
  <si>
    <t>DPT-00075</t>
  </si>
  <si>
    <t>DPT-00111</t>
  </si>
  <si>
    <t>67-2732</t>
  </si>
  <si>
    <t>67-2733</t>
  </si>
  <si>
    <t>67-2734</t>
  </si>
  <si>
    <t>67-2735</t>
  </si>
  <si>
    <t>67-2736</t>
  </si>
  <si>
    <t>67-2737</t>
  </si>
  <si>
    <t>67-2738</t>
  </si>
  <si>
    <t>67-2739</t>
  </si>
  <si>
    <t>67-2740</t>
  </si>
  <si>
    <t>67-2741</t>
  </si>
  <si>
    <t>67-2742</t>
  </si>
  <si>
    <t>67-2743</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</si>
</sst>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_);[Red]\(&quot;$&quot;#,##0\)"/>
    <numFmt numFmtId="8" formatCode="&quot;$&quot;#,##0.00_);[Red]\(&quot;$&quot;#,##0.00\)"/>
    <numFmt numFmtId="44" formatCode="_(&quot;$&quot;* #,##0.00_);_(&quot;$&quot;* \(#,##0.00\);_(&quot;$&quot;* &quot;-&quot;??_);_(@_)"/>
    <numFmt numFmtId="164" formatCode="0.000%"/>
  </numFmts>
  <fonts count="13" x14ac:knownFonts="1">
    <font>
      <sz val="11"/>
      <color theme="1"/>
      <name val="Calibri"/>
      <family val="2"/>
      <scheme val="minor"/>
    </font>
    <font>
      <b/>
      <sz val="11"/>
      <color theme="1"/>
      <name val="Calibri"/>
      <family val="2"/>
      <scheme val="minor"/>
    </font>
    <font>
      <b/>
      <u/>
      <sz val="11"/>
      <color theme="1"/>
      <name val="Calibri"/>
      <family val="2"/>
      <scheme val="minor"/>
    </font>
    <font>
      <b/>
      <sz val="9"/>
      <color theme="1"/>
      <name val="Calibri"/>
      <family val="2"/>
      <scheme val="minor"/>
    </font>
    <font>
      <b/>
      <sz val="12"/>
      <color theme="1"/>
      <name val="Calibri"/>
      <family val="2"/>
      <scheme val="minor"/>
    </font>
    <font>
      <sz val="9"/>
      <color indexed="81"/>
      <name val="Tahoma"/>
      <family val="2"/>
    </font>
    <font>
      <b/>
      <sz val="9"/>
      <color indexed="81"/>
      <name val="Tahoma"/>
      <family val="2"/>
    </font>
    <font>
      <sz val="11"/>
      <color theme="1"/>
      <name val="Calibri"/>
      <family val="2"/>
      <scheme val="minor"/>
    </font>
    <font>
      <b/>
      <sz val="16"/>
      <color theme="1"/>
      <name val="Calibri"/>
      <family val="2"/>
      <scheme val="minor"/>
    </font>
    <font>
      <u/>
      <sz val="11"/>
      <color theme="1"/>
      <name val="Calibri"/>
      <family val="2"/>
      <scheme val="minor"/>
    </font>
    <font>
      <i/>
      <sz val="11"/>
      <color theme="1"/>
      <name val="Calibri"/>
      <family val="2"/>
      <scheme val="minor"/>
    </font>
    <font>
      <sz val="9"/>
      <color rgb="FF000000"/>
      <name val="Calibri"/>
      <family val="2"/>
      <scheme val="minor"/>
    </font>
    <font>
      <u/>
      <sz val="11"/>
      <color theme="10"/>
      <name val="Calibri"/>
      <family val="2"/>
      <scheme val="minor"/>
    </font>
  </fonts>
  <fills count="11">
    <fill>
      <patternFill patternType="none"/>
    </fill>
    <fill>
      <patternFill patternType="gray125"/>
    </fill>
    <fill>
      <patternFill patternType="solid">
        <fgColor theme="9" tint="0.39997558519241921"/>
        <bgColor indexed="64"/>
      </patternFill>
    </fill>
    <fill>
      <patternFill patternType="solid">
        <fgColor theme="9" tint="-0.249977111117893"/>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0000"/>
        <bgColor indexed="64"/>
      </patternFill>
    </fill>
    <fill>
      <patternFill patternType="solid">
        <fgColor theme="8" tint="0.39997558519241921"/>
        <bgColor indexed="64"/>
      </patternFill>
    </fill>
  </fills>
  <borders count="43">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medium">
        <color auto="1"/>
      </bottom>
      <diagonal/>
    </border>
    <border>
      <left/>
      <right style="thick">
        <color auto="1"/>
      </right>
      <top/>
      <bottom style="medium">
        <color auto="1"/>
      </bottom>
      <diagonal/>
    </border>
    <border>
      <left style="thick">
        <color auto="1"/>
      </left>
      <right/>
      <top/>
      <bottom/>
      <diagonal/>
    </border>
    <border>
      <left/>
      <right style="thick">
        <color auto="1"/>
      </right>
      <top/>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right/>
      <top style="thick">
        <color auto="1"/>
      </top>
      <bottom style="thick">
        <color auto="1"/>
      </bottom>
      <diagonal/>
    </border>
    <border>
      <left style="thick">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thick">
        <color auto="1"/>
      </right>
      <top style="thin">
        <color auto="1"/>
      </top>
      <bottom/>
      <diagonal/>
    </border>
    <border>
      <left style="thin">
        <color auto="1"/>
      </left>
      <right style="thick">
        <color auto="1"/>
      </right>
      <top/>
      <bottom style="thick">
        <color auto="1"/>
      </bottom>
      <diagonal/>
    </border>
    <border>
      <left/>
      <right/>
      <top style="thick">
        <color auto="1"/>
      </top>
      <bottom/>
      <diagonal/>
    </border>
    <border>
      <left/>
      <right style="thin">
        <color auto="1"/>
      </right>
      <top/>
      <bottom style="thick">
        <color auto="1"/>
      </bottom>
      <diagonal/>
    </border>
    <border>
      <left style="thick">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diagonalUp="1" diagonalDown="1">
      <left style="thin">
        <color auto="1"/>
      </left>
      <right style="thick">
        <color auto="1"/>
      </right>
      <top style="thin">
        <color auto="1"/>
      </top>
      <bottom style="thick">
        <color auto="1"/>
      </bottom>
      <diagonal style="medium">
        <color auto="1"/>
      </diagonal>
    </border>
    <border>
      <left style="thin">
        <color auto="1"/>
      </left>
      <right style="thin">
        <color auto="1"/>
      </right>
      <top style="thin">
        <color auto="1"/>
      </top>
      <bottom style="thick">
        <color auto="1"/>
      </bottom>
      <diagonal/>
    </border>
    <border>
      <left style="thick">
        <color auto="1"/>
      </left>
      <right style="thick">
        <color auto="1"/>
      </right>
      <top style="thick">
        <color auto="1"/>
      </top>
      <bottom style="thick">
        <color auto="1"/>
      </bottom>
      <diagonal/>
    </border>
  </borders>
  <cellStyleXfs count="3">
    <xf numFmtId="0" fontId="0" fillId="0" borderId="0"/>
    <xf numFmtId="44" fontId="7" fillId="0" borderId="0" applyFont="0" applyFill="0" applyBorder="0" applyAlignment="0" applyProtection="0"/>
    <xf numFmtId="0" fontId="12" fillId="0" borderId="0" applyNumberFormat="0" applyFill="0" applyBorder="0" applyAlignment="0" applyProtection="0"/>
  </cellStyleXfs>
  <cellXfs count="145">
    <xf numFmtId="0" fontId="0" fillId="0" borderId="0" xfId="0"/>
    <xf numFmtId="0" fontId="1" fillId="0" borderId="0" xfId="0" applyFont="1"/>
    <xf numFmtId="49" fontId="0" fillId="0" borderId="0" xfId="0" applyNumberFormat="1"/>
    <xf numFmtId="49" fontId="0" fillId="0" borderId="0" xfId="0" applyNumberFormat="1" applyFill="1"/>
    <xf numFmtId="0" fontId="0" fillId="0" borderId="0" xfId="0" applyFont="1"/>
    <xf numFmtId="0" fontId="0" fillId="0" borderId="0" xfId="0" applyAlignment="1">
      <alignment horizontal="left"/>
    </xf>
    <xf numFmtId="0" fontId="1" fillId="0" borderId="0" xfId="0" applyFont="1" applyAlignment="1">
      <alignment vertical="top" wrapText="1"/>
    </xf>
    <xf numFmtId="0" fontId="0" fillId="0" borderId="0" xfId="0" applyAlignment="1">
      <alignment horizontal="left" vertical="top" wrapText="1"/>
    </xf>
    <xf numFmtId="0" fontId="0" fillId="0" borderId="0" xfId="0" applyAlignment="1">
      <alignment vertical="top" wrapText="1"/>
    </xf>
    <xf numFmtId="0" fontId="0" fillId="0" borderId="0" xfId="0" applyFill="1" applyAlignment="1">
      <alignment vertical="top" wrapText="1"/>
    </xf>
    <xf numFmtId="0" fontId="2" fillId="0" borderId="0" xfId="0" applyFont="1" applyAlignment="1">
      <alignment vertical="top" wrapText="1"/>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0" xfId="0" applyBorder="1" applyAlignment="1">
      <alignment horizontal="left" vertical="top" wrapText="1"/>
    </xf>
    <xf numFmtId="0" fontId="0" fillId="0" borderId="0" xfId="0" applyBorder="1" applyAlignment="1">
      <alignment vertical="top" wrapText="1"/>
    </xf>
    <xf numFmtId="0" fontId="0" fillId="0" borderId="5" xfId="0" applyBorder="1" applyAlignment="1">
      <alignment horizontal="left" vertical="top" wrapText="1"/>
    </xf>
    <xf numFmtId="0" fontId="0" fillId="0" borderId="7" xfId="0" applyBorder="1" applyAlignment="1">
      <alignment horizontal="left" vertical="top" wrapText="1"/>
    </xf>
    <xf numFmtId="0" fontId="0" fillId="0" borderId="7" xfId="0" applyBorder="1" applyAlignment="1">
      <alignment wrapText="1"/>
    </xf>
    <xf numFmtId="0" fontId="0" fillId="0" borderId="8" xfId="0" applyBorder="1" applyAlignment="1">
      <alignment horizontal="left" vertical="top" wrapText="1"/>
    </xf>
    <xf numFmtId="0" fontId="0" fillId="0" borderId="0" xfId="0" applyBorder="1"/>
    <xf numFmtId="0" fontId="0" fillId="0" borderId="7" xfId="0" applyBorder="1"/>
    <xf numFmtId="0" fontId="4" fillId="2" borderId="0" xfId="0" applyFont="1" applyFill="1" applyAlignment="1">
      <alignment horizontal="left" vertical="top" wrapText="1"/>
    </xf>
    <xf numFmtId="0" fontId="4" fillId="0" borderId="0" xfId="0" applyFont="1" applyAlignment="1">
      <alignment horizontal="left" vertical="top" wrapText="1"/>
    </xf>
    <xf numFmtId="0" fontId="0" fillId="0" borderId="0" xfId="0" applyAlignment="1">
      <alignment horizontal="center"/>
    </xf>
    <xf numFmtId="49" fontId="0" fillId="0" borderId="0" xfId="0" applyNumberFormat="1" applyAlignment="1">
      <alignment horizontal="center"/>
    </xf>
    <xf numFmtId="0" fontId="1" fillId="0" borderId="0" xfId="0" applyFont="1" applyAlignment="1">
      <alignment wrapText="1"/>
    </xf>
    <xf numFmtId="0" fontId="3" fillId="0" borderId="0" xfId="0" applyFont="1" applyAlignment="1">
      <alignment horizontal="center" wrapText="1"/>
    </xf>
    <xf numFmtId="0" fontId="0" fillId="0" borderId="0" xfId="0" applyAlignment="1">
      <alignment horizontal="center" vertical="center"/>
    </xf>
    <xf numFmtId="0" fontId="0" fillId="0" borderId="9" xfId="0" applyFill="1" applyBorder="1" applyAlignment="1">
      <alignment vertical="top" wrapText="1"/>
    </xf>
    <xf numFmtId="0" fontId="0" fillId="0" borderId="10" xfId="0" applyFill="1" applyBorder="1" applyAlignment="1">
      <alignment horizontal="left" vertical="top" wrapText="1"/>
    </xf>
    <xf numFmtId="0" fontId="0" fillId="0" borderId="11" xfId="0" applyFill="1" applyBorder="1" applyAlignment="1">
      <alignment horizontal="left" vertical="top" wrapText="1"/>
    </xf>
    <xf numFmtId="0" fontId="0" fillId="0" borderId="12" xfId="0" applyBorder="1" applyAlignment="1">
      <alignment vertical="top" wrapText="1"/>
    </xf>
    <xf numFmtId="164" fontId="0" fillId="0" borderId="13" xfId="0" applyNumberFormat="1" applyBorder="1" applyAlignment="1">
      <alignment horizontal="left" vertical="top" wrapText="1"/>
    </xf>
    <xf numFmtId="164" fontId="0" fillId="0" borderId="14" xfId="0" applyNumberFormat="1" applyBorder="1" applyAlignment="1">
      <alignment horizontal="left" vertical="top" wrapText="1"/>
    </xf>
    <xf numFmtId="10" fontId="0" fillId="0" borderId="13" xfId="0" applyNumberFormat="1" applyBorder="1" applyAlignment="1">
      <alignment horizontal="left" vertical="top" wrapText="1"/>
    </xf>
    <xf numFmtId="0" fontId="0" fillId="0" borderId="13" xfId="0" applyBorder="1" applyAlignment="1">
      <alignment horizontal="left" vertical="top" wrapText="1"/>
    </xf>
    <xf numFmtId="10" fontId="0" fillId="0" borderId="14" xfId="0" applyNumberFormat="1" applyBorder="1" applyAlignment="1">
      <alignment horizontal="left" vertical="top" wrapText="1"/>
    </xf>
    <xf numFmtId="0" fontId="0" fillId="0" borderId="14" xfId="0" applyBorder="1" applyAlignment="1">
      <alignment horizontal="left" vertical="top" wrapText="1"/>
    </xf>
    <xf numFmtId="0" fontId="0" fillId="0" borderId="13" xfId="0" applyBorder="1" applyAlignment="1">
      <alignment vertical="top" wrapText="1"/>
    </xf>
    <xf numFmtId="0" fontId="0" fillId="0" borderId="14" xfId="0" applyBorder="1" applyAlignment="1">
      <alignment vertical="top" wrapText="1"/>
    </xf>
    <xf numFmtId="0" fontId="0" fillId="0" borderId="15" xfId="0" applyBorder="1" applyAlignment="1">
      <alignment vertical="top" wrapText="1"/>
    </xf>
    <xf numFmtId="0" fontId="0" fillId="0" borderId="16" xfId="0" applyBorder="1" applyAlignment="1">
      <alignment horizontal="left" vertical="top" wrapText="1"/>
    </xf>
    <xf numFmtId="0" fontId="0" fillId="0" borderId="17" xfId="0" applyBorder="1" applyAlignment="1">
      <alignment horizontal="left" vertical="top" wrapText="1"/>
    </xf>
    <xf numFmtId="0" fontId="0" fillId="0" borderId="2" xfId="0" applyBorder="1" applyAlignment="1">
      <alignment vertical="top" wrapText="1"/>
    </xf>
    <xf numFmtId="0" fontId="0" fillId="0" borderId="7" xfId="0" applyBorder="1" applyAlignment="1">
      <alignment vertical="top" wrapText="1"/>
    </xf>
    <xf numFmtId="49" fontId="0" fillId="0" borderId="0" xfId="0" applyNumberFormat="1" applyAlignment="1">
      <alignment horizontal="left"/>
    </xf>
    <xf numFmtId="0" fontId="0" fillId="2" borderId="0" xfId="0" applyFill="1" applyBorder="1" applyAlignment="1">
      <alignment horizontal="left" vertical="top" wrapText="1"/>
    </xf>
    <xf numFmtId="0" fontId="0" fillId="3" borderId="0" xfId="0" applyFill="1" applyBorder="1" applyAlignment="1">
      <alignment horizontal="left" vertical="top" wrapText="1"/>
    </xf>
    <xf numFmtId="0" fontId="0" fillId="3" borderId="2" xfId="0" applyFill="1" applyBorder="1" applyAlignment="1">
      <alignment horizontal="left" vertical="top" wrapText="1"/>
    </xf>
    <xf numFmtId="0" fontId="0" fillId="3" borderId="7" xfId="0" applyFill="1" applyBorder="1" applyAlignment="1">
      <alignment horizontal="left" vertical="top" wrapText="1"/>
    </xf>
    <xf numFmtId="0" fontId="0" fillId="0" borderId="0" xfId="0" applyFill="1" applyBorder="1" applyAlignment="1">
      <alignment horizontal="left" vertical="top" wrapText="1"/>
    </xf>
    <xf numFmtId="0" fontId="0" fillId="0" borderId="7" xfId="0" applyFill="1" applyBorder="1" applyAlignment="1">
      <alignment horizontal="left" vertical="top" wrapText="1"/>
    </xf>
    <xf numFmtId="0" fontId="0" fillId="3" borderId="0" xfId="0" applyFill="1" applyBorder="1"/>
    <xf numFmtId="0" fontId="0" fillId="3" borderId="2" xfId="0" applyFill="1" applyBorder="1"/>
    <xf numFmtId="0" fontId="0" fillId="0" borderId="2"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Fill="1" applyBorder="1"/>
    <xf numFmtId="0" fontId="0" fillId="0" borderId="0" xfId="0" applyFill="1" applyAlignment="1">
      <alignment horizontal="left" vertical="top" wrapText="1"/>
    </xf>
    <xf numFmtId="0" fontId="0" fillId="3" borderId="0" xfId="0" applyFill="1" applyBorder="1" applyAlignment="1">
      <alignment vertical="top" wrapText="1"/>
    </xf>
    <xf numFmtId="0" fontId="0" fillId="3" borderId="7" xfId="0" applyFill="1" applyBorder="1"/>
    <xf numFmtId="0" fontId="2" fillId="0" borderId="0" xfId="0" applyFont="1"/>
    <xf numFmtId="0" fontId="0" fillId="0" borderId="0" xfId="0" pivotButton="1"/>
    <xf numFmtId="0" fontId="0" fillId="0" borderId="0" xfId="0" applyNumberFormat="1"/>
    <xf numFmtId="44" fontId="1" fillId="0" borderId="0" xfId="1" applyFont="1" applyAlignment="1">
      <alignment wrapText="1"/>
    </xf>
    <xf numFmtId="44" fontId="0" fillId="0" borderId="0" xfId="1" applyFont="1"/>
    <xf numFmtId="0" fontId="4" fillId="5" borderId="0" xfId="0" applyFont="1" applyFill="1" applyAlignment="1">
      <alignment horizontal="left" vertical="top" wrapText="1"/>
    </xf>
    <xf numFmtId="0" fontId="0" fillId="4" borderId="0" xfId="0" applyFill="1" applyBorder="1" applyAlignment="1">
      <alignment horizontal="left" vertical="top" wrapText="1"/>
    </xf>
    <xf numFmtId="0" fontId="0" fillId="6" borderId="13" xfId="0" applyFill="1" applyBorder="1" applyAlignment="1">
      <alignment vertical="top" wrapText="1"/>
    </xf>
    <xf numFmtId="164" fontId="0" fillId="6" borderId="13" xfId="0" applyNumberFormat="1" applyFill="1" applyBorder="1" applyAlignment="1">
      <alignment horizontal="left" vertical="top" wrapText="1"/>
    </xf>
    <xf numFmtId="0" fontId="0" fillId="6" borderId="13" xfId="0" applyFill="1" applyBorder="1" applyAlignment="1">
      <alignment horizontal="left" vertical="top" wrapText="1"/>
    </xf>
    <xf numFmtId="0" fontId="0" fillId="3" borderId="0" xfId="0" applyFill="1"/>
    <xf numFmtId="0" fontId="0" fillId="2" borderId="0" xfId="0" applyFill="1"/>
    <xf numFmtId="0" fontId="0" fillId="0" borderId="0" xfId="0" applyAlignment="1">
      <alignment wrapText="1"/>
    </xf>
    <xf numFmtId="0" fontId="0" fillId="7" borderId="0" xfId="0" applyFill="1"/>
    <xf numFmtId="0" fontId="0" fillId="0" borderId="0" xfId="0" applyFont="1" applyAlignment="1">
      <alignment wrapText="1"/>
    </xf>
    <xf numFmtId="0" fontId="2" fillId="0" borderId="0" xfId="0" applyFont="1" applyAlignment="1">
      <alignment wrapText="1"/>
    </xf>
    <xf numFmtId="0" fontId="2" fillId="7" borderId="0" xfId="0" applyFont="1" applyFill="1" applyAlignment="1">
      <alignment wrapText="1"/>
    </xf>
    <xf numFmtId="0" fontId="0" fillId="0" borderId="0" xfId="0" applyFill="1"/>
    <xf numFmtId="0" fontId="0" fillId="0" borderId="18" xfId="0" applyFill="1" applyBorder="1" applyAlignment="1">
      <alignment horizontal="left" wrapText="1"/>
    </xf>
    <xf numFmtId="0" fontId="0" fillId="0" borderId="19" xfId="0" applyFill="1" applyBorder="1" applyAlignment="1">
      <alignment horizontal="left" wrapText="1"/>
    </xf>
    <xf numFmtId="0" fontId="0" fillId="0" borderId="20" xfId="0" applyFill="1" applyBorder="1" applyAlignment="1">
      <alignment horizontal="left" wrapText="1"/>
    </xf>
    <xf numFmtId="0" fontId="0" fillId="0" borderId="21" xfId="0" applyFill="1" applyBorder="1" applyAlignment="1">
      <alignment horizontal="left" wrapText="1"/>
    </xf>
    <xf numFmtId="0" fontId="0" fillId="0" borderId="22" xfId="0" applyFill="1" applyBorder="1" applyAlignment="1">
      <alignment horizontal="left" wrapText="1"/>
    </xf>
    <xf numFmtId="0" fontId="0" fillId="0" borderId="23" xfId="0" applyFill="1" applyBorder="1" applyAlignment="1">
      <alignment horizontal="left" wrapText="1"/>
    </xf>
    <xf numFmtId="0" fontId="0" fillId="0" borderId="0" xfId="0" quotePrefix="1" applyFill="1"/>
    <xf numFmtId="0" fontId="0" fillId="0" borderId="23" xfId="0" quotePrefix="1" applyFill="1" applyBorder="1" applyAlignment="1">
      <alignment horizontal="left" wrapText="1"/>
    </xf>
    <xf numFmtId="0" fontId="0" fillId="0" borderId="22" xfId="0" applyBorder="1" applyAlignment="1">
      <alignment horizontal="left" wrapText="1"/>
    </xf>
    <xf numFmtId="0" fontId="0" fillId="0" borderId="23" xfId="0" quotePrefix="1" applyBorder="1" applyAlignment="1">
      <alignment horizontal="left" wrapText="1"/>
    </xf>
    <xf numFmtId="0" fontId="0" fillId="7" borderId="23" xfId="0" quotePrefix="1" applyFill="1" applyBorder="1" applyAlignment="1">
      <alignment horizontal="left" wrapText="1"/>
    </xf>
    <xf numFmtId="0" fontId="8" fillId="0" borderId="0" xfId="0" applyFont="1"/>
    <xf numFmtId="0" fontId="0" fillId="8" borderId="0" xfId="0" applyFill="1"/>
    <xf numFmtId="0" fontId="1" fillId="0" borderId="0" xfId="0" applyFont="1" applyAlignment="1"/>
    <xf numFmtId="0" fontId="0" fillId="0" borderId="0" xfId="0" applyAlignment="1"/>
    <xf numFmtId="0" fontId="0" fillId="7" borderId="0" xfId="0" applyFill="1" applyAlignment="1">
      <alignment wrapText="1"/>
    </xf>
    <xf numFmtId="0" fontId="0" fillId="0" borderId="0" xfId="0" applyFill="1" applyAlignment="1">
      <alignment wrapText="1"/>
    </xf>
    <xf numFmtId="0" fontId="0" fillId="9" borderId="0" xfId="0" applyFill="1" applyAlignment="1">
      <alignment wrapText="1"/>
    </xf>
    <xf numFmtId="0" fontId="0" fillId="0" borderId="24" xfId="0" applyBorder="1" applyAlignment="1">
      <alignment wrapText="1"/>
    </xf>
    <xf numFmtId="0" fontId="0" fillId="0" borderId="25" xfId="0" applyBorder="1" applyAlignment="1">
      <alignment wrapText="1"/>
    </xf>
    <xf numFmtId="0" fontId="0" fillId="0" borderId="26" xfId="0" applyBorder="1" applyAlignment="1">
      <alignment wrapText="1"/>
    </xf>
    <xf numFmtId="0" fontId="0" fillId="0" borderId="27" xfId="0" applyBorder="1" applyAlignment="1">
      <alignment wrapText="1"/>
    </xf>
    <xf numFmtId="0" fontId="0" fillId="0" borderId="13"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7" borderId="28" xfId="0" applyFill="1" applyBorder="1" applyAlignment="1">
      <alignment wrapText="1"/>
    </xf>
    <xf numFmtId="0" fontId="0" fillId="2" borderId="0" xfId="0" applyFill="1" applyAlignment="1">
      <alignment horizontal="left" indent="2"/>
    </xf>
    <xf numFmtId="0" fontId="0" fillId="0" borderId="0" xfId="0" applyAlignment="1">
      <alignment horizontal="left" indent="2"/>
    </xf>
    <xf numFmtId="0" fontId="0" fillId="0" borderId="28" xfId="0" applyBorder="1" applyAlignment="1">
      <alignment vertical="top" wrapText="1"/>
    </xf>
    <xf numFmtId="0" fontId="0" fillId="0" borderId="28" xfId="0" applyFill="1" applyBorder="1" applyAlignment="1">
      <alignment wrapText="1"/>
    </xf>
    <xf numFmtId="0" fontId="0" fillId="0" borderId="30" xfId="0" applyBorder="1" applyAlignment="1">
      <alignment vertical="top" wrapText="1"/>
    </xf>
    <xf numFmtId="0" fontId="0" fillId="0" borderId="32" xfId="0" applyBorder="1" applyAlignment="1">
      <alignment wrapText="1"/>
    </xf>
    <xf numFmtId="0" fontId="0" fillId="0" borderId="33" xfId="0" applyBorder="1" applyAlignment="1">
      <alignment wrapText="1"/>
    </xf>
    <xf numFmtId="0" fontId="0" fillId="0" borderId="34" xfId="0" applyBorder="1" applyAlignment="1">
      <alignment wrapText="1"/>
    </xf>
    <xf numFmtId="0" fontId="0" fillId="7" borderId="35" xfId="0" applyFill="1" applyBorder="1" applyAlignment="1">
      <alignment wrapText="1"/>
    </xf>
    <xf numFmtId="0" fontId="0" fillId="0" borderId="31" xfId="0" applyBorder="1" applyAlignment="1">
      <alignment wrapText="1"/>
    </xf>
    <xf numFmtId="0" fontId="0" fillId="0" borderId="36" xfId="0" applyBorder="1" applyAlignment="1">
      <alignment wrapText="1"/>
    </xf>
    <xf numFmtId="0" fontId="0" fillId="0" borderId="37" xfId="0" applyBorder="1" applyAlignment="1">
      <alignment wrapText="1"/>
    </xf>
    <xf numFmtId="0" fontId="0" fillId="0" borderId="23" xfId="0" applyBorder="1" applyAlignment="1">
      <alignment wrapText="1"/>
    </xf>
    <xf numFmtId="0" fontId="0" fillId="0" borderId="38" xfId="0" applyBorder="1" applyAlignment="1">
      <alignment wrapText="1"/>
    </xf>
    <xf numFmtId="0" fontId="0" fillId="0" borderId="39" xfId="0" applyBorder="1" applyAlignment="1">
      <alignment wrapText="1"/>
    </xf>
    <xf numFmtId="0" fontId="0" fillId="9" borderId="0" xfId="0" applyFill="1"/>
    <xf numFmtId="0" fontId="1" fillId="0" borderId="0" xfId="0" applyFont="1" applyAlignment="1">
      <alignment horizontal="right"/>
    </xf>
    <xf numFmtId="0" fontId="9" fillId="0" borderId="0" xfId="0" applyFont="1"/>
    <xf numFmtId="0" fontId="0" fillId="0" borderId="24" xfId="0" applyBorder="1"/>
    <xf numFmtId="0" fontId="0" fillId="0" borderId="26" xfId="0" applyBorder="1"/>
    <xf numFmtId="0" fontId="0" fillId="0" borderId="27" xfId="0" applyBorder="1"/>
    <xf numFmtId="0" fontId="0" fillId="0" borderId="28" xfId="0" applyBorder="1"/>
    <xf numFmtId="0" fontId="0" fillId="0" borderId="40" xfId="0" applyBorder="1"/>
    <xf numFmtId="8" fontId="0" fillId="0" borderId="0" xfId="0" applyNumberFormat="1"/>
    <xf numFmtId="8" fontId="0" fillId="10" borderId="0" xfId="0" applyNumberFormat="1" applyFill="1"/>
    <xf numFmtId="6" fontId="0" fillId="0" borderId="0" xfId="0" applyNumberFormat="1"/>
    <xf numFmtId="0" fontId="10" fillId="0" borderId="0" xfId="0" applyFont="1" applyAlignment="1">
      <alignment vertical="center"/>
    </xf>
    <xf numFmtId="0" fontId="10" fillId="0" borderId="0" xfId="0" applyFont="1"/>
    <xf numFmtId="0" fontId="0" fillId="0" borderId="0" xfId="0" quotePrefix="1"/>
    <xf numFmtId="6" fontId="0" fillId="0" borderId="0" xfId="1" applyNumberFormat="1" applyFont="1"/>
    <xf numFmtId="0" fontId="11" fillId="0" borderId="0" xfId="0" applyFont="1"/>
    <xf numFmtId="16" fontId="2" fillId="0" borderId="0" xfId="0" applyNumberFormat="1" applyFont="1"/>
    <xf numFmtId="0" fontId="0" fillId="0" borderId="25" xfId="0" applyBorder="1"/>
    <xf numFmtId="0" fontId="0" fillId="0" borderId="13" xfId="0" applyBorder="1"/>
    <xf numFmtId="0" fontId="0" fillId="0" borderId="29" xfId="0" applyBorder="1"/>
    <xf numFmtId="0" fontId="0" fillId="0" borderId="41" xfId="0" applyBorder="1"/>
    <xf numFmtId="0" fontId="12" fillId="0" borderId="0" xfId="2"/>
    <xf numFmtId="0" fontId="1" fillId="0" borderId="42" xfId="0" applyFont="1" applyBorder="1"/>
    <xf numFmtId="0" fontId="0" fillId="0" borderId="1" xfId="0" applyBorder="1" applyAlignment="1">
      <alignment horizontal="center" vertical="center" wrapText="1"/>
    </xf>
    <xf numFmtId="0" fontId="0" fillId="0" borderId="4" xfId="0" applyBorder="1" applyAlignment="1">
      <alignment horizontal="center" vertical="center" wrapText="1"/>
    </xf>
    <xf numFmtId="0" fontId="0" fillId="0" borderId="6" xfId="0" applyBorder="1" applyAlignment="1">
      <alignment horizontal="center" vertical="center" wrapText="1"/>
    </xf>
  </cellXfs>
  <cellStyles count="3">
    <cellStyle name="Currency" xfId="1" builtinId="4"/>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361950</xdr:colOff>
      <xdr:row>13</xdr:row>
      <xdr:rowOff>47625</xdr:rowOff>
    </xdr:from>
    <xdr:to>
      <xdr:col>1</xdr:col>
      <xdr:colOff>3219450</xdr:colOff>
      <xdr:row>24</xdr:row>
      <xdr:rowOff>142875</xdr:rowOff>
    </xdr:to>
    <xdr:pic>
      <xdr:nvPicPr>
        <xdr:cNvPr id="2" name="Picture 1" descr="Image result for in-line transmitter moun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71550" y="2524125"/>
          <a:ext cx="2857500" cy="219075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4572000</xdr:colOff>
      <xdr:row>10</xdr:row>
      <xdr:rowOff>19051</xdr:rowOff>
    </xdr:from>
    <xdr:to>
      <xdr:col>2</xdr:col>
      <xdr:colOff>8220075</xdr:colOff>
      <xdr:row>10</xdr:row>
      <xdr:rowOff>2057401</xdr:rowOff>
    </xdr:to>
    <xdr:pic>
      <xdr:nvPicPr>
        <xdr:cNvPr id="2" name="Picture 1"/>
        <xdr:cNvPicPr>
          <a:picLocks noChangeAspect="1"/>
        </xdr:cNvPicPr>
      </xdr:nvPicPr>
      <xdr:blipFill>
        <a:blip xmlns:r="http://schemas.openxmlformats.org/officeDocument/2006/relationships" r:embed="rId1"/>
        <a:stretch>
          <a:fillRect/>
        </a:stretch>
      </xdr:blipFill>
      <xdr:spPr>
        <a:xfrm>
          <a:off x="7296150" y="3124201"/>
          <a:ext cx="3648075" cy="2038350"/>
        </a:xfrm>
        <a:prstGeom prst="rect">
          <a:avLst/>
        </a:prstGeom>
      </xdr:spPr>
    </xdr:pic>
    <xdr:clientData/>
  </xdr:twoCellAnchor>
  <xdr:twoCellAnchor editAs="oneCell">
    <xdr:from>
      <xdr:col>2</xdr:col>
      <xdr:colOff>4895850</xdr:colOff>
      <xdr:row>2</xdr:row>
      <xdr:rowOff>19050</xdr:rowOff>
    </xdr:from>
    <xdr:to>
      <xdr:col>2</xdr:col>
      <xdr:colOff>6913863</xdr:colOff>
      <xdr:row>2</xdr:row>
      <xdr:rowOff>1933575</xdr:rowOff>
    </xdr:to>
    <xdr:pic>
      <xdr:nvPicPr>
        <xdr:cNvPr id="3" name="Picture 2"/>
        <xdr:cNvPicPr>
          <a:picLocks noChangeAspect="1"/>
        </xdr:cNvPicPr>
      </xdr:nvPicPr>
      <xdr:blipFill>
        <a:blip xmlns:r="http://schemas.openxmlformats.org/officeDocument/2006/relationships" r:embed="rId2"/>
        <a:stretch>
          <a:fillRect/>
        </a:stretch>
      </xdr:blipFill>
      <xdr:spPr>
        <a:xfrm>
          <a:off x="7620000" y="800100"/>
          <a:ext cx="2018013" cy="1914525"/>
        </a:xfrm>
        <a:prstGeom prst="rect">
          <a:avLst/>
        </a:prstGeom>
      </xdr:spPr>
    </xdr:pic>
    <xdr:clientData/>
  </xdr:twoCellAnchor>
  <xdr:twoCellAnchor editAs="oneCell">
    <xdr:from>
      <xdr:col>2</xdr:col>
      <xdr:colOff>6924676</xdr:colOff>
      <xdr:row>2</xdr:row>
      <xdr:rowOff>9525</xdr:rowOff>
    </xdr:from>
    <xdr:to>
      <xdr:col>2</xdr:col>
      <xdr:colOff>8982526</xdr:colOff>
      <xdr:row>2</xdr:row>
      <xdr:rowOff>1895475</xdr:rowOff>
    </xdr:to>
    <xdr:pic>
      <xdr:nvPicPr>
        <xdr:cNvPr id="4" name="Picture 3"/>
        <xdr:cNvPicPr>
          <a:picLocks noChangeAspect="1"/>
        </xdr:cNvPicPr>
      </xdr:nvPicPr>
      <xdr:blipFill>
        <a:blip xmlns:r="http://schemas.openxmlformats.org/officeDocument/2006/relationships" r:embed="rId3"/>
        <a:stretch>
          <a:fillRect/>
        </a:stretch>
      </xdr:blipFill>
      <xdr:spPr>
        <a:xfrm>
          <a:off x="9648826" y="790575"/>
          <a:ext cx="2057850" cy="18859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4572000</xdr:colOff>
      <xdr:row>9</xdr:row>
      <xdr:rowOff>19051</xdr:rowOff>
    </xdr:from>
    <xdr:to>
      <xdr:col>2</xdr:col>
      <xdr:colOff>8220075</xdr:colOff>
      <xdr:row>9</xdr:row>
      <xdr:rowOff>2105025</xdr:rowOff>
    </xdr:to>
    <xdr:pic>
      <xdr:nvPicPr>
        <xdr:cNvPr id="2" name="Picture 1"/>
        <xdr:cNvPicPr>
          <a:picLocks noChangeAspect="1"/>
        </xdr:cNvPicPr>
      </xdr:nvPicPr>
      <xdr:blipFill>
        <a:blip xmlns:r="http://schemas.openxmlformats.org/officeDocument/2006/relationships" r:embed="rId1"/>
        <a:stretch>
          <a:fillRect/>
        </a:stretch>
      </xdr:blipFill>
      <xdr:spPr>
        <a:xfrm>
          <a:off x="7296150" y="2933701"/>
          <a:ext cx="3648075" cy="2085974"/>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evis Gehr" refreshedDate="42611.556214583332" createdVersion="5" refreshedVersion="5" minRefreshableVersion="3" recordCount="105">
  <cacheSource type="worksheet">
    <worksheetSource ref="E1:E1048576" sheet="Yokogawa Pressure Transmitters"/>
  </cacheSource>
  <cacheFields count="1">
    <cacheField name="Model" numFmtId="0">
      <sharedItems containsBlank="1" count="8">
        <s v="EJA430A"/>
        <s v="EJA430E"/>
        <s v="EJA530A"/>
        <s v="EJA530E"/>
        <s v="EJX430A"/>
        <s v="EJX530A"/>
        <s v="EJX530B"/>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5">
  <r>
    <x v="0"/>
  </r>
  <r>
    <x v="0"/>
  </r>
  <r>
    <x v="0"/>
  </r>
  <r>
    <x v="0"/>
  </r>
  <r>
    <x v="0"/>
  </r>
  <r>
    <x v="0"/>
  </r>
  <r>
    <x v="0"/>
  </r>
  <r>
    <x v="0"/>
  </r>
  <r>
    <x v="0"/>
  </r>
  <r>
    <x v="0"/>
  </r>
  <r>
    <x v="0"/>
  </r>
  <r>
    <x v="0"/>
  </r>
  <r>
    <x v="0"/>
  </r>
  <r>
    <x v="0"/>
  </r>
  <r>
    <x v="1"/>
  </r>
  <r>
    <x v="1"/>
  </r>
  <r>
    <x v="2"/>
  </r>
  <r>
    <x v="2"/>
  </r>
  <r>
    <x v="2"/>
  </r>
  <r>
    <x v="2"/>
  </r>
  <r>
    <x v="2"/>
  </r>
  <r>
    <x v="2"/>
  </r>
  <r>
    <x v="2"/>
  </r>
  <r>
    <x v="2"/>
  </r>
  <r>
    <x v="2"/>
  </r>
  <r>
    <x v="2"/>
  </r>
  <r>
    <x v="2"/>
  </r>
  <r>
    <x v="2"/>
  </r>
  <r>
    <x v="2"/>
  </r>
  <r>
    <x v="2"/>
  </r>
  <r>
    <x v="2"/>
  </r>
  <r>
    <x v="2"/>
  </r>
  <r>
    <x v="2"/>
  </r>
  <r>
    <x v="2"/>
  </r>
  <r>
    <x v="2"/>
  </r>
  <r>
    <x v="2"/>
  </r>
  <r>
    <x v="2"/>
  </r>
  <r>
    <x v="3"/>
  </r>
  <r>
    <x v="3"/>
  </r>
  <r>
    <x v="3"/>
  </r>
  <r>
    <x v="3"/>
  </r>
  <r>
    <x v="3"/>
  </r>
  <r>
    <x v="3"/>
  </r>
  <r>
    <x v="3"/>
  </r>
  <r>
    <x v="3"/>
  </r>
  <r>
    <x v="3"/>
  </r>
  <r>
    <x v="3"/>
  </r>
  <r>
    <x v="3"/>
  </r>
  <r>
    <x v="3"/>
  </r>
  <r>
    <x v="3"/>
  </r>
  <r>
    <x v="3"/>
  </r>
  <r>
    <x v="3"/>
  </r>
  <r>
    <x v="3"/>
  </r>
  <r>
    <x v="3"/>
  </r>
  <r>
    <x v="3"/>
  </r>
  <r>
    <x v="3"/>
  </r>
  <r>
    <x v="3"/>
  </r>
  <r>
    <x v="3"/>
  </r>
  <r>
    <x v="3"/>
  </r>
  <r>
    <x v="3"/>
  </r>
  <r>
    <x v="3"/>
  </r>
  <r>
    <x v="3"/>
  </r>
  <r>
    <x v="3"/>
  </r>
  <r>
    <x v="3"/>
  </r>
  <r>
    <x v="4"/>
  </r>
  <r>
    <x v="4"/>
  </r>
  <r>
    <x v="4"/>
  </r>
  <r>
    <x v="4"/>
  </r>
  <r>
    <x v="4"/>
  </r>
  <r>
    <x v="4"/>
  </r>
  <r>
    <x v="4"/>
  </r>
  <r>
    <x v="4"/>
  </r>
  <r>
    <x v="4"/>
  </r>
  <r>
    <x v="5"/>
  </r>
  <r>
    <x v="5"/>
  </r>
  <r>
    <x v="5"/>
  </r>
  <r>
    <x v="5"/>
  </r>
  <r>
    <x v="5"/>
  </r>
  <r>
    <x v="5"/>
  </r>
  <r>
    <x v="5"/>
  </r>
  <r>
    <x v="5"/>
  </r>
  <r>
    <x v="5"/>
  </r>
  <r>
    <x v="5"/>
  </r>
  <r>
    <x v="5"/>
  </r>
  <r>
    <x v="5"/>
  </r>
  <r>
    <x v="5"/>
  </r>
  <r>
    <x v="5"/>
  </r>
  <r>
    <x v="5"/>
  </r>
  <r>
    <x v="5"/>
  </r>
  <r>
    <x v="5"/>
  </r>
  <r>
    <x v="5"/>
  </r>
  <r>
    <x v="6"/>
  </r>
  <r>
    <x v="2"/>
  </r>
  <r>
    <x v="3"/>
  </r>
  <r>
    <x v="2"/>
  </r>
  <r>
    <x v="2"/>
  </r>
  <r>
    <x v="5"/>
  </r>
  <r>
    <x v="3"/>
  </r>
  <r>
    <x v="3"/>
  </r>
  <r>
    <x v="3"/>
  </r>
  <r>
    <x v="3"/>
  </r>
  <r>
    <x v="3"/>
  </r>
  <r>
    <x v="3"/>
  </r>
  <r>
    <x v="4"/>
  </r>
  <r>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1:B10" firstHeaderRow="1" firstDataRow="1" firstDataCol="1"/>
  <pivotFields count="1">
    <pivotField axis="axisRow" dataField="1" showAll="0">
      <items count="9">
        <item x="0"/>
        <item x="1"/>
        <item x="2"/>
        <item x="3"/>
        <item x="4"/>
        <item x="5"/>
        <item x="6"/>
        <item x="7"/>
        <item t="default"/>
      </items>
    </pivotField>
  </pivotFields>
  <rowFields count="1">
    <field x="0"/>
  </rowFields>
  <rowItems count="9">
    <i>
      <x/>
    </i>
    <i>
      <x v="1"/>
    </i>
    <i>
      <x v="2"/>
    </i>
    <i>
      <x v="3"/>
    </i>
    <i>
      <x v="4"/>
    </i>
    <i>
      <x v="5"/>
    </i>
    <i>
      <x v="6"/>
    </i>
    <i>
      <x v="7"/>
    </i>
    <i t="grand">
      <x/>
    </i>
  </rowItems>
  <colItems count="1">
    <i/>
  </colItems>
  <dataFields count="1">
    <dataField name="Count of Model"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www.mcmaster.com/"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I137"/>
  <sheetViews>
    <sheetView topLeftCell="A112" workbookViewId="0">
      <selection activeCell="G119" sqref="G119"/>
    </sheetView>
  </sheetViews>
  <sheetFormatPr defaultRowHeight="15" x14ac:dyDescent="0.25"/>
  <cols>
    <col min="2" max="2" width="77.5703125" customWidth="1"/>
    <col min="5" max="5" width="73.28515625" bestFit="1" customWidth="1"/>
  </cols>
  <sheetData>
    <row r="2" spans="2:5" x14ac:dyDescent="0.25">
      <c r="B2" s="70" t="s">
        <v>745</v>
      </c>
      <c r="E2" s="60" t="s">
        <v>864</v>
      </c>
    </row>
    <row r="3" spans="2:5" x14ac:dyDescent="0.25">
      <c r="B3" s="70" t="s">
        <v>746</v>
      </c>
      <c r="E3" s="70" t="s">
        <v>865</v>
      </c>
    </row>
    <row r="4" spans="2:5" x14ac:dyDescent="0.25">
      <c r="B4" s="71" t="s">
        <v>747</v>
      </c>
      <c r="E4" s="70" t="s">
        <v>867</v>
      </c>
    </row>
    <row r="5" spans="2:5" x14ac:dyDescent="0.25">
      <c r="B5" s="71" t="s">
        <v>748</v>
      </c>
      <c r="E5" s="70" t="s">
        <v>873</v>
      </c>
    </row>
    <row r="6" spans="2:5" x14ac:dyDescent="0.25">
      <c r="B6" s="73" t="s">
        <v>749</v>
      </c>
    </row>
    <row r="7" spans="2:5" x14ac:dyDescent="0.25">
      <c r="B7" s="70" t="s">
        <v>750</v>
      </c>
      <c r="E7" t="s">
        <v>882</v>
      </c>
    </row>
    <row r="8" spans="2:5" x14ac:dyDescent="0.25">
      <c r="B8" s="70" t="s">
        <v>752</v>
      </c>
      <c r="E8" s="70" t="s">
        <v>883</v>
      </c>
    </row>
    <row r="9" spans="2:5" x14ac:dyDescent="0.25">
      <c r="B9" s="73" t="s">
        <v>751</v>
      </c>
      <c r="E9" s="70" t="s">
        <v>884</v>
      </c>
    </row>
    <row r="10" spans="2:5" x14ac:dyDescent="0.25">
      <c r="E10" s="70" t="s">
        <v>885</v>
      </c>
    </row>
    <row r="11" spans="2:5" x14ac:dyDescent="0.25">
      <c r="E11" s="70" t="s">
        <v>886</v>
      </c>
    </row>
    <row r="12" spans="2:5" x14ac:dyDescent="0.25">
      <c r="B12" s="60" t="s">
        <v>923</v>
      </c>
    </row>
    <row r="13" spans="2:5" x14ac:dyDescent="0.25">
      <c r="B13" s="73" t="s">
        <v>924</v>
      </c>
      <c r="E13" t="s">
        <v>887</v>
      </c>
    </row>
    <row r="14" spans="2:5" x14ac:dyDescent="0.25">
      <c r="B14" s="73" t="s">
        <v>925</v>
      </c>
      <c r="E14" t="s">
        <v>888</v>
      </c>
    </row>
    <row r="15" spans="2:5" x14ac:dyDescent="0.25">
      <c r="B15" s="70" t="s">
        <v>926</v>
      </c>
      <c r="E15" t="s">
        <v>889</v>
      </c>
    </row>
    <row r="16" spans="2:5" x14ac:dyDescent="0.25">
      <c r="B16" s="70" t="s">
        <v>927</v>
      </c>
    </row>
    <row r="17" spans="2:2" x14ac:dyDescent="0.25">
      <c r="B17" s="70" t="s">
        <v>928</v>
      </c>
    </row>
    <row r="18" spans="2:2" x14ac:dyDescent="0.25">
      <c r="B18" s="70" t="s">
        <v>929</v>
      </c>
    </row>
    <row r="21" spans="2:2" x14ac:dyDescent="0.25">
      <c r="B21" s="60" t="s">
        <v>890</v>
      </c>
    </row>
    <row r="22" spans="2:2" x14ac:dyDescent="0.25">
      <c r="B22" t="s">
        <v>891</v>
      </c>
    </row>
    <row r="23" spans="2:2" x14ac:dyDescent="0.25">
      <c r="B23" s="70" t="s">
        <v>892</v>
      </c>
    </row>
    <row r="25" spans="2:2" x14ac:dyDescent="0.25">
      <c r="B25" t="s">
        <v>893</v>
      </c>
    </row>
    <row r="26" spans="2:2" x14ac:dyDescent="0.25">
      <c r="B26" t="s">
        <v>894</v>
      </c>
    </row>
    <row r="28" spans="2:2" x14ac:dyDescent="0.25">
      <c r="B28" s="70" t="s">
        <v>895</v>
      </c>
    </row>
    <row r="30" spans="2:2" x14ac:dyDescent="0.25">
      <c r="B30" s="70" t="s">
        <v>896</v>
      </c>
    </row>
    <row r="32" spans="2:2" x14ac:dyDescent="0.25">
      <c r="B32" s="60" t="s">
        <v>933</v>
      </c>
    </row>
    <row r="33" spans="2:2" x14ac:dyDescent="0.25">
      <c r="B33" s="70" t="s">
        <v>934</v>
      </c>
    </row>
    <row r="34" spans="2:2" x14ac:dyDescent="0.25">
      <c r="B34" s="70" t="s">
        <v>935</v>
      </c>
    </row>
    <row r="36" spans="2:2" x14ac:dyDescent="0.25">
      <c r="B36" t="s">
        <v>936</v>
      </c>
    </row>
    <row r="37" spans="2:2" x14ac:dyDescent="0.25">
      <c r="B37" t="s">
        <v>938</v>
      </c>
    </row>
    <row r="38" spans="2:2" x14ac:dyDescent="0.25">
      <c r="B38" t="s">
        <v>939</v>
      </c>
    </row>
    <row r="39" spans="2:2" x14ac:dyDescent="0.25">
      <c r="B39" t="s">
        <v>941</v>
      </c>
    </row>
    <row r="40" spans="2:2" x14ac:dyDescent="0.25">
      <c r="B40" t="s">
        <v>940</v>
      </c>
    </row>
    <row r="44" spans="2:2" x14ac:dyDescent="0.25">
      <c r="B44" t="s">
        <v>937</v>
      </c>
    </row>
    <row r="45" spans="2:2" x14ac:dyDescent="0.25">
      <c r="B45" t="s">
        <v>930</v>
      </c>
    </row>
    <row r="46" spans="2:2" x14ac:dyDescent="0.25">
      <c r="B46" t="s">
        <v>931</v>
      </c>
    </row>
    <row r="47" spans="2:2" x14ac:dyDescent="0.25">
      <c r="B47" t="s">
        <v>932</v>
      </c>
    </row>
    <row r="50" spans="2:2" x14ac:dyDescent="0.25">
      <c r="B50" s="60" t="s">
        <v>942</v>
      </c>
    </row>
    <row r="51" spans="2:2" x14ac:dyDescent="0.25">
      <c r="B51" t="s">
        <v>943</v>
      </c>
    </row>
    <row r="52" spans="2:2" x14ac:dyDescent="0.25">
      <c r="B52" t="s">
        <v>944</v>
      </c>
    </row>
    <row r="53" spans="2:2" x14ac:dyDescent="0.25">
      <c r="B53" t="s">
        <v>945</v>
      </c>
    </row>
    <row r="56" spans="2:2" x14ac:dyDescent="0.25">
      <c r="B56" s="60" t="s">
        <v>946</v>
      </c>
    </row>
    <row r="57" spans="2:2" x14ac:dyDescent="0.25">
      <c r="B57" t="s">
        <v>947</v>
      </c>
    </row>
    <row r="59" spans="2:2" x14ac:dyDescent="0.25">
      <c r="B59" s="60" t="s">
        <v>948</v>
      </c>
    </row>
    <row r="60" spans="2:2" x14ac:dyDescent="0.25">
      <c r="B60" t="s">
        <v>955</v>
      </c>
    </row>
    <row r="61" spans="2:2" x14ac:dyDescent="0.25">
      <c r="B61" t="s">
        <v>949</v>
      </c>
    </row>
    <row r="62" spans="2:2" x14ac:dyDescent="0.25">
      <c r="B62" t="s">
        <v>950</v>
      </c>
    </row>
    <row r="63" spans="2:2" x14ac:dyDescent="0.25">
      <c r="B63" t="s">
        <v>951</v>
      </c>
    </row>
    <row r="64" spans="2:2" x14ac:dyDescent="0.25">
      <c r="B64" t="s">
        <v>952</v>
      </c>
    </row>
    <row r="65" spans="2:6" x14ac:dyDescent="0.25">
      <c r="B65" t="s">
        <v>953</v>
      </c>
    </row>
    <row r="66" spans="2:6" x14ac:dyDescent="0.25">
      <c r="B66" t="s">
        <v>954</v>
      </c>
    </row>
    <row r="68" spans="2:6" x14ac:dyDescent="0.25">
      <c r="B68" s="60" t="s">
        <v>987</v>
      </c>
    </row>
    <row r="69" spans="2:6" x14ac:dyDescent="0.25">
      <c r="B69" t="s">
        <v>988</v>
      </c>
    </row>
    <row r="70" spans="2:6" x14ac:dyDescent="0.25">
      <c r="B70" t="s">
        <v>989</v>
      </c>
    </row>
    <row r="73" spans="2:6" x14ac:dyDescent="0.25">
      <c r="B73" s="60" t="s">
        <v>990</v>
      </c>
      <c r="E73" t="s">
        <v>995</v>
      </c>
    </row>
    <row r="74" spans="2:6" x14ac:dyDescent="0.25">
      <c r="B74" t="s">
        <v>991</v>
      </c>
      <c r="E74" s="70" t="s">
        <v>999</v>
      </c>
      <c r="F74" t="s">
        <v>1000</v>
      </c>
    </row>
    <row r="75" spans="2:6" ht="21" x14ac:dyDescent="0.35">
      <c r="B75" s="89" t="s">
        <v>992</v>
      </c>
    </row>
    <row r="76" spans="2:6" x14ac:dyDescent="0.25">
      <c r="B76" s="71" t="s">
        <v>993</v>
      </c>
      <c r="D76" s="71" t="s">
        <v>1016</v>
      </c>
    </row>
    <row r="77" spans="2:6" x14ac:dyDescent="0.25">
      <c r="B77" s="71" t="s">
        <v>994</v>
      </c>
      <c r="D77" s="70" t="s">
        <v>1017</v>
      </c>
    </row>
    <row r="78" spans="2:6" x14ac:dyDescent="0.25">
      <c r="B78" s="71" t="s">
        <v>996</v>
      </c>
    </row>
    <row r="79" spans="2:6" x14ac:dyDescent="0.25">
      <c r="B79" s="71" t="s">
        <v>997</v>
      </c>
    </row>
    <row r="80" spans="2:6" x14ac:dyDescent="0.25">
      <c r="B80" s="71" t="s">
        <v>998</v>
      </c>
    </row>
    <row r="81" spans="2:3" x14ac:dyDescent="0.25">
      <c r="B81" s="71" t="s">
        <v>1003</v>
      </c>
      <c r="C81" t="s">
        <v>1018</v>
      </c>
    </row>
    <row r="82" spans="2:3" x14ac:dyDescent="0.25">
      <c r="B82" s="73" t="s">
        <v>1001</v>
      </c>
    </row>
    <row r="83" spans="2:3" x14ac:dyDescent="0.25">
      <c r="B83" s="73" t="s">
        <v>1002</v>
      </c>
    </row>
    <row r="84" spans="2:3" x14ac:dyDescent="0.25">
      <c r="B84" s="73" t="s">
        <v>1004</v>
      </c>
    </row>
    <row r="85" spans="2:3" x14ac:dyDescent="0.25">
      <c r="B85" s="90" t="s">
        <v>1005</v>
      </c>
      <c r="C85" t="s">
        <v>1008</v>
      </c>
    </row>
    <row r="86" spans="2:3" x14ac:dyDescent="0.25">
      <c r="B86" s="90" t="s">
        <v>1006</v>
      </c>
      <c r="C86" t="s">
        <v>1012</v>
      </c>
    </row>
    <row r="87" spans="2:3" x14ac:dyDescent="0.25">
      <c r="B87" s="90" t="s">
        <v>1007</v>
      </c>
    </row>
    <row r="88" spans="2:3" x14ac:dyDescent="0.25">
      <c r="B88" s="90" t="s">
        <v>1009</v>
      </c>
    </row>
    <row r="89" spans="2:3" x14ac:dyDescent="0.25">
      <c r="B89" s="90" t="s">
        <v>1010</v>
      </c>
    </row>
    <row r="90" spans="2:3" x14ac:dyDescent="0.25">
      <c r="B90" s="90" t="s">
        <v>1013</v>
      </c>
    </row>
    <row r="91" spans="2:3" x14ac:dyDescent="0.25">
      <c r="B91" s="90" t="s">
        <v>1011</v>
      </c>
    </row>
    <row r="92" spans="2:3" x14ac:dyDescent="0.25">
      <c r="B92" s="71" t="s">
        <v>1014</v>
      </c>
    </row>
    <row r="93" spans="2:3" x14ac:dyDescent="0.25">
      <c r="B93" s="71" t="s">
        <v>1015</v>
      </c>
    </row>
    <row r="96" spans="2:3" x14ac:dyDescent="0.25">
      <c r="B96" s="60" t="s">
        <v>1019</v>
      </c>
    </row>
    <row r="97" spans="2:3" x14ac:dyDescent="0.25">
      <c r="B97" t="s">
        <v>1020</v>
      </c>
    </row>
    <row r="98" spans="2:3" x14ac:dyDescent="0.25">
      <c r="B98" s="104" t="s">
        <v>1022</v>
      </c>
    </row>
    <row r="99" spans="2:3" x14ac:dyDescent="0.25">
      <c r="B99" s="104" t="s">
        <v>1047</v>
      </c>
    </row>
    <row r="100" spans="2:3" x14ac:dyDescent="0.25">
      <c r="B100" s="104" t="s">
        <v>1021</v>
      </c>
    </row>
    <row r="101" spans="2:3" x14ac:dyDescent="0.25">
      <c r="B101" s="105" t="s">
        <v>1023</v>
      </c>
    </row>
    <row r="102" spans="2:3" x14ac:dyDescent="0.25">
      <c r="B102" s="105" t="s">
        <v>1024</v>
      </c>
      <c r="C102" t="s">
        <v>1025</v>
      </c>
    </row>
    <row r="103" spans="2:3" x14ac:dyDescent="0.25">
      <c r="B103" s="105" t="s">
        <v>1031</v>
      </c>
    </row>
    <row r="104" spans="2:3" x14ac:dyDescent="0.25">
      <c r="B104" s="105" t="s">
        <v>1026</v>
      </c>
    </row>
    <row r="106" spans="2:3" x14ac:dyDescent="0.25">
      <c r="B106" s="5" t="s">
        <v>1061</v>
      </c>
    </row>
    <row r="107" spans="2:3" x14ac:dyDescent="0.25">
      <c r="B107" s="5" t="s">
        <v>1062</v>
      </c>
    </row>
    <row r="109" spans="2:3" x14ac:dyDescent="0.25">
      <c r="B109" s="60" t="s">
        <v>1080</v>
      </c>
    </row>
    <row r="110" spans="2:3" x14ac:dyDescent="0.25">
      <c r="B110" t="s">
        <v>1081</v>
      </c>
    </row>
    <row r="111" spans="2:3" x14ac:dyDescent="0.25">
      <c r="B111" t="s">
        <v>1082</v>
      </c>
    </row>
    <row r="112" spans="2:3" x14ac:dyDescent="0.25">
      <c r="B112" t="s">
        <v>1083</v>
      </c>
    </row>
    <row r="114" spans="2:9" x14ac:dyDescent="0.25">
      <c r="B114" t="s">
        <v>1084</v>
      </c>
    </row>
    <row r="116" spans="2:9" x14ac:dyDescent="0.25">
      <c r="B116" s="119" t="s">
        <v>1086</v>
      </c>
    </row>
    <row r="118" spans="2:9" x14ac:dyDescent="0.25">
      <c r="F118">
        <v>5</v>
      </c>
      <c r="G118">
        <v>20</v>
      </c>
      <c r="I118">
        <f>(G118*F118+G119*F119)/(G118+G119)</f>
        <v>4.8</v>
      </c>
    </row>
    <row r="119" spans="2:9" x14ac:dyDescent="0.25">
      <c r="B119" s="135" t="s">
        <v>1179</v>
      </c>
      <c r="F119">
        <v>4</v>
      </c>
      <c r="G119">
        <v>5</v>
      </c>
    </row>
    <row r="120" spans="2:9" x14ac:dyDescent="0.25">
      <c r="B120" t="s">
        <v>1180</v>
      </c>
      <c r="C120" t="s">
        <v>1185</v>
      </c>
    </row>
    <row r="121" spans="2:9" x14ac:dyDescent="0.25">
      <c r="B121" t="s">
        <v>1181</v>
      </c>
      <c r="C121" t="s">
        <v>1192</v>
      </c>
    </row>
    <row r="122" spans="2:9" x14ac:dyDescent="0.25">
      <c r="B122" s="71" t="s">
        <v>1182</v>
      </c>
      <c r="G122">
        <f>SUM(G118:G119)</f>
        <v>25</v>
      </c>
    </row>
    <row r="123" spans="2:9" x14ac:dyDescent="0.25">
      <c r="B123" s="71" t="s">
        <v>1183</v>
      </c>
      <c r="C123" t="s">
        <v>1193</v>
      </c>
    </row>
    <row r="124" spans="2:9" x14ac:dyDescent="0.25">
      <c r="B124" s="71" t="s">
        <v>1184</v>
      </c>
    </row>
    <row r="125" spans="2:9" x14ac:dyDescent="0.25">
      <c r="B125" t="s">
        <v>1186</v>
      </c>
      <c r="C125" t="s">
        <v>1194</v>
      </c>
    </row>
    <row r="126" spans="2:9" x14ac:dyDescent="0.25">
      <c r="B126" t="s">
        <v>1187</v>
      </c>
    </row>
    <row r="127" spans="2:9" x14ac:dyDescent="0.25">
      <c r="B127" t="s">
        <v>1188</v>
      </c>
    </row>
    <row r="129" spans="2:4" x14ac:dyDescent="0.25">
      <c r="B129" t="s">
        <v>1195</v>
      </c>
      <c r="C129" t="s">
        <v>1194</v>
      </c>
    </row>
    <row r="132" spans="2:4" x14ac:dyDescent="0.25">
      <c r="B132" t="s">
        <v>1227</v>
      </c>
    </row>
    <row r="133" spans="2:4" x14ac:dyDescent="0.25">
      <c r="B133" t="s">
        <v>1228</v>
      </c>
    </row>
    <row r="134" spans="2:4" x14ac:dyDescent="0.25">
      <c r="B134" t="s">
        <v>1229</v>
      </c>
      <c r="C134" t="s">
        <v>1230</v>
      </c>
    </row>
    <row r="135" spans="2:4" x14ac:dyDescent="0.25">
      <c r="B135" t="s">
        <v>1231</v>
      </c>
      <c r="C135" t="s">
        <v>1232</v>
      </c>
    </row>
    <row r="136" spans="2:4" x14ac:dyDescent="0.25">
      <c r="B136" t="s">
        <v>1233</v>
      </c>
    </row>
    <row r="137" spans="2:4" x14ac:dyDescent="0.25">
      <c r="B137" t="s">
        <v>1234</v>
      </c>
      <c r="C137" t="s">
        <v>859</v>
      </c>
      <c r="D137" t="s">
        <v>1235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U35"/>
  <sheetViews>
    <sheetView tabSelected="1" topLeftCell="J16" workbookViewId="0">
      <selection activeCell="M33" sqref="M33"/>
    </sheetView>
  </sheetViews>
  <sheetFormatPr defaultRowHeight="15" x14ac:dyDescent="0.25"/>
  <cols>
    <col min="1" max="1" width="34.28515625" bestFit="1" customWidth="1"/>
    <col min="2" max="2" width="28.42578125" bestFit="1" customWidth="1"/>
    <col min="3" max="3" width="28.7109375" bestFit="1" customWidth="1"/>
    <col min="4" max="4" width="26.7109375" bestFit="1" customWidth="1"/>
    <col min="5" max="5" width="27.42578125" bestFit="1" customWidth="1"/>
    <col min="6" max="8" width="29.42578125" bestFit="1" customWidth="1"/>
    <col min="9" max="9" width="27.7109375" bestFit="1" customWidth="1"/>
    <col min="10" max="10" width="29.42578125" bestFit="1" customWidth="1"/>
    <col min="11" max="11" width="29.85546875" bestFit="1" customWidth="1"/>
    <col min="12" max="12" width="27.7109375" bestFit="1" customWidth="1"/>
    <col min="13" max="13" width="28.42578125" bestFit="1" customWidth="1"/>
    <col min="14" max="14" width="30.5703125" bestFit="1" customWidth="1"/>
    <col min="15" max="15" width="30.85546875" bestFit="1" customWidth="1"/>
    <col min="16" max="16" width="28.7109375" bestFit="1" customWidth="1"/>
    <col min="17" max="17" width="29.42578125" bestFit="1" customWidth="1"/>
    <col min="18" max="18" width="30.5703125" bestFit="1" customWidth="1"/>
    <col min="19" max="19" width="30.85546875" bestFit="1" customWidth="1"/>
    <col min="20" max="20" width="28.7109375" bestFit="1" customWidth="1"/>
    <col min="21" max="21" width="29.42578125" bestFit="1" customWidth="1"/>
  </cols>
  <sheetData>
    <row r="1" spans="1:21" x14ac:dyDescent="0.25">
      <c r="A1" s="1" t="s">
        <v>1214</v>
      </c>
      <c r="B1" t="s">
        <v>1204</v>
      </c>
      <c r="C1" t="s">
        <v>1205</v>
      </c>
      <c r="D1" t="s">
        <v>1206</v>
      </c>
      <c r="E1" t="s">
        <v>1207</v>
      </c>
      <c r="F1" t="s">
        <v>1202</v>
      </c>
      <c r="G1" t="s">
        <v>1203</v>
      </c>
      <c r="H1" t="s">
        <v>1209</v>
      </c>
      <c r="I1" t="s">
        <v>1210</v>
      </c>
      <c r="J1" t="s">
        <v>1222</v>
      </c>
      <c r="K1" t="s">
        <v>1223</v>
      </c>
      <c r="L1" t="s">
        <v>1224</v>
      </c>
      <c r="M1" t="s">
        <v>1225</v>
      </c>
      <c r="N1" t="s">
        <v>1243</v>
      </c>
      <c r="O1" t="s">
        <v>1242</v>
      </c>
      <c r="P1" t="s">
        <v>1241</v>
      </c>
      <c r="Q1" t="s">
        <v>1240</v>
      </c>
      <c r="R1" t="s">
        <v>1239</v>
      </c>
      <c r="S1" t="s">
        <v>1238</v>
      </c>
      <c r="T1" t="s">
        <v>1237</v>
      </c>
      <c r="U1" t="s">
        <v>1236</v>
      </c>
    </row>
    <row r="2" spans="1:21" x14ac:dyDescent="0.25">
      <c r="A2" t="s">
        <v>817</v>
      </c>
      <c r="B2">
        <v>2</v>
      </c>
      <c r="C2">
        <v>2</v>
      </c>
      <c r="D2">
        <v>2</v>
      </c>
      <c r="E2">
        <v>2</v>
      </c>
      <c r="F2">
        <v>1</v>
      </c>
      <c r="G2">
        <v>1</v>
      </c>
      <c r="H2">
        <v>1</v>
      </c>
      <c r="I2">
        <v>1</v>
      </c>
      <c r="J2">
        <v>3</v>
      </c>
      <c r="K2">
        <v>3</v>
      </c>
      <c r="L2">
        <v>3</v>
      </c>
      <c r="M2">
        <v>3</v>
      </c>
      <c r="N2">
        <v>4</v>
      </c>
      <c r="O2">
        <v>4</v>
      </c>
      <c r="P2">
        <v>4</v>
      </c>
      <c r="Q2">
        <v>4</v>
      </c>
      <c r="R2">
        <v>5</v>
      </c>
      <c r="S2">
        <v>5</v>
      </c>
      <c r="T2">
        <v>5</v>
      </c>
      <c r="U2">
        <v>5</v>
      </c>
    </row>
    <row r="3" spans="1:21" x14ac:dyDescent="0.25">
      <c r="A3" t="s">
        <v>360</v>
      </c>
      <c r="B3">
        <v>1</v>
      </c>
      <c r="C3">
        <v>1</v>
      </c>
      <c r="D3">
        <v>1</v>
      </c>
      <c r="E3">
        <v>1</v>
      </c>
      <c r="F3">
        <v>1</v>
      </c>
      <c r="G3">
        <v>1</v>
      </c>
      <c r="H3">
        <v>1</v>
      </c>
      <c r="I3">
        <v>1</v>
      </c>
      <c r="J3">
        <v>1</v>
      </c>
      <c r="K3">
        <v>1</v>
      </c>
      <c r="L3">
        <v>1</v>
      </c>
      <c r="M3">
        <v>1</v>
      </c>
      <c r="N3">
        <v>1</v>
      </c>
      <c r="O3">
        <v>1</v>
      </c>
      <c r="P3">
        <v>1</v>
      </c>
      <c r="Q3">
        <v>1</v>
      </c>
      <c r="R3">
        <v>1</v>
      </c>
      <c r="S3">
        <v>1</v>
      </c>
      <c r="T3">
        <v>1</v>
      </c>
      <c r="U3">
        <v>1</v>
      </c>
    </row>
    <row r="4" spans="1:21" x14ac:dyDescent="0.25">
      <c r="A4" t="s">
        <v>732</v>
      </c>
      <c r="B4">
        <v>1</v>
      </c>
      <c r="C4">
        <v>1</v>
      </c>
      <c r="D4">
        <v>1</v>
      </c>
      <c r="E4">
        <v>1</v>
      </c>
      <c r="F4">
        <v>1</v>
      </c>
      <c r="G4">
        <v>1</v>
      </c>
      <c r="H4">
        <v>1</v>
      </c>
      <c r="I4">
        <v>1</v>
      </c>
      <c r="J4">
        <v>1</v>
      </c>
      <c r="K4">
        <v>1</v>
      </c>
      <c r="L4">
        <v>1</v>
      </c>
      <c r="M4">
        <v>1</v>
      </c>
      <c r="N4">
        <v>1</v>
      </c>
      <c r="O4">
        <v>1</v>
      </c>
      <c r="P4">
        <v>1</v>
      </c>
      <c r="Q4">
        <v>1</v>
      </c>
      <c r="R4">
        <v>1</v>
      </c>
      <c r="S4">
        <v>1</v>
      </c>
      <c r="T4">
        <v>1</v>
      </c>
      <c r="U4">
        <v>1</v>
      </c>
    </row>
    <row r="5" spans="1:21" x14ac:dyDescent="0.25">
      <c r="A5" t="s">
        <v>366</v>
      </c>
      <c r="B5">
        <v>1</v>
      </c>
      <c r="C5">
        <v>1</v>
      </c>
      <c r="D5">
        <v>1</v>
      </c>
      <c r="E5">
        <v>1</v>
      </c>
      <c r="F5">
        <v>1</v>
      </c>
      <c r="G5">
        <v>1</v>
      </c>
      <c r="H5">
        <v>1</v>
      </c>
      <c r="I5">
        <v>1</v>
      </c>
      <c r="J5">
        <v>1</v>
      </c>
      <c r="K5">
        <v>1</v>
      </c>
      <c r="L5">
        <v>1</v>
      </c>
      <c r="M5">
        <v>1</v>
      </c>
      <c r="N5">
        <v>1</v>
      </c>
      <c r="O5">
        <v>1</v>
      </c>
      <c r="P5">
        <v>1</v>
      </c>
      <c r="Q5">
        <v>1</v>
      </c>
      <c r="R5">
        <v>1</v>
      </c>
      <c r="S5">
        <v>1</v>
      </c>
      <c r="T5">
        <v>1</v>
      </c>
      <c r="U5">
        <v>1</v>
      </c>
    </row>
    <row r="6" spans="1:21" x14ac:dyDescent="0.25">
      <c r="A6" t="s">
        <v>1197</v>
      </c>
      <c r="B6">
        <v>2</v>
      </c>
      <c r="C6">
        <v>2</v>
      </c>
      <c r="D6">
        <v>2</v>
      </c>
      <c r="E6">
        <v>2</v>
      </c>
      <c r="F6">
        <v>2</v>
      </c>
      <c r="G6">
        <v>2</v>
      </c>
      <c r="H6">
        <v>2</v>
      </c>
      <c r="I6">
        <v>2</v>
      </c>
      <c r="J6">
        <v>3</v>
      </c>
      <c r="K6">
        <v>3</v>
      </c>
      <c r="L6">
        <v>3</v>
      </c>
      <c r="M6">
        <v>3</v>
      </c>
      <c r="N6">
        <v>3</v>
      </c>
      <c r="O6">
        <v>3</v>
      </c>
      <c r="P6">
        <v>3</v>
      </c>
      <c r="Q6">
        <v>3</v>
      </c>
      <c r="R6">
        <v>3</v>
      </c>
      <c r="S6">
        <v>3</v>
      </c>
      <c r="T6">
        <v>3</v>
      </c>
      <c r="U6">
        <v>3</v>
      </c>
    </row>
    <row r="7" spans="1:21" x14ac:dyDescent="0.25">
      <c r="A7" t="s">
        <v>369</v>
      </c>
      <c r="B7">
        <v>1</v>
      </c>
      <c r="C7">
        <v>1</v>
      </c>
      <c r="D7">
        <v>1</v>
      </c>
      <c r="E7">
        <v>1</v>
      </c>
      <c r="F7">
        <v>1</v>
      </c>
      <c r="G7">
        <v>1</v>
      </c>
      <c r="H7">
        <v>1</v>
      </c>
      <c r="I7">
        <v>1</v>
      </c>
      <c r="J7">
        <v>1</v>
      </c>
      <c r="K7">
        <v>1</v>
      </c>
      <c r="L7">
        <v>1</v>
      </c>
      <c r="M7">
        <v>1</v>
      </c>
      <c r="N7">
        <v>1</v>
      </c>
      <c r="O7">
        <v>1</v>
      </c>
      <c r="P7">
        <v>1</v>
      </c>
      <c r="Q7">
        <v>1</v>
      </c>
      <c r="R7">
        <v>1</v>
      </c>
      <c r="S7">
        <v>1</v>
      </c>
      <c r="T7">
        <v>1</v>
      </c>
      <c r="U7">
        <v>1</v>
      </c>
    </row>
    <row r="8" spans="1:21" x14ac:dyDescent="0.25">
      <c r="A8" t="s">
        <v>1198</v>
      </c>
      <c r="B8">
        <v>1</v>
      </c>
      <c r="C8">
        <v>1</v>
      </c>
      <c r="D8">
        <v>1</v>
      </c>
      <c r="E8">
        <v>1</v>
      </c>
      <c r="F8">
        <v>1</v>
      </c>
      <c r="G8">
        <v>1</v>
      </c>
      <c r="H8">
        <v>1</v>
      </c>
      <c r="I8">
        <v>1</v>
      </c>
      <c r="J8">
        <v>1</v>
      </c>
      <c r="K8">
        <v>1</v>
      </c>
      <c r="L8">
        <v>1</v>
      </c>
      <c r="M8">
        <v>1</v>
      </c>
      <c r="N8">
        <v>1</v>
      </c>
      <c r="O8">
        <v>1</v>
      </c>
      <c r="P8">
        <v>1</v>
      </c>
      <c r="Q8">
        <v>1</v>
      </c>
      <c r="R8">
        <v>1</v>
      </c>
      <c r="S8">
        <v>1</v>
      </c>
      <c r="T8">
        <v>1</v>
      </c>
      <c r="U8">
        <v>1</v>
      </c>
    </row>
    <row r="9" spans="1:21" x14ac:dyDescent="0.25">
      <c r="A9" t="s">
        <v>373</v>
      </c>
      <c r="B9">
        <v>1</v>
      </c>
      <c r="C9">
        <v>1</v>
      </c>
      <c r="D9">
        <v>1</v>
      </c>
      <c r="E9">
        <v>1</v>
      </c>
      <c r="F9">
        <v>1</v>
      </c>
      <c r="G9">
        <v>1</v>
      </c>
      <c r="H9">
        <v>1</v>
      </c>
      <c r="I9">
        <v>1</v>
      </c>
      <c r="J9">
        <v>1</v>
      </c>
      <c r="K9">
        <v>1</v>
      </c>
      <c r="L9">
        <v>1</v>
      </c>
      <c r="M9">
        <v>1</v>
      </c>
      <c r="N9">
        <v>1</v>
      </c>
      <c r="O9">
        <v>1</v>
      </c>
      <c r="P9">
        <v>1</v>
      </c>
      <c r="Q9">
        <v>1</v>
      </c>
      <c r="R9">
        <v>1</v>
      </c>
      <c r="S9">
        <v>1</v>
      </c>
      <c r="T9">
        <v>1</v>
      </c>
      <c r="U9">
        <v>1</v>
      </c>
    </row>
    <row r="10" spans="1:21" x14ac:dyDescent="0.25">
      <c r="A10" t="s">
        <v>374</v>
      </c>
      <c r="B10">
        <v>1</v>
      </c>
      <c r="C10">
        <v>1</v>
      </c>
      <c r="D10">
        <v>1</v>
      </c>
      <c r="E10">
        <v>1</v>
      </c>
      <c r="F10">
        <v>1</v>
      </c>
      <c r="G10">
        <v>1</v>
      </c>
      <c r="H10">
        <v>1</v>
      </c>
      <c r="I10">
        <v>1</v>
      </c>
      <c r="J10">
        <v>1</v>
      </c>
      <c r="K10">
        <v>1</v>
      </c>
      <c r="L10">
        <v>1</v>
      </c>
      <c r="M10">
        <v>1</v>
      </c>
      <c r="N10">
        <v>1</v>
      </c>
      <c r="O10">
        <v>1</v>
      </c>
      <c r="P10">
        <v>1</v>
      </c>
      <c r="Q10">
        <v>1</v>
      </c>
      <c r="R10">
        <v>1</v>
      </c>
      <c r="S10">
        <v>1</v>
      </c>
      <c r="T10">
        <v>1</v>
      </c>
      <c r="U10">
        <v>1</v>
      </c>
    </row>
    <row r="11" spans="1:21" x14ac:dyDescent="0.25">
      <c r="A11" t="s">
        <v>805</v>
      </c>
      <c r="B11">
        <v>2</v>
      </c>
      <c r="C11">
        <v>3</v>
      </c>
      <c r="D11">
        <v>4</v>
      </c>
      <c r="E11">
        <v>5</v>
      </c>
      <c r="F11">
        <v>2</v>
      </c>
      <c r="G11">
        <v>3</v>
      </c>
      <c r="H11">
        <v>4</v>
      </c>
      <c r="I11">
        <v>5</v>
      </c>
      <c r="J11">
        <v>2</v>
      </c>
      <c r="K11">
        <v>3</v>
      </c>
      <c r="L11">
        <v>4</v>
      </c>
      <c r="M11">
        <v>5</v>
      </c>
      <c r="N11">
        <v>2</v>
      </c>
      <c r="O11">
        <v>3</v>
      </c>
      <c r="P11">
        <v>4</v>
      </c>
      <c r="Q11">
        <v>5</v>
      </c>
      <c r="R11">
        <v>2</v>
      </c>
      <c r="S11">
        <v>3</v>
      </c>
      <c r="T11">
        <v>4</v>
      </c>
      <c r="U11">
        <v>5</v>
      </c>
    </row>
    <row r="12" spans="1:21" x14ac:dyDescent="0.25">
      <c r="A12" t="s">
        <v>517</v>
      </c>
      <c r="B12">
        <v>1</v>
      </c>
      <c r="C12">
        <v>1</v>
      </c>
      <c r="D12">
        <v>1</v>
      </c>
      <c r="E12">
        <v>1</v>
      </c>
      <c r="F12">
        <v>1</v>
      </c>
      <c r="G12">
        <v>1</v>
      </c>
      <c r="H12">
        <v>1</v>
      </c>
      <c r="I12">
        <v>1</v>
      </c>
      <c r="J12">
        <v>1</v>
      </c>
      <c r="K12">
        <v>1</v>
      </c>
      <c r="L12">
        <v>1</v>
      </c>
      <c r="M12">
        <v>1</v>
      </c>
      <c r="N12">
        <v>1</v>
      </c>
      <c r="O12">
        <v>1</v>
      </c>
      <c r="P12">
        <v>1</v>
      </c>
      <c r="Q12">
        <v>1</v>
      </c>
      <c r="R12">
        <v>1</v>
      </c>
      <c r="S12">
        <v>1</v>
      </c>
      <c r="T12">
        <v>1</v>
      </c>
      <c r="U12">
        <v>1</v>
      </c>
    </row>
    <row r="14" spans="1:21" s="1" customFormat="1" x14ac:dyDescent="0.25">
      <c r="A14" s="1" t="s">
        <v>1199</v>
      </c>
      <c r="B14" s="1" t="s">
        <v>1200</v>
      </c>
      <c r="C14" s="1" t="s">
        <v>1215</v>
      </c>
      <c r="D14" s="1" t="s">
        <v>1216</v>
      </c>
      <c r="E14" s="1" t="s">
        <v>1217</v>
      </c>
      <c r="F14" s="1" t="s">
        <v>1208</v>
      </c>
      <c r="G14" s="1" t="s">
        <v>1211</v>
      </c>
      <c r="H14" s="1" t="s">
        <v>1212</v>
      </c>
      <c r="I14" s="1" t="s">
        <v>1213</v>
      </c>
      <c r="J14" s="1" t="s">
        <v>1218</v>
      </c>
      <c r="K14" s="1" t="s">
        <v>1219</v>
      </c>
      <c r="L14" s="1" t="s">
        <v>1220</v>
      </c>
      <c r="M14" s="1" t="s">
        <v>1221</v>
      </c>
      <c r="N14" s="1" t="s">
        <v>1244</v>
      </c>
      <c r="O14" s="1" t="s">
        <v>1245</v>
      </c>
      <c r="P14" s="1" t="s">
        <v>1246</v>
      </c>
      <c r="Q14" s="1" t="s">
        <v>1247</v>
      </c>
      <c r="R14" s="1" t="s">
        <v>1248</v>
      </c>
      <c r="S14" s="1" t="s">
        <v>1249</v>
      </c>
      <c r="T14" s="1" t="s">
        <v>1250</v>
      </c>
      <c r="U14" s="1" t="s">
        <v>1251</v>
      </c>
    </row>
    <row r="15" spans="1:21" x14ac:dyDescent="0.25">
      <c r="A15" t="s">
        <v>1201</v>
      </c>
      <c r="B15" s="70" t="s">
        <v>1254</v>
      </c>
      <c r="C15" s="70" t="s">
        <v>1255</v>
      </c>
      <c r="D15" s="70" t="s">
        <v>1252</v>
      </c>
      <c r="E15" s="70" t="s">
        <v>1253</v>
      </c>
      <c r="F15" s="70" t="s">
        <v>1256</v>
      </c>
      <c r="G15" s="70" t="s">
        <v>1257</v>
      </c>
      <c r="H15" s="70" t="s">
        <v>1258</v>
      </c>
      <c r="I15" s="70" t="s">
        <v>1259</v>
      </c>
      <c r="J15" s="70" t="s">
        <v>1260</v>
      </c>
      <c r="K15" s="70" t="s">
        <v>1261</v>
      </c>
      <c r="L15" s="70" t="s">
        <v>1262</v>
      </c>
      <c r="M15" s="70" t="s">
        <v>1263</v>
      </c>
      <c r="N15" s="70" t="s">
        <v>1264</v>
      </c>
      <c r="O15" s="70" t="s">
        <v>1265</v>
      </c>
      <c r="P15" s="70" t="s">
        <v>1266</v>
      </c>
      <c r="Q15" s="70" t="s">
        <v>1267</v>
      </c>
      <c r="R15" s="70" t="s">
        <v>1268</v>
      </c>
      <c r="S15" s="70" t="s">
        <v>1269</v>
      </c>
      <c r="T15" s="70" t="s">
        <v>1270</v>
      </c>
      <c r="U15" s="70" t="s">
        <v>1271</v>
      </c>
    </row>
    <row r="16" spans="1:21" ht="15.75" thickBot="1" x14ac:dyDescent="0.3"/>
    <row r="17" spans="1:13" ht="16.5" thickTop="1" thickBot="1" x14ac:dyDescent="0.3">
      <c r="A17" s="1" t="s">
        <v>1226</v>
      </c>
      <c r="B17" s="141">
        <f>COUNTA(B1:CW1)</f>
        <v>20</v>
      </c>
    </row>
    <row r="18" spans="1:13" ht="15.75" thickTop="1" x14ac:dyDescent="0.25"/>
    <row r="19" spans="1:13" x14ac:dyDescent="0.25">
      <c r="A19" s="1" t="s">
        <v>1214</v>
      </c>
      <c r="B19" t="s">
        <v>1272</v>
      </c>
      <c r="C19" t="s">
        <v>1273</v>
      </c>
      <c r="D19" t="s">
        <v>1274</v>
      </c>
      <c r="E19" t="s">
        <v>1275</v>
      </c>
      <c r="F19" t="s">
        <v>1202</v>
      </c>
      <c r="G19" t="s">
        <v>1203</v>
      </c>
      <c r="H19" t="s">
        <v>1209</v>
      </c>
      <c r="I19" t="s">
        <v>1210</v>
      </c>
      <c r="J19" t="s">
        <v>1276</v>
      </c>
      <c r="K19" t="s">
        <v>1277</v>
      </c>
      <c r="L19" t="s">
        <v>1278</v>
      </c>
      <c r="M19" t="s">
        <v>1279</v>
      </c>
    </row>
    <row r="20" spans="1:13" hidden="1" x14ac:dyDescent="0.25">
      <c r="A20" t="s">
        <v>817</v>
      </c>
      <c r="B20">
        <v>1</v>
      </c>
      <c r="C20">
        <v>1</v>
      </c>
      <c r="D20">
        <v>1</v>
      </c>
      <c r="E20">
        <v>1</v>
      </c>
      <c r="F20">
        <v>2</v>
      </c>
      <c r="G20">
        <v>2</v>
      </c>
      <c r="H20">
        <v>2</v>
      </c>
      <c r="I20">
        <v>2</v>
      </c>
      <c r="J20">
        <v>3</v>
      </c>
      <c r="K20">
        <v>3</v>
      </c>
      <c r="L20">
        <v>3</v>
      </c>
      <c r="M20">
        <v>3</v>
      </c>
    </row>
    <row r="21" spans="1:13" hidden="1" x14ac:dyDescent="0.25">
      <c r="A21" t="s">
        <v>360</v>
      </c>
      <c r="B21">
        <v>1</v>
      </c>
      <c r="C21">
        <v>1</v>
      </c>
      <c r="D21">
        <v>1</v>
      </c>
      <c r="E21">
        <v>1</v>
      </c>
      <c r="F21">
        <v>1</v>
      </c>
      <c r="G21">
        <v>1</v>
      </c>
      <c r="H21">
        <v>1</v>
      </c>
      <c r="I21">
        <v>1</v>
      </c>
      <c r="J21">
        <v>1</v>
      </c>
      <c r="K21">
        <v>1</v>
      </c>
      <c r="L21">
        <v>1</v>
      </c>
      <c r="M21">
        <v>1</v>
      </c>
    </row>
    <row r="22" spans="1:13" hidden="1" x14ac:dyDescent="0.25">
      <c r="A22" t="s">
        <v>732</v>
      </c>
      <c r="B22">
        <v>1</v>
      </c>
      <c r="C22">
        <v>1</v>
      </c>
      <c r="D22">
        <v>1</v>
      </c>
      <c r="E22">
        <v>1</v>
      </c>
      <c r="F22">
        <v>1</v>
      </c>
      <c r="G22">
        <v>1</v>
      </c>
      <c r="H22">
        <v>1</v>
      </c>
      <c r="I22">
        <v>1</v>
      </c>
      <c r="J22">
        <v>1</v>
      </c>
      <c r="K22">
        <v>1</v>
      </c>
      <c r="L22">
        <v>1</v>
      </c>
      <c r="M22">
        <v>1</v>
      </c>
    </row>
    <row r="23" spans="1:13" hidden="1" x14ac:dyDescent="0.25">
      <c r="A23" t="s">
        <v>366</v>
      </c>
      <c r="B23">
        <v>1</v>
      </c>
      <c r="C23">
        <v>1</v>
      </c>
      <c r="D23">
        <v>1</v>
      </c>
      <c r="E23">
        <v>1</v>
      </c>
      <c r="F23">
        <v>1</v>
      </c>
      <c r="G23">
        <v>1</v>
      </c>
      <c r="H23">
        <v>1</v>
      </c>
      <c r="I23">
        <v>1</v>
      </c>
      <c r="J23">
        <v>1</v>
      </c>
      <c r="K23">
        <v>1</v>
      </c>
      <c r="L23">
        <v>1</v>
      </c>
      <c r="M23">
        <v>1</v>
      </c>
    </row>
    <row r="24" spans="1:13" hidden="1" x14ac:dyDescent="0.25">
      <c r="A24" t="s">
        <v>1197</v>
      </c>
      <c r="B24">
        <v>3</v>
      </c>
      <c r="C24">
        <v>3</v>
      </c>
      <c r="D24">
        <v>3</v>
      </c>
      <c r="E24">
        <v>3</v>
      </c>
      <c r="F24">
        <v>4</v>
      </c>
      <c r="G24">
        <v>4</v>
      </c>
      <c r="H24">
        <v>4</v>
      </c>
      <c r="I24">
        <v>4</v>
      </c>
      <c r="J24">
        <v>5</v>
      </c>
      <c r="K24">
        <v>5</v>
      </c>
      <c r="L24">
        <v>5</v>
      </c>
      <c r="M24">
        <v>5</v>
      </c>
    </row>
    <row r="25" spans="1:13" hidden="1" x14ac:dyDescent="0.25">
      <c r="A25" t="s">
        <v>369</v>
      </c>
      <c r="B25">
        <v>1</v>
      </c>
      <c r="C25">
        <v>1</v>
      </c>
      <c r="D25">
        <v>1</v>
      </c>
      <c r="E25">
        <v>1</v>
      </c>
      <c r="F25">
        <v>1</v>
      </c>
      <c r="G25">
        <v>1</v>
      </c>
      <c r="H25">
        <v>1</v>
      </c>
      <c r="I25">
        <v>1</v>
      </c>
      <c r="J25">
        <v>1</v>
      </c>
      <c r="K25">
        <v>1</v>
      </c>
      <c r="L25">
        <v>1</v>
      </c>
      <c r="M25">
        <v>1</v>
      </c>
    </row>
    <row r="26" spans="1:13" hidden="1" x14ac:dyDescent="0.25">
      <c r="A26" t="s">
        <v>1198</v>
      </c>
      <c r="B26">
        <v>1</v>
      </c>
      <c r="C26">
        <v>1</v>
      </c>
      <c r="D26">
        <v>1</v>
      </c>
      <c r="E26">
        <v>1</v>
      </c>
      <c r="F26">
        <v>1</v>
      </c>
      <c r="G26">
        <v>1</v>
      </c>
      <c r="H26">
        <v>1</v>
      </c>
      <c r="I26">
        <v>1</v>
      </c>
      <c r="J26">
        <v>1</v>
      </c>
      <c r="K26">
        <v>1</v>
      </c>
      <c r="L26">
        <v>1</v>
      </c>
      <c r="M26">
        <v>1</v>
      </c>
    </row>
    <row r="27" spans="1:13" hidden="1" x14ac:dyDescent="0.25">
      <c r="A27" t="s">
        <v>373</v>
      </c>
      <c r="B27">
        <v>1</v>
      </c>
      <c r="C27">
        <v>1</v>
      </c>
      <c r="D27">
        <v>1</v>
      </c>
      <c r="E27">
        <v>1</v>
      </c>
      <c r="F27">
        <v>1</v>
      </c>
      <c r="G27">
        <v>1</v>
      </c>
      <c r="H27">
        <v>1</v>
      </c>
      <c r="I27">
        <v>1</v>
      </c>
      <c r="J27">
        <v>1</v>
      </c>
      <c r="K27">
        <v>1</v>
      </c>
      <c r="L27">
        <v>1</v>
      </c>
      <c r="M27">
        <v>1</v>
      </c>
    </row>
    <row r="28" spans="1:13" hidden="1" x14ac:dyDescent="0.25">
      <c r="A28" t="s">
        <v>374</v>
      </c>
      <c r="B28">
        <v>1</v>
      </c>
      <c r="C28">
        <v>1</v>
      </c>
      <c r="D28">
        <v>1</v>
      </c>
      <c r="E28">
        <v>1</v>
      </c>
      <c r="F28">
        <v>1</v>
      </c>
      <c r="G28">
        <v>1</v>
      </c>
      <c r="H28">
        <v>1</v>
      </c>
      <c r="I28">
        <v>1</v>
      </c>
      <c r="J28">
        <v>1</v>
      </c>
      <c r="K28">
        <v>1</v>
      </c>
      <c r="L28">
        <v>1</v>
      </c>
      <c r="M28">
        <v>1</v>
      </c>
    </row>
    <row r="29" spans="1:13" hidden="1" x14ac:dyDescent="0.25">
      <c r="A29" t="s">
        <v>805</v>
      </c>
      <c r="B29">
        <v>2</v>
      </c>
      <c r="C29">
        <v>3</v>
      </c>
      <c r="D29">
        <v>4</v>
      </c>
      <c r="E29">
        <v>5</v>
      </c>
      <c r="F29">
        <v>2</v>
      </c>
      <c r="G29">
        <v>3</v>
      </c>
      <c r="H29">
        <v>4</v>
      </c>
      <c r="I29">
        <v>5</v>
      </c>
      <c r="J29">
        <v>2</v>
      </c>
      <c r="K29">
        <v>3</v>
      </c>
      <c r="L29">
        <v>4</v>
      </c>
      <c r="M29">
        <v>5</v>
      </c>
    </row>
    <row r="30" spans="1:13" hidden="1" x14ac:dyDescent="0.25">
      <c r="A30" t="s">
        <v>517</v>
      </c>
      <c r="B30">
        <v>1</v>
      </c>
      <c r="C30">
        <v>1</v>
      </c>
      <c r="D30">
        <v>1</v>
      </c>
      <c r="E30">
        <v>1</v>
      </c>
      <c r="F30">
        <v>1</v>
      </c>
      <c r="G30">
        <v>1</v>
      </c>
      <c r="H30">
        <v>1</v>
      </c>
      <c r="I30">
        <v>1</v>
      </c>
      <c r="J30">
        <v>1</v>
      </c>
      <c r="K30">
        <v>1</v>
      </c>
      <c r="L30">
        <v>1</v>
      </c>
      <c r="M30">
        <v>1</v>
      </c>
    </row>
    <row r="31" spans="1:13" hidden="1" x14ac:dyDescent="0.25"/>
    <row r="32" spans="1:13" s="1" customFormat="1" x14ac:dyDescent="0.25">
      <c r="A32" s="1" t="s">
        <v>1199</v>
      </c>
      <c r="B32" s="1" t="s">
        <v>1280</v>
      </c>
      <c r="C32" s="1" t="s">
        <v>1283</v>
      </c>
      <c r="D32" s="1" t="s">
        <v>1284</v>
      </c>
      <c r="E32" s="1" t="s">
        <v>1285</v>
      </c>
      <c r="F32" s="1" t="s">
        <v>1281</v>
      </c>
      <c r="G32" s="1" t="s">
        <v>1286</v>
      </c>
      <c r="H32" s="1" t="s">
        <v>1287</v>
      </c>
      <c r="I32" s="1" t="s">
        <v>1288</v>
      </c>
      <c r="J32" s="1" t="s">
        <v>1282</v>
      </c>
      <c r="K32" s="1" t="s">
        <v>1289</v>
      </c>
      <c r="L32" s="1" t="s">
        <v>1290</v>
      </c>
      <c r="M32" s="1" t="s">
        <v>1291</v>
      </c>
    </row>
    <row r="33" spans="1:21" ht="15.75" thickBot="1" x14ac:dyDescent="0.3">
      <c r="A33" t="s">
        <v>1201</v>
      </c>
      <c r="B33" s="70" t="s">
        <v>1292</v>
      </c>
      <c r="C33" s="70" t="s">
        <v>1293</v>
      </c>
      <c r="D33" s="70" t="s">
        <v>1294</v>
      </c>
      <c r="E33" s="70" t="s">
        <v>1295</v>
      </c>
      <c r="F33" s="70" t="s">
        <v>1296</v>
      </c>
      <c r="G33" s="70" t="s">
        <v>1297</v>
      </c>
      <c r="H33" s="70" t="s">
        <v>1298</v>
      </c>
      <c r="I33" s="70" t="s">
        <v>1299</v>
      </c>
      <c r="J33" s="70" t="s">
        <v>1300</v>
      </c>
      <c r="K33" s="70" t="s">
        <v>1301</v>
      </c>
      <c r="L33" s="70" t="s">
        <v>1302</v>
      </c>
      <c r="M33" s="70" t="s">
        <v>1303</v>
      </c>
      <c r="N33" s="77"/>
      <c r="O33" s="77"/>
      <c r="P33" s="77"/>
      <c r="Q33" s="77"/>
      <c r="R33" s="77"/>
      <c r="S33" s="77"/>
      <c r="T33" s="77"/>
      <c r="U33" s="77"/>
    </row>
    <row r="34" spans="1:21" ht="16.5" thickTop="1" thickBot="1" x14ac:dyDescent="0.3">
      <c r="A34" s="1" t="s">
        <v>1226</v>
      </c>
      <c r="B34" s="141">
        <f>COUNTA(B19:CW19)</f>
        <v>12</v>
      </c>
    </row>
    <row r="35" spans="1:21" ht="15.75" thickTop="1" x14ac:dyDescent="0.25"/>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2:I28"/>
  <sheetViews>
    <sheetView workbookViewId="0">
      <selection activeCell="B32" sqref="B32"/>
    </sheetView>
  </sheetViews>
  <sheetFormatPr defaultRowHeight="15" x14ac:dyDescent="0.25"/>
  <cols>
    <col min="2" max="2" width="79.7109375" bestFit="1" customWidth="1"/>
    <col min="4" max="4" width="64.42578125" customWidth="1"/>
    <col min="6" max="6" width="11.42578125" customWidth="1"/>
    <col min="7" max="7" width="15.85546875" customWidth="1"/>
    <col min="8" max="8" width="11.5703125" customWidth="1"/>
  </cols>
  <sheetData>
    <row r="2" spans="2:9" x14ac:dyDescent="0.25">
      <c r="B2" s="121" t="s">
        <v>1099</v>
      </c>
      <c r="D2" s="121" t="s">
        <v>1103</v>
      </c>
    </row>
    <row r="3" spans="2:9" x14ac:dyDescent="0.25">
      <c r="B3" t="s">
        <v>1100</v>
      </c>
      <c r="D3" t="s">
        <v>1104</v>
      </c>
    </row>
    <row r="4" spans="2:9" x14ac:dyDescent="0.25">
      <c r="B4" t="s">
        <v>1101</v>
      </c>
      <c r="D4" t="s">
        <v>1105</v>
      </c>
      <c r="E4" t="s">
        <v>1127</v>
      </c>
    </row>
    <row r="5" spans="2:9" x14ac:dyDescent="0.25">
      <c r="B5" t="s">
        <v>1102</v>
      </c>
      <c r="D5" t="s">
        <v>1106</v>
      </c>
      <c r="E5" s="77" t="s">
        <v>1107</v>
      </c>
      <c r="H5" t="s">
        <v>1115</v>
      </c>
    </row>
    <row r="7" spans="2:9" x14ac:dyDescent="0.25">
      <c r="E7">
        <v>530</v>
      </c>
      <c r="F7" t="s">
        <v>72</v>
      </c>
      <c r="G7" t="s">
        <v>74</v>
      </c>
      <c r="H7" s="127">
        <v>1137</v>
      </c>
      <c r="I7">
        <v>2009</v>
      </c>
    </row>
    <row r="8" spans="2:9" x14ac:dyDescent="0.25">
      <c r="B8" s="1" t="s">
        <v>1112</v>
      </c>
      <c r="D8" s="121" t="s">
        <v>1108</v>
      </c>
      <c r="E8">
        <v>430</v>
      </c>
      <c r="F8" s="2" t="s">
        <v>81</v>
      </c>
      <c r="G8" s="2" t="s">
        <v>82</v>
      </c>
      <c r="H8" s="127">
        <v>1597</v>
      </c>
      <c r="I8">
        <v>2009</v>
      </c>
    </row>
    <row r="9" spans="2:9" x14ac:dyDescent="0.25">
      <c r="B9" t="s">
        <v>1113</v>
      </c>
      <c r="D9" t="s">
        <v>1109</v>
      </c>
      <c r="H9" s="128">
        <f>H8-H7</f>
        <v>460</v>
      </c>
    </row>
    <row r="10" spans="2:9" x14ac:dyDescent="0.25">
      <c r="B10" t="s">
        <v>1117</v>
      </c>
      <c r="D10" t="s">
        <v>1110</v>
      </c>
    </row>
    <row r="11" spans="2:9" x14ac:dyDescent="0.25">
      <c r="B11" t="s">
        <v>1114</v>
      </c>
      <c r="E11" t="s">
        <v>1128</v>
      </c>
    </row>
    <row r="12" spans="2:9" x14ac:dyDescent="0.25">
      <c r="D12" t="s">
        <v>1111</v>
      </c>
    </row>
    <row r="13" spans="2:9" x14ac:dyDescent="0.25">
      <c r="E13" t="s">
        <v>1118</v>
      </c>
    </row>
    <row r="14" spans="2:9" x14ac:dyDescent="0.25">
      <c r="D14" t="s">
        <v>1116</v>
      </c>
      <c r="E14" t="s">
        <v>715</v>
      </c>
      <c r="G14" s="127">
        <v>250</v>
      </c>
    </row>
    <row r="15" spans="2:9" x14ac:dyDescent="0.25">
      <c r="E15" t="s">
        <v>768</v>
      </c>
      <c r="G15" s="127">
        <v>390</v>
      </c>
    </row>
    <row r="18" spans="2:4" x14ac:dyDescent="0.25">
      <c r="D18" s="121" t="s">
        <v>1118</v>
      </c>
    </row>
    <row r="19" spans="2:4" x14ac:dyDescent="0.25">
      <c r="D19" t="s">
        <v>1129</v>
      </c>
    </row>
    <row r="20" spans="2:4" x14ac:dyDescent="0.25">
      <c r="D20" t="s">
        <v>1130</v>
      </c>
    </row>
    <row r="21" spans="2:4" x14ac:dyDescent="0.25">
      <c r="D21" t="s">
        <v>1131</v>
      </c>
    </row>
    <row r="26" spans="2:4" x14ac:dyDescent="0.25">
      <c r="B26" t="s">
        <v>1119</v>
      </c>
    </row>
    <row r="28" spans="2:4" x14ac:dyDescent="0.25">
      <c r="B28" s="140" t="s">
        <v>1196</v>
      </c>
    </row>
  </sheetData>
  <hyperlinks>
    <hyperlink ref="B28" r:id="rId1" location="3042t94/=15jww8c"/>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O42"/>
  <sheetViews>
    <sheetView workbookViewId="0">
      <selection activeCell="M30" sqref="M30"/>
    </sheetView>
  </sheetViews>
  <sheetFormatPr defaultRowHeight="15" x14ac:dyDescent="0.25"/>
  <cols>
    <col min="3" max="3" width="12.42578125" bestFit="1" customWidth="1"/>
    <col min="4" max="4" width="25.7109375" bestFit="1" customWidth="1"/>
    <col min="5" max="5" width="24.42578125" customWidth="1"/>
    <col min="6" max="6" width="23.7109375" customWidth="1"/>
    <col min="7" max="7" width="26.28515625" customWidth="1"/>
    <col min="8" max="8" width="37.28515625" bestFit="1" customWidth="1"/>
    <col min="12" max="12" width="11" bestFit="1" customWidth="1"/>
    <col min="13" max="13" width="17.5703125" bestFit="1" customWidth="1"/>
  </cols>
  <sheetData>
    <row r="1" spans="2:15" x14ac:dyDescent="0.25">
      <c r="D1" t="s">
        <v>1122</v>
      </c>
      <c r="E1" t="s">
        <v>1124</v>
      </c>
      <c r="F1" t="s">
        <v>1122</v>
      </c>
    </row>
    <row r="2" spans="2:15" ht="15.75" thickBot="1" x14ac:dyDescent="0.3">
      <c r="B2" t="s">
        <v>360</v>
      </c>
      <c r="C2" t="s">
        <v>346</v>
      </c>
      <c r="D2" t="s">
        <v>1125</v>
      </c>
      <c r="E2" t="s">
        <v>1123</v>
      </c>
      <c r="F2" t="s">
        <v>1126</v>
      </c>
    </row>
    <row r="3" spans="2:15" ht="15.75" thickTop="1" x14ac:dyDescent="0.25">
      <c r="B3" t="s">
        <v>403</v>
      </c>
      <c r="C3" t="s">
        <v>347</v>
      </c>
      <c r="D3" s="122" t="s">
        <v>1132</v>
      </c>
      <c r="E3" s="136" t="s">
        <v>1140</v>
      </c>
      <c r="F3" s="123" t="s">
        <v>1171</v>
      </c>
    </row>
    <row r="4" spans="2:15" x14ac:dyDescent="0.25">
      <c r="B4" t="s">
        <v>406</v>
      </c>
      <c r="C4" t="s">
        <v>347</v>
      </c>
      <c r="D4" s="124" t="s">
        <v>1133</v>
      </c>
      <c r="E4" s="137" t="s">
        <v>1140</v>
      </c>
      <c r="F4" s="125" t="s">
        <v>878</v>
      </c>
    </row>
    <row r="5" spans="2:15" x14ac:dyDescent="0.25">
      <c r="B5" t="s">
        <v>400</v>
      </c>
      <c r="C5" t="s">
        <v>1120</v>
      </c>
      <c r="D5" s="124" t="s">
        <v>1132</v>
      </c>
      <c r="E5" s="137" t="s">
        <v>1140</v>
      </c>
      <c r="F5" s="125" t="s">
        <v>1177</v>
      </c>
    </row>
    <row r="6" spans="2:15" ht="15.75" thickBot="1" x14ac:dyDescent="0.3">
      <c r="B6" t="s">
        <v>957</v>
      </c>
      <c r="C6" t="s">
        <v>1121</v>
      </c>
      <c r="D6" s="138" t="s">
        <v>1132</v>
      </c>
      <c r="E6" s="139" t="s">
        <v>1140</v>
      </c>
      <c r="F6" s="126"/>
    </row>
    <row r="7" spans="2:15" ht="15.75" thickTop="1" x14ac:dyDescent="0.25">
      <c r="J7" t="s">
        <v>1155</v>
      </c>
      <c r="K7" s="129">
        <v>258</v>
      </c>
      <c r="L7" t="s">
        <v>1189</v>
      </c>
      <c r="M7" t="s">
        <v>1190</v>
      </c>
    </row>
    <row r="9" spans="2:15" x14ac:dyDescent="0.25">
      <c r="D9" t="s">
        <v>1136</v>
      </c>
    </row>
    <row r="10" spans="2:15" x14ac:dyDescent="0.25">
      <c r="D10" t="s">
        <v>1134</v>
      </c>
      <c r="E10" t="s">
        <v>1137</v>
      </c>
    </row>
    <row r="11" spans="2:15" x14ac:dyDescent="0.25">
      <c r="D11" t="s">
        <v>1135</v>
      </c>
      <c r="E11" t="s">
        <v>1137</v>
      </c>
    </row>
    <row r="13" spans="2:15" x14ac:dyDescent="0.25">
      <c r="J13" t="s">
        <v>1154</v>
      </c>
    </row>
    <row r="14" spans="2:15" x14ac:dyDescent="0.25">
      <c r="D14" t="s">
        <v>1139</v>
      </c>
      <c r="F14" t="s">
        <v>1141</v>
      </c>
      <c r="J14" s="130" t="s">
        <v>1152</v>
      </c>
      <c r="O14" s="64">
        <v>326</v>
      </c>
    </row>
    <row r="15" spans="2:15" x14ac:dyDescent="0.25">
      <c r="D15" t="s">
        <v>1138</v>
      </c>
      <c r="F15" t="s">
        <v>1142</v>
      </c>
      <c r="G15" s="129">
        <v>326</v>
      </c>
      <c r="J15" s="131" t="s">
        <v>1153</v>
      </c>
      <c r="O15" s="64">
        <v>149</v>
      </c>
    </row>
    <row r="16" spans="2:15" x14ac:dyDescent="0.25">
      <c r="F16" t="s">
        <v>878</v>
      </c>
      <c r="G16" s="129">
        <v>82</v>
      </c>
    </row>
    <row r="17" spans="3:11" x14ac:dyDescent="0.25">
      <c r="F17" t="s">
        <v>1150</v>
      </c>
      <c r="G17" s="129">
        <v>150</v>
      </c>
    </row>
    <row r="18" spans="3:11" x14ac:dyDescent="0.25">
      <c r="F18" t="s">
        <v>1143</v>
      </c>
    </row>
    <row r="19" spans="3:11" x14ac:dyDescent="0.25">
      <c r="F19" t="s">
        <v>1144</v>
      </c>
    </row>
    <row r="20" spans="3:11" x14ac:dyDescent="0.25">
      <c r="D20" t="s">
        <v>1147</v>
      </c>
    </row>
    <row r="21" spans="3:11" x14ac:dyDescent="0.25">
      <c r="D21" t="s">
        <v>1148</v>
      </c>
    </row>
    <row r="22" spans="3:11" x14ac:dyDescent="0.25">
      <c r="F22" t="s">
        <v>1145</v>
      </c>
      <c r="K22" t="s">
        <v>1191</v>
      </c>
    </row>
    <row r="23" spans="3:11" x14ac:dyDescent="0.25">
      <c r="F23" t="s">
        <v>1146</v>
      </c>
    </row>
    <row r="24" spans="3:11" x14ac:dyDescent="0.25">
      <c r="F24" t="s">
        <v>1151</v>
      </c>
    </row>
    <row r="25" spans="3:11" x14ac:dyDescent="0.25">
      <c r="D25" t="s">
        <v>1149</v>
      </c>
    </row>
    <row r="29" spans="3:11" x14ac:dyDescent="0.25">
      <c r="C29" s="60" t="s">
        <v>735</v>
      </c>
      <c r="D29" s="60" t="s">
        <v>1159</v>
      </c>
      <c r="E29" s="60" t="s">
        <v>1160</v>
      </c>
      <c r="F29" s="60" t="s">
        <v>1161</v>
      </c>
      <c r="G29" s="60" t="s">
        <v>1162</v>
      </c>
      <c r="H29" s="60" t="s">
        <v>1163</v>
      </c>
    </row>
    <row r="30" spans="3:11" x14ac:dyDescent="0.25">
      <c r="C30" s="133">
        <v>467</v>
      </c>
      <c r="D30" t="s">
        <v>1156</v>
      </c>
      <c r="E30" t="s">
        <v>1158</v>
      </c>
      <c r="F30" t="s">
        <v>1157</v>
      </c>
      <c r="G30" t="s">
        <v>1170</v>
      </c>
      <c r="H30" s="132" t="s">
        <v>1175</v>
      </c>
    </row>
    <row r="31" spans="3:11" x14ac:dyDescent="0.25">
      <c r="C31" s="133">
        <v>560</v>
      </c>
      <c r="D31" t="s">
        <v>1165</v>
      </c>
      <c r="E31" t="s">
        <v>1158</v>
      </c>
      <c r="F31" t="s">
        <v>1164</v>
      </c>
      <c r="G31" t="s">
        <v>1170</v>
      </c>
      <c r="H31" t="s">
        <v>1166</v>
      </c>
    </row>
    <row r="32" spans="3:11" x14ac:dyDescent="0.25">
      <c r="C32" s="133">
        <v>509</v>
      </c>
      <c r="D32" t="s">
        <v>1167</v>
      </c>
      <c r="E32" t="s">
        <v>1158</v>
      </c>
      <c r="F32" t="s">
        <v>1168</v>
      </c>
      <c r="G32" t="s">
        <v>1169</v>
      </c>
      <c r="H32" t="s">
        <v>1173</v>
      </c>
    </row>
    <row r="33" spans="3:8" x14ac:dyDescent="0.25">
      <c r="C33" s="133">
        <v>265</v>
      </c>
      <c r="D33" t="s">
        <v>1171</v>
      </c>
      <c r="E33" t="s">
        <v>1158</v>
      </c>
      <c r="F33" t="s">
        <v>1172</v>
      </c>
      <c r="G33" t="s">
        <v>1169</v>
      </c>
    </row>
    <row r="34" spans="3:8" x14ac:dyDescent="0.25">
      <c r="C34" s="133">
        <v>311</v>
      </c>
      <c r="D34" t="s">
        <v>1177</v>
      </c>
      <c r="E34" t="s">
        <v>1158</v>
      </c>
      <c r="F34" t="s">
        <v>1174</v>
      </c>
      <c r="G34" t="s">
        <v>1170</v>
      </c>
      <c r="H34" s="132" t="s">
        <v>1176</v>
      </c>
    </row>
    <row r="35" spans="3:8" x14ac:dyDescent="0.25">
      <c r="C35" s="133">
        <v>537</v>
      </c>
      <c r="D35" t="s">
        <v>637</v>
      </c>
      <c r="E35" t="s">
        <v>1158</v>
      </c>
      <c r="F35" t="s">
        <v>774</v>
      </c>
      <c r="G35" t="s">
        <v>1170</v>
      </c>
      <c r="H35" t="s">
        <v>1178</v>
      </c>
    </row>
    <row r="36" spans="3:8" x14ac:dyDescent="0.25">
      <c r="C36" s="133"/>
    </row>
    <row r="37" spans="3:8" x14ac:dyDescent="0.25">
      <c r="C37" s="133"/>
    </row>
    <row r="38" spans="3:8" x14ac:dyDescent="0.25">
      <c r="C38" s="133"/>
    </row>
    <row r="39" spans="3:8" x14ac:dyDescent="0.25">
      <c r="C39" s="133"/>
    </row>
    <row r="40" spans="3:8" x14ac:dyDescent="0.25">
      <c r="C40" s="64"/>
    </row>
    <row r="41" spans="3:8" x14ac:dyDescent="0.25">
      <c r="C41" s="64"/>
    </row>
    <row r="42" spans="3:8" x14ac:dyDescent="0.25">
      <c r="C42" s="64"/>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5"/>
  <sheetViews>
    <sheetView workbookViewId="0">
      <selection activeCell="I20" sqref="I20:I27"/>
    </sheetView>
  </sheetViews>
  <sheetFormatPr defaultRowHeight="15" x14ac:dyDescent="0.25"/>
  <cols>
    <col min="1" max="1" width="19.42578125" bestFit="1" customWidth="1"/>
    <col min="2" max="2" width="22.140625" bestFit="1" customWidth="1"/>
    <col min="3" max="3" width="20.7109375" bestFit="1" customWidth="1"/>
    <col min="5" max="5" width="36.5703125" bestFit="1" customWidth="1"/>
    <col min="9" max="9" width="24.140625" bestFit="1" customWidth="1"/>
    <col min="11" max="11" width="15.28515625" bestFit="1" customWidth="1"/>
  </cols>
  <sheetData>
    <row r="1" spans="1:11" x14ac:dyDescent="0.25">
      <c r="B1" t="s">
        <v>753</v>
      </c>
      <c r="C1" t="s">
        <v>754</v>
      </c>
      <c r="E1" t="s">
        <v>788</v>
      </c>
      <c r="I1" t="s">
        <v>778</v>
      </c>
      <c r="J1" t="s">
        <v>779</v>
      </c>
    </row>
    <row r="2" spans="1:11" x14ac:dyDescent="0.25">
      <c r="A2" t="s">
        <v>360</v>
      </c>
      <c r="B2" t="s">
        <v>756</v>
      </c>
      <c r="C2" t="s">
        <v>755</v>
      </c>
      <c r="E2" t="s">
        <v>789</v>
      </c>
      <c r="I2" t="s">
        <v>768</v>
      </c>
      <c r="J2" s="70" t="s">
        <v>780</v>
      </c>
      <c r="K2" t="s">
        <v>787</v>
      </c>
    </row>
    <row r="3" spans="1:11" x14ac:dyDescent="0.25">
      <c r="A3" t="s">
        <v>757</v>
      </c>
      <c r="B3" t="s">
        <v>758</v>
      </c>
      <c r="C3" t="s">
        <v>758</v>
      </c>
      <c r="E3" t="s">
        <v>790</v>
      </c>
      <c r="I3" t="s">
        <v>769</v>
      </c>
      <c r="J3" t="s">
        <v>781</v>
      </c>
    </row>
    <row r="4" spans="1:11" x14ac:dyDescent="0.25">
      <c r="A4" t="s">
        <v>759</v>
      </c>
      <c r="B4" t="s">
        <v>760</v>
      </c>
      <c r="C4" t="s">
        <v>760</v>
      </c>
      <c r="E4" t="s">
        <v>763</v>
      </c>
      <c r="I4" s="2" t="s">
        <v>714</v>
      </c>
      <c r="J4" t="s">
        <v>782</v>
      </c>
    </row>
    <row r="5" spans="1:11" x14ac:dyDescent="0.25">
      <c r="A5" t="s">
        <v>761</v>
      </c>
      <c r="B5" t="s">
        <v>762</v>
      </c>
      <c r="C5" t="s">
        <v>763</v>
      </c>
      <c r="E5" t="s">
        <v>763</v>
      </c>
      <c r="I5" s="2" t="s">
        <v>714</v>
      </c>
      <c r="J5" t="s">
        <v>783</v>
      </c>
    </row>
    <row r="6" spans="1:11" x14ac:dyDescent="0.25">
      <c r="A6" t="s">
        <v>369</v>
      </c>
      <c r="B6" t="s">
        <v>764</v>
      </c>
      <c r="C6" t="s">
        <v>764</v>
      </c>
      <c r="E6" t="s">
        <v>764</v>
      </c>
      <c r="I6" s="2" t="s">
        <v>714</v>
      </c>
      <c r="J6" s="70" t="s">
        <v>784</v>
      </c>
    </row>
    <row r="7" spans="1:11" x14ac:dyDescent="0.25">
      <c r="I7" s="2" t="s">
        <v>714</v>
      </c>
      <c r="J7" t="s">
        <v>785</v>
      </c>
    </row>
    <row r="8" spans="1:11" x14ac:dyDescent="0.25">
      <c r="A8" s="1" t="s">
        <v>795</v>
      </c>
      <c r="B8" t="s">
        <v>765</v>
      </c>
      <c r="C8" t="s">
        <v>766</v>
      </c>
      <c r="E8" t="s">
        <v>794</v>
      </c>
      <c r="I8" s="2" t="s">
        <v>714</v>
      </c>
      <c r="J8" s="70" t="s">
        <v>786</v>
      </c>
    </row>
    <row r="9" spans="1:11" x14ac:dyDescent="0.25">
      <c r="B9" s="73" t="s">
        <v>878</v>
      </c>
      <c r="I9" t="s">
        <v>770</v>
      </c>
    </row>
    <row r="10" spans="1:11" x14ac:dyDescent="0.25">
      <c r="I10" t="s">
        <v>770</v>
      </c>
    </row>
    <row r="11" spans="1:11" x14ac:dyDescent="0.25">
      <c r="I11" t="s">
        <v>771</v>
      </c>
    </row>
    <row r="12" spans="1:11" x14ac:dyDescent="0.25">
      <c r="I12" t="s">
        <v>771</v>
      </c>
    </row>
    <row r="13" spans="1:11" x14ac:dyDescent="0.25">
      <c r="I13" t="s">
        <v>770</v>
      </c>
    </row>
    <row r="14" spans="1:11" x14ac:dyDescent="0.25">
      <c r="B14" t="s">
        <v>793</v>
      </c>
      <c r="I14" t="s">
        <v>770</v>
      </c>
    </row>
    <row r="15" spans="1:11" x14ac:dyDescent="0.25">
      <c r="B15" t="s">
        <v>791</v>
      </c>
      <c r="I15" s="72" t="s">
        <v>771</v>
      </c>
    </row>
    <row r="16" spans="1:11" x14ac:dyDescent="0.25">
      <c r="B16" t="s">
        <v>792</v>
      </c>
      <c r="I16" s="2" t="s">
        <v>771</v>
      </c>
    </row>
    <row r="17" spans="1:9" x14ac:dyDescent="0.25">
      <c r="I17" t="s">
        <v>770</v>
      </c>
    </row>
    <row r="18" spans="1:9" x14ac:dyDescent="0.25">
      <c r="I18" t="s">
        <v>770</v>
      </c>
    </row>
    <row r="19" spans="1:9" x14ac:dyDescent="0.25">
      <c r="I19" s="2" t="s">
        <v>714</v>
      </c>
    </row>
    <row r="20" spans="1:9" x14ac:dyDescent="0.25">
      <c r="I20" t="s">
        <v>772</v>
      </c>
    </row>
    <row r="21" spans="1:9" x14ac:dyDescent="0.25">
      <c r="I21" t="s">
        <v>768</v>
      </c>
    </row>
    <row r="22" spans="1:9" x14ac:dyDescent="0.25">
      <c r="A22" s="73" t="s">
        <v>877</v>
      </c>
      <c r="B22" s="73"/>
      <c r="C22" t="s">
        <v>881</v>
      </c>
      <c r="I22" t="s">
        <v>773</v>
      </c>
    </row>
    <row r="23" spans="1:9" x14ac:dyDescent="0.25">
      <c r="A23" s="73" t="s">
        <v>878</v>
      </c>
      <c r="B23" s="73" t="s">
        <v>879</v>
      </c>
      <c r="I23" t="s">
        <v>773</v>
      </c>
    </row>
    <row r="24" spans="1:9" x14ac:dyDescent="0.25">
      <c r="I24" t="s">
        <v>774</v>
      </c>
    </row>
    <row r="25" spans="1:9" x14ac:dyDescent="0.25">
      <c r="A25" t="s">
        <v>880</v>
      </c>
      <c r="I25" t="s">
        <v>770</v>
      </c>
    </row>
    <row r="26" spans="1:9" x14ac:dyDescent="0.25">
      <c r="I26" t="s">
        <v>775</v>
      </c>
    </row>
    <row r="27" spans="1:9" x14ac:dyDescent="0.25">
      <c r="I27" t="s">
        <v>775</v>
      </c>
    </row>
    <row r="28" spans="1:9" x14ac:dyDescent="0.25">
      <c r="I28" t="s">
        <v>771</v>
      </c>
    </row>
    <row r="29" spans="1:9" x14ac:dyDescent="0.25">
      <c r="I29" t="s">
        <v>771</v>
      </c>
    </row>
    <row r="30" spans="1:9" x14ac:dyDescent="0.25">
      <c r="I30" t="s">
        <v>776</v>
      </c>
    </row>
    <row r="31" spans="1:9" x14ac:dyDescent="0.25">
      <c r="I31" t="s">
        <v>776</v>
      </c>
    </row>
    <row r="32" spans="1:9" x14ac:dyDescent="0.25">
      <c r="I32" t="s">
        <v>776</v>
      </c>
    </row>
    <row r="33" spans="9:9" x14ac:dyDescent="0.25">
      <c r="I33" s="2" t="s">
        <v>714</v>
      </c>
    </row>
    <row r="34" spans="9:9" x14ac:dyDescent="0.25">
      <c r="I34" t="s">
        <v>777</v>
      </c>
    </row>
    <row r="35" spans="9:9" x14ac:dyDescent="0.25">
      <c r="I35" t="s">
        <v>777</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2:D28"/>
  <sheetViews>
    <sheetView workbookViewId="0">
      <selection activeCell="C32" sqref="C32"/>
    </sheetView>
  </sheetViews>
  <sheetFormatPr defaultRowHeight="15" x14ac:dyDescent="0.25"/>
  <cols>
    <col min="2" max="2" width="56.85546875" bestFit="1" customWidth="1"/>
    <col min="3" max="3" width="13.42578125" customWidth="1"/>
    <col min="4" max="4" width="164.7109375" customWidth="1"/>
  </cols>
  <sheetData>
    <row r="2" spans="2:4" s="25" customFormat="1" ht="45" x14ac:dyDescent="0.25">
      <c r="B2" s="75" t="s">
        <v>1027</v>
      </c>
      <c r="C2" s="75" t="s">
        <v>1030</v>
      </c>
      <c r="D2" s="75" t="s">
        <v>1037</v>
      </c>
    </row>
    <row r="3" spans="2:4" s="72" customFormat="1" ht="45" x14ac:dyDescent="0.25">
      <c r="B3" s="72" t="s">
        <v>1028</v>
      </c>
      <c r="C3" s="72" t="s">
        <v>716</v>
      </c>
      <c r="D3" s="72" t="s">
        <v>1041</v>
      </c>
    </row>
    <row r="4" spans="2:4" s="72" customFormat="1" ht="30" x14ac:dyDescent="0.25">
      <c r="B4" s="72" t="s">
        <v>1029</v>
      </c>
      <c r="C4" s="72" t="s">
        <v>716</v>
      </c>
      <c r="D4" s="72" t="s">
        <v>1042</v>
      </c>
    </row>
    <row r="5" spans="2:4" s="72" customFormat="1" ht="30" x14ac:dyDescent="0.25">
      <c r="B5" s="72" t="s">
        <v>1032</v>
      </c>
      <c r="C5" s="72" t="s">
        <v>716</v>
      </c>
      <c r="D5" s="72" t="s">
        <v>1044</v>
      </c>
    </row>
    <row r="6" spans="2:4" s="72" customFormat="1" x14ac:dyDescent="0.25">
      <c r="B6" s="72" t="s">
        <v>1033</v>
      </c>
      <c r="C6" s="94" t="s">
        <v>859</v>
      </c>
      <c r="D6" s="94" t="s">
        <v>1043</v>
      </c>
    </row>
    <row r="7" spans="2:4" s="72" customFormat="1" x14ac:dyDescent="0.25">
      <c r="B7" s="72" t="s">
        <v>1034</v>
      </c>
      <c r="C7" s="72" t="s">
        <v>859</v>
      </c>
    </row>
    <row r="8" spans="2:4" s="72" customFormat="1" x14ac:dyDescent="0.25">
      <c r="B8" s="72" t="s">
        <v>1035</v>
      </c>
      <c r="C8" s="72" t="s">
        <v>859</v>
      </c>
    </row>
    <row r="9" spans="2:4" s="72" customFormat="1" x14ac:dyDescent="0.25">
      <c r="B9" s="72" t="s">
        <v>1036</v>
      </c>
      <c r="C9" s="72" t="s">
        <v>716</v>
      </c>
      <c r="D9" s="72" t="s">
        <v>1045</v>
      </c>
    </row>
    <row r="10" spans="2:4" s="72" customFormat="1" x14ac:dyDescent="0.25">
      <c r="B10" s="72" t="s">
        <v>1039</v>
      </c>
      <c r="C10" s="72" t="s">
        <v>859</v>
      </c>
    </row>
    <row r="11" spans="2:4" s="72" customFormat="1" ht="30" x14ac:dyDescent="0.25">
      <c r="B11" s="72" t="s">
        <v>1040</v>
      </c>
      <c r="C11" s="72" t="s">
        <v>716</v>
      </c>
      <c r="D11" s="72" t="s">
        <v>1046</v>
      </c>
    </row>
    <row r="12" spans="2:4" s="72" customFormat="1" x14ac:dyDescent="0.25"/>
    <row r="13" spans="2:4" s="72" customFormat="1" x14ac:dyDescent="0.25"/>
    <row r="14" spans="2:4" s="72" customFormat="1" x14ac:dyDescent="0.25"/>
    <row r="15" spans="2:4" s="72" customFormat="1" x14ac:dyDescent="0.25">
      <c r="B15" s="93" t="s">
        <v>1038</v>
      </c>
    </row>
    <row r="16" spans="2:4" s="72" customFormat="1" x14ac:dyDescent="0.25"/>
    <row r="17" s="72" customFormat="1" x14ac:dyDescent="0.25"/>
    <row r="18" s="72" customFormat="1" x14ac:dyDescent="0.25"/>
    <row r="19" s="72" customFormat="1" x14ac:dyDescent="0.25"/>
    <row r="20" s="72" customFormat="1" x14ac:dyDescent="0.25"/>
    <row r="21" s="72" customFormat="1" x14ac:dyDescent="0.25"/>
    <row r="22" s="72" customFormat="1" x14ac:dyDescent="0.25"/>
    <row r="23" s="72" customFormat="1" x14ac:dyDescent="0.25"/>
    <row r="24" s="72" customFormat="1" x14ac:dyDescent="0.25"/>
    <row r="25" s="72" customFormat="1" x14ac:dyDescent="0.25"/>
    <row r="26" s="72" customFormat="1" x14ac:dyDescent="0.25"/>
    <row r="27" s="72" customFormat="1" x14ac:dyDescent="0.25"/>
    <row r="28" s="72" customFormat="1"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U128"/>
  <sheetViews>
    <sheetView workbookViewId="0">
      <selection activeCell="G16" sqref="G16"/>
    </sheetView>
  </sheetViews>
  <sheetFormatPr defaultRowHeight="15" x14ac:dyDescent="0.25"/>
  <cols>
    <col min="1" max="2" width="25.140625" customWidth="1"/>
    <col min="3" max="3" width="15.85546875" customWidth="1"/>
    <col min="4" max="4" width="13.140625" customWidth="1"/>
    <col min="5" max="5" width="24.28515625" customWidth="1"/>
    <col min="6" max="6" width="20.7109375" customWidth="1"/>
    <col min="7" max="7" width="19.42578125" customWidth="1"/>
    <col min="8" max="8" width="22" customWidth="1"/>
    <col min="9" max="9" width="11.140625" customWidth="1"/>
    <col min="10" max="10" width="17.28515625" customWidth="1"/>
    <col min="11" max="11" width="19.85546875" customWidth="1"/>
    <col min="12" max="12" width="17" customWidth="1"/>
    <col min="13" max="13" width="16.7109375" customWidth="1"/>
    <col min="14" max="14" width="19.140625" style="77" bestFit="1" customWidth="1"/>
    <col min="15" max="15" width="15.85546875" bestFit="1" customWidth="1"/>
    <col min="16" max="16" width="12.5703125" bestFit="1" customWidth="1"/>
    <col min="17" max="17" width="16.42578125" bestFit="1" customWidth="1"/>
    <col min="18" max="18" width="20.7109375" bestFit="1" customWidth="1"/>
    <col min="19" max="19" width="19.140625" bestFit="1" customWidth="1"/>
    <col min="20" max="20" width="12.85546875" bestFit="1" customWidth="1"/>
    <col min="21" max="21" width="14" bestFit="1" customWidth="1"/>
  </cols>
  <sheetData>
    <row r="1" spans="1:7" x14ac:dyDescent="0.25">
      <c r="A1" t="s">
        <v>1087</v>
      </c>
      <c r="B1" t="s">
        <v>1090</v>
      </c>
      <c r="C1" t="s">
        <v>1088</v>
      </c>
      <c r="D1" t="s">
        <v>1089</v>
      </c>
      <c r="F1" t="s">
        <v>1095</v>
      </c>
    </row>
    <row r="2" spans="1:7" x14ac:dyDescent="0.25">
      <c r="A2" t="s">
        <v>1092</v>
      </c>
      <c r="C2">
        <v>6</v>
      </c>
      <c r="D2">
        <v>3</v>
      </c>
      <c r="F2">
        <v>1</v>
      </c>
      <c r="G2" t="s">
        <v>1096</v>
      </c>
    </row>
    <row r="3" spans="1:7" x14ac:dyDescent="0.25">
      <c r="A3" t="s">
        <v>366</v>
      </c>
      <c r="B3">
        <v>1</v>
      </c>
      <c r="C3">
        <v>2</v>
      </c>
      <c r="D3">
        <v>1</v>
      </c>
      <c r="F3">
        <v>2</v>
      </c>
      <c r="G3" t="s">
        <v>1097</v>
      </c>
    </row>
    <row r="4" spans="1:7" x14ac:dyDescent="0.25">
      <c r="A4" t="s">
        <v>1052</v>
      </c>
      <c r="B4">
        <v>2</v>
      </c>
      <c r="C4">
        <v>4</v>
      </c>
      <c r="D4">
        <v>4</v>
      </c>
      <c r="F4">
        <v>3</v>
      </c>
      <c r="G4" t="s">
        <v>1098</v>
      </c>
    </row>
    <row r="5" spans="1:7" x14ac:dyDescent="0.25">
      <c r="A5" t="s">
        <v>368</v>
      </c>
      <c r="B5">
        <v>3</v>
      </c>
      <c r="C5">
        <v>1</v>
      </c>
      <c r="D5">
        <v>1</v>
      </c>
      <c r="F5">
        <v>4</v>
      </c>
      <c r="G5" t="s">
        <v>1011</v>
      </c>
    </row>
    <row r="6" spans="1:7" x14ac:dyDescent="0.25">
      <c r="A6" t="s">
        <v>369</v>
      </c>
      <c r="B6">
        <v>4</v>
      </c>
      <c r="C6">
        <v>2</v>
      </c>
      <c r="D6">
        <v>1</v>
      </c>
    </row>
    <row r="7" spans="1:7" x14ac:dyDescent="0.25">
      <c r="A7" t="s">
        <v>862</v>
      </c>
      <c r="B7">
        <v>5</v>
      </c>
      <c r="C7">
        <v>1</v>
      </c>
      <c r="D7">
        <v>1</v>
      </c>
    </row>
    <row r="8" spans="1:7" x14ac:dyDescent="0.25">
      <c r="A8" t="s">
        <v>487</v>
      </c>
      <c r="B8">
        <v>6</v>
      </c>
      <c r="C8">
        <v>1</v>
      </c>
      <c r="D8">
        <v>1</v>
      </c>
    </row>
    <row r="9" spans="1:7" x14ac:dyDescent="0.25">
      <c r="A9" t="s">
        <v>371</v>
      </c>
      <c r="B9">
        <v>7</v>
      </c>
      <c r="C9">
        <v>1</v>
      </c>
      <c r="D9">
        <v>1</v>
      </c>
    </row>
    <row r="10" spans="1:7" x14ac:dyDescent="0.25">
      <c r="A10" t="s">
        <v>372</v>
      </c>
      <c r="B10">
        <v>8</v>
      </c>
      <c r="C10">
        <v>2</v>
      </c>
      <c r="D10">
        <v>1</v>
      </c>
    </row>
    <row r="11" spans="1:7" x14ac:dyDescent="0.25">
      <c r="A11" t="s">
        <v>373</v>
      </c>
      <c r="B11">
        <v>9</v>
      </c>
      <c r="C11">
        <v>3</v>
      </c>
      <c r="D11">
        <v>2</v>
      </c>
    </row>
    <row r="12" spans="1:7" x14ac:dyDescent="0.25">
      <c r="A12" t="s">
        <v>374</v>
      </c>
      <c r="B12">
        <v>10</v>
      </c>
      <c r="C12">
        <v>2</v>
      </c>
      <c r="D12">
        <v>2</v>
      </c>
    </row>
    <row r="13" spans="1:7" x14ac:dyDescent="0.25">
      <c r="A13" t="s">
        <v>971</v>
      </c>
      <c r="B13">
        <v>11</v>
      </c>
      <c r="C13">
        <v>5</v>
      </c>
      <c r="D13">
        <v>3</v>
      </c>
    </row>
    <row r="14" spans="1:7" x14ac:dyDescent="0.25">
      <c r="A14" t="s">
        <v>517</v>
      </c>
      <c r="B14">
        <v>12</v>
      </c>
      <c r="C14">
        <v>4</v>
      </c>
      <c r="D14">
        <v>1</v>
      </c>
    </row>
    <row r="15" spans="1:7" x14ac:dyDescent="0.25">
      <c r="A15" t="s">
        <v>545</v>
      </c>
      <c r="B15">
        <v>13</v>
      </c>
      <c r="C15">
        <v>1</v>
      </c>
      <c r="D15">
        <v>1</v>
      </c>
    </row>
    <row r="16" spans="1:7" x14ac:dyDescent="0.25">
      <c r="A16" t="s">
        <v>808</v>
      </c>
      <c r="B16">
        <v>14</v>
      </c>
      <c r="C16">
        <v>2</v>
      </c>
      <c r="D16">
        <v>1</v>
      </c>
    </row>
    <row r="17" spans="1:21" x14ac:dyDescent="0.25">
      <c r="A17" t="s">
        <v>550</v>
      </c>
      <c r="B17">
        <v>15</v>
      </c>
      <c r="C17">
        <v>2</v>
      </c>
      <c r="D17">
        <v>1</v>
      </c>
    </row>
    <row r="18" spans="1:21" x14ac:dyDescent="0.25">
      <c r="A18" t="s">
        <v>981</v>
      </c>
      <c r="B18">
        <v>16</v>
      </c>
      <c r="C18">
        <v>2</v>
      </c>
      <c r="D18">
        <v>1</v>
      </c>
    </row>
    <row r="19" spans="1:21" x14ac:dyDescent="0.25">
      <c r="A19" t="s">
        <v>1053</v>
      </c>
      <c r="B19">
        <v>17</v>
      </c>
      <c r="C19">
        <v>2</v>
      </c>
      <c r="D19">
        <v>1</v>
      </c>
    </row>
    <row r="20" spans="1:21" x14ac:dyDescent="0.25">
      <c r="A20" t="s">
        <v>983</v>
      </c>
      <c r="B20">
        <v>18</v>
      </c>
      <c r="C20">
        <v>2</v>
      </c>
      <c r="D20">
        <v>1</v>
      </c>
    </row>
    <row r="22" spans="1:21" x14ac:dyDescent="0.25">
      <c r="C22" s="120" t="s">
        <v>1091</v>
      </c>
      <c r="D22" s="120" t="s">
        <v>1091</v>
      </c>
    </row>
    <row r="23" spans="1:21" x14ac:dyDescent="0.25">
      <c r="C23">
        <f>C3*C4*C5*C6*C7*C8*C9*C10*C11*C12*C13*C14*C15*C16*C17*C18*C19*C20*C2</f>
        <v>737280</v>
      </c>
      <c r="D23">
        <f>D3*D4*D5*D6*D7*D8*D9*D10*D11*D12*D13*D14*D15*D16*D17*D18*D19*D20*D2</f>
        <v>144</v>
      </c>
    </row>
    <row r="31" spans="1:21" x14ac:dyDescent="0.25">
      <c r="C31">
        <v>0</v>
      </c>
      <c r="D31">
        <v>1</v>
      </c>
      <c r="E31">
        <v>2</v>
      </c>
      <c r="F31">
        <v>3</v>
      </c>
      <c r="G31">
        <v>4</v>
      </c>
      <c r="H31">
        <v>5</v>
      </c>
      <c r="I31">
        <v>6</v>
      </c>
      <c r="J31">
        <v>7</v>
      </c>
      <c r="K31">
        <v>8</v>
      </c>
      <c r="L31">
        <v>9</v>
      </c>
      <c r="M31">
        <v>10</v>
      </c>
      <c r="N31" s="77">
        <v>11</v>
      </c>
      <c r="O31">
        <v>12</v>
      </c>
      <c r="P31">
        <v>13</v>
      </c>
      <c r="Q31">
        <v>14</v>
      </c>
      <c r="R31">
        <v>15</v>
      </c>
      <c r="S31">
        <v>16</v>
      </c>
      <c r="T31">
        <v>17</v>
      </c>
      <c r="U31">
        <v>18</v>
      </c>
    </row>
    <row r="32" spans="1:21" x14ac:dyDescent="0.25">
      <c r="A32" t="s">
        <v>1094</v>
      </c>
      <c r="B32" t="s">
        <v>956</v>
      </c>
      <c r="C32" t="s">
        <v>1093</v>
      </c>
      <c r="D32" t="s">
        <v>366</v>
      </c>
      <c r="E32" t="s">
        <v>1052</v>
      </c>
      <c r="F32" t="s">
        <v>368</v>
      </c>
      <c r="G32" t="s">
        <v>369</v>
      </c>
      <c r="H32" t="s">
        <v>862</v>
      </c>
      <c r="I32" t="s">
        <v>487</v>
      </c>
      <c r="J32" t="s">
        <v>371</v>
      </c>
      <c r="K32" t="s">
        <v>372</v>
      </c>
      <c r="L32" t="s">
        <v>373</v>
      </c>
      <c r="M32" t="s">
        <v>374</v>
      </c>
      <c r="N32" s="77" t="s">
        <v>971</v>
      </c>
      <c r="O32" t="s">
        <v>517</v>
      </c>
      <c r="P32" t="s">
        <v>545</v>
      </c>
      <c r="Q32" t="s">
        <v>808</v>
      </c>
      <c r="R32" t="s">
        <v>550</v>
      </c>
      <c r="S32" t="s">
        <v>981</v>
      </c>
      <c r="T32" t="s">
        <v>1053</v>
      </c>
      <c r="U32" t="s">
        <v>983</v>
      </c>
    </row>
    <row r="33" spans="1:21" x14ac:dyDescent="0.25">
      <c r="A33">
        <v>49</v>
      </c>
      <c r="C33">
        <v>1</v>
      </c>
      <c r="D33">
        <v>1</v>
      </c>
      <c r="E33">
        <v>1</v>
      </c>
      <c r="F33">
        <v>1</v>
      </c>
      <c r="G33">
        <v>1</v>
      </c>
      <c r="H33">
        <v>1</v>
      </c>
      <c r="I33">
        <v>1</v>
      </c>
      <c r="J33">
        <v>1</v>
      </c>
      <c r="K33">
        <v>1</v>
      </c>
      <c r="L33">
        <v>1</v>
      </c>
      <c r="M33">
        <v>1</v>
      </c>
      <c r="N33" s="77">
        <v>2</v>
      </c>
      <c r="O33">
        <v>1</v>
      </c>
      <c r="P33">
        <v>1</v>
      </c>
      <c r="Q33">
        <v>1</v>
      </c>
      <c r="R33">
        <v>1</v>
      </c>
      <c r="S33">
        <v>1</v>
      </c>
      <c r="T33">
        <v>1</v>
      </c>
      <c r="U33">
        <v>1</v>
      </c>
    </row>
    <row r="34" spans="1:21" x14ac:dyDescent="0.25">
      <c r="A34">
        <v>50</v>
      </c>
      <c r="C34">
        <v>2</v>
      </c>
      <c r="D34">
        <v>1</v>
      </c>
      <c r="E34">
        <v>1</v>
      </c>
      <c r="F34">
        <v>1</v>
      </c>
      <c r="G34">
        <v>1</v>
      </c>
      <c r="H34">
        <v>1</v>
      </c>
      <c r="I34">
        <v>1</v>
      </c>
      <c r="J34">
        <v>1</v>
      </c>
      <c r="K34">
        <v>1</v>
      </c>
      <c r="L34">
        <v>1</v>
      </c>
      <c r="M34">
        <v>1</v>
      </c>
      <c r="N34" s="77">
        <v>2</v>
      </c>
      <c r="O34">
        <v>1</v>
      </c>
      <c r="P34">
        <v>1</v>
      </c>
      <c r="Q34">
        <v>1</v>
      </c>
      <c r="R34">
        <v>1</v>
      </c>
      <c r="S34">
        <v>1</v>
      </c>
      <c r="T34">
        <v>1</v>
      </c>
      <c r="U34">
        <v>1</v>
      </c>
    </row>
    <row r="35" spans="1:21" x14ac:dyDescent="0.25">
      <c r="A35">
        <v>51</v>
      </c>
      <c r="C35">
        <v>3</v>
      </c>
      <c r="D35">
        <v>1</v>
      </c>
      <c r="E35">
        <v>1</v>
      </c>
      <c r="F35">
        <v>1</v>
      </c>
      <c r="G35">
        <v>1</v>
      </c>
      <c r="H35">
        <v>1</v>
      </c>
      <c r="I35">
        <v>1</v>
      </c>
      <c r="J35">
        <v>1</v>
      </c>
      <c r="K35">
        <v>1</v>
      </c>
      <c r="L35">
        <v>1</v>
      </c>
      <c r="M35">
        <v>1</v>
      </c>
      <c r="N35" s="77">
        <v>2</v>
      </c>
      <c r="O35">
        <v>1</v>
      </c>
      <c r="P35">
        <v>1</v>
      </c>
      <c r="Q35">
        <v>1</v>
      </c>
      <c r="R35">
        <v>1</v>
      </c>
      <c r="S35">
        <v>1</v>
      </c>
      <c r="T35">
        <v>1</v>
      </c>
      <c r="U35">
        <v>1</v>
      </c>
    </row>
    <row r="36" spans="1:21" x14ac:dyDescent="0.25">
      <c r="A36">
        <v>52</v>
      </c>
      <c r="C36">
        <v>1</v>
      </c>
      <c r="D36">
        <v>1</v>
      </c>
      <c r="E36">
        <v>2</v>
      </c>
      <c r="F36">
        <v>1</v>
      </c>
      <c r="G36">
        <v>1</v>
      </c>
      <c r="H36">
        <v>1</v>
      </c>
      <c r="I36">
        <v>1</v>
      </c>
      <c r="J36">
        <v>1</v>
      </c>
      <c r="K36">
        <v>1</v>
      </c>
      <c r="L36">
        <v>1</v>
      </c>
      <c r="M36">
        <v>1</v>
      </c>
      <c r="N36" s="77">
        <v>2</v>
      </c>
      <c r="O36">
        <v>1</v>
      </c>
      <c r="P36">
        <v>1</v>
      </c>
      <c r="Q36">
        <v>1</v>
      </c>
      <c r="R36">
        <v>1</v>
      </c>
      <c r="S36">
        <v>1</v>
      </c>
      <c r="T36">
        <v>1</v>
      </c>
      <c r="U36">
        <v>1</v>
      </c>
    </row>
    <row r="37" spans="1:21" x14ac:dyDescent="0.25">
      <c r="A37">
        <v>53</v>
      </c>
      <c r="C37">
        <v>2</v>
      </c>
      <c r="D37">
        <v>1</v>
      </c>
      <c r="E37">
        <v>2</v>
      </c>
      <c r="F37">
        <v>1</v>
      </c>
      <c r="G37">
        <v>1</v>
      </c>
      <c r="H37">
        <v>1</v>
      </c>
      <c r="I37">
        <v>1</v>
      </c>
      <c r="J37">
        <v>1</v>
      </c>
      <c r="K37">
        <v>1</v>
      </c>
      <c r="L37">
        <v>1</v>
      </c>
      <c r="M37">
        <v>1</v>
      </c>
      <c r="N37" s="77">
        <v>2</v>
      </c>
      <c r="O37">
        <v>1</v>
      </c>
      <c r="P37">
        <v>1</v>
      </c>
      <c r="Q37">
        <v>1</v>
      </c>
      <c r="R37">
        <v>1</v>
      </c>
      <c r="S37">
        <v>1</v>
      </c>
      <c r="T37">
        <v>1</v>
      </c>
      <c r="U37">
        <v>1</v>
      </c>
    </row>
    <row r="38" spans="1:21" x14ac:dyDescent="0.25">
      <c r="A38">
        <v>54</v>
      </c>
      <c r="C38">
        <v>3</v>
      </c>
      <c r="D38">
        <v>1</v>
      </c>
      <c r="E38">
        <v>2</v>
      </c>
      <c r="F38">
        <v>1</v>
      </c>
      <c r="G38">
        <v>1</v>
      </c>
      <c r="H38">
        <v>1</v>
      </c>
      <c r="I38">
        <v>1</v>
      </c>
      <c r="J38">
        <v>1</v>
      </c>
      <c r="K38">
        <v>1</v>
      </c>
      <c r="L38">
        <v>1</v>
      </c>
      <c r="M38">
        <v>1</v>
      </c>
      <c r="N38" s="77">
        <v>2</v>
      </c>
      <c r="O38">
        <v>1</v>
      </c>
      <c r="P38">
        <v>1</v>
      </c>
      <c r="Q38">
        <v>1</v>
      </c>
      <c r="R38">
        <v>1</v>
      </c>
      <c r="S38">
        <v>1</v>
      </c>
      <c r="T38">
        <v>1</v>
      </c>
      <c r="U38">
        <v>1</v>
      </c>
    </row>
    <row r="39" spans="1:21" x14ac:dyDescent="0.25">
      <c r="A39">
        <v>55</v>
      </c>
      <c r="C39">
        <v>1</v>
      </c>
      <c r="D39">
        <v>1</v>
      </c>
      <c r="E39">
        <v>3</v>
      </c>
      <c r="F39">
        <v>1</v>
      </c>
      <c r="G39">
        <v>1</v>
      </c>
      <c r="H39">
        <v>1</v>
      </c>
      <c r="I39">
        <v>1</v>
      </c>
      <c r="J39">
        <v>1</v>
      </c>
      <c r="K39">
        <v>1</v>
      </c>
      <c r="L39">
        <v>1</v>
      </c>
      <c r="M39">
        <v>1</v>
      </c>
      <c r="N39" s="77">
        <v>2</v>
      </c>
      <c r="O39">
        <v>1</v>
      </c>
      <c r="P39">
        <v>1</v>
      </c>
      <c r="Q39">
        <v>1</v>
      </c>
      <c r="R39">
        <v>1</v>
      </c>
      <c r="S39">
        <v>1</v>
      </c>
      <c r="T39">
        <v>1</v>
      </c>
      <c r="U39">
        <v>1</v>
      </c>
    </row>
    <row r="40" spans="1:21" x14ac:dyDescent="0.25">
      <c r="A40">
        <v>56</v>
      </c>
      <c r="C40">
        <v>2</v>
      </c>
      <c r="D40">
        <v>1</v>
      </c>
      <c r="E40">
        <v>3</v>
      </c>
      <c r="F40">
        <v>1</v>
      </c>
      <c r="G40">
        <v>1</v>
      </c>
      <c r="H40">
        <v>1</v>
      </c>
      <c r="I40">
        <v>1</v>
      </c>
      <c r="J40">
        <v>1</v>
      </c>
      <c r="K40">
        <v>1</v>
      </c>
      <c r="L40">
        <v>1</v>
      </c>
      <c r="M40">
        <v>1</v>
      </c>
      <c r="N40" s="77">
        <v>2</v>
      </c>
      <c r="O40">
        <v>1</v>
      </c>
      <c r="P40">
        <v>1</v>
      </c>
      <c r="Q40">
        <v>1</v>
      </c>
      <c r="R40">
        <v>1</v>
      </c>
      <c r="S40">
        <v>1</v>
      </c>
      <c r="T40">
        <v>1</v>
      </c>
      <c r="U40">
        <v>1</v>
      </c>
    </row>
    <row r="41" spans="1:21" x14ac:dyDescent="0.25">
      <c r="A41">
        <v>57</v>
      </c>
      <c r="C41">
        <v>3</v>
      </c>
      <c r="D41">
        <v>1</v>
      </c>
      <c r="E41">
        <v>3</v>
      </c>
      <c r="F41">
        <v>1</v>
      </c>
      <c r="G41">
        <v>1</v>
      </c>
      <c r="H41">
        <v>1</v>
      </c>
      <c r="I41">
        <v>1</v>
      </c>
      <c r="J41">
        <v>1</v>
      </c>
      <c r="K41">
        <v>1</v>
      </c>
      <c r="L41">
        <v>1</v>
      </c>
      <c r="M41">
        <v>1</v>
      </c>
      <c r="N41" s="77">
        <v>2</v>
      </c>
      <c r="O41">
        <v>1</v>
      </c>
      <c r="P41">
        <v>1</v>
      </c>
      <c r="Q41">
        <v>1</v>
      </c>
      <c r="R41">
        <v>1</v>
      </c>
      <c r="S41">
        <v>1</v>
      </c>
      <c r="T41">
        <v>1</v>
      </c>
      <c r="U41">
        <v>1</v>
      </c>
    </row>
    <row r="42" spans="1:21" x14ac:dyDescent="0.25">
      <c r="A42">
        <v>58</v>
      </c>
      <c r="C42">
        <v>1</v>
      </c>
      <c r="D42">
        <v>1</v>
      </c>
      <c r="E42">
        <v>4</v>
      </c>
      <c r="F42">
        <v>1</v>
      </c>
      <c r="G42">
        <v>1</v>
      </c>
      <c r="H42">
        <v>1</v>
      </c>
      <c r="I42">
        <v>1</v>
      </c>
      <c r="J42">
        <v>1</v>
      </c>
      <c r="K42">
        <v>1</v>
      </c>
      <c r="L42">
        <v>1</v>
      </c>
      <c r="M42">
        <v>1</v>
      </c>
      <c r="N42" s="77">
        <v>2</v>
      </c>
      <c r="O42">
        <v>1</v>
      </c>
      <c r="P42">
        <v>1</v>
      </c>
      <c r="Q42">
        <v>1</v>
      </c>
      <c r="R42">
        <v>1</v>
      </c>
      <c r="S42">
        <v>1</v>
      </c>
      <c r="T42">
        <v>1</v>
      </c>
      <c r="U42">
        <v>1</v>
      </c>
    </row>
    <row r="43" spans="1:21" x14ac:dyDescent="0.25">
      <c r="A43">
        <v>59</v>
      </c>
      <c r="C43">
        <v>2</v>
      </c>
      <c r="D43">
        <v>1</v>
      </c>
      <c r="E43">
        <v>4</v>
      </c>
      <c r="F43">
        <v>1</v>
      </c>
      <c r="G43">
        <v>1</v>
      </c>
      <c r="H43">
        <v>1</v>
      </c>
      <c r="I43">
        <v>1</v>
      </c>
      <c r="J43">
        <v>1</v>
      </c>
      <c r="K43">
        <v>1</v>
      </c>
      <c r="L43">
        <v>1</v>
      </c>
      <c r="M43">
        <v>1</v>
      </c>
      <c r="N43" s="77">
        <v>2</v>
      </c>
      <c r="O43">
        <v>1</v>
      </c>
      <c r="P43">
        <v>1</v>
      </c>
      <c r="Q43">
        <v>1</v>
      </c>
      <c r="R43">
        <v>1</v>
      </c>
      <c r="S43">
        <v>1</v>
      </c>
      <c r="T43">
        <v>1</v>
      </c>
      <c r="U43">
        <v>1</v>
      </c>
    </row>
    <row r="44" spans="1:21" x14ac:dyDescent="0.25">
      <c r="A44">
        <v>60</v>
      </c>
      <c r="C44">
        <v>3</v>
      </c>
      <c r="D44">
        <v>1</v>
      </c>
      <c r="E44">
        <v>4</v>
      </c>
      <c r="F44">
        <v>1</v>
      </c>
      <c r="G44">
        <v>1</v>
      </c>
      <c r="H44">
        <v>1</v>
      </c>
      <c r="I44">
        <v>1</v>
      </c>
      <c r="J44">
        <v>1</v>
      </c>
      <c r="K44">
        <v>1</v>
      </c>
      <c r="L44">
        <v>1</v>
      </c>
      <c r="M44">
        <v>1</v>
      </c>
      <c r="N44" s="77">
        <v>2</v>
      </c>
      <c r="O44">
        <v>1</v>
      </c>
      <c r="P44">
        <v>1</v>
      </c>
      <c r="Q44">
        <v>1</v>
      </c>
      <c r="R44">
        <v>1</v>
      </c>
      <c r="S44">
        <v>1</v>
      </c>
      <c r="T44">
        <v>1</v>
      </c>
      <c r="U44">
        <v>1</v>
      </c>
    </row>
    <row r="45" spans="1:21" x14ac:dyDescent="0.25">
      <c r="A45">
        <v>61</v>
      </c>
      <c r="C45">
        <v>1</v>
      </c>
      <c r="D45">
        <v>1</v>
      </c>
      <c r="E45">
        <v>1</v>
      </c>
      <c r="F45">
        <v>1</v>
      </c>
      <c r="G45">
        <v>1</v>
      </c>
      <c r="H45">
        <v>1</v>
      </c>
      <c r="I45">
        <v>1</v>
      </c>
      <c r="J45">
        <v>1</v>
      </c>
      <c r="K45">
        <v>1</v>
      </c>
      <c r="L45">
        <v>2</v>
      </c>
      <c r="M45">
        <v>1</v>
      </c>
      <c r="N45" s="77">
        <v>2</v>
      </c>
      <c r="O45">
        <v>1</v>
      </c>
      <c r="P45">
        <v>1</v>
      </c>
      <c r="Q45">
        <v>1</v>
      </c>
      <c r="R45">
        <v>1</v>
      </c>
      <c r="S45">
        <v>1</v>
      </c>
      <c r="T45">
        <v>1</v>
      </c>
      <c r="U45">
        <v>1</v>
      </c>
    </row>
    <row r="46" spans="1:21" x14ac:dyDescent="0.25">
      <c r="A46">
        <v>62</v>
      </c>
      <c r="C46">
        <v>2</v>
      </c>
      <c r="D46">
        <v>1</v>
      </c>
      <c r="E46">
        <v>1</v>
      </c>
      <c r="F46">
        <v>1</v>
      </c>
      <c r="G46">
        <v>1</v>
      </c>
      <c r="H46">
        <v>1</v>
      </c>
      <c r="I46">
        <v>1</v>
      </c>
      <c r="J46">
        <v>1</v>
      </c>
      <c r="K46">
        <v>1</v>
      </c>
      <c r="L46">
        <v>2</v>
      </c>
      <c r="M46">
        <v>1</v>
      </c>
      <c r="N46" s="77">
        <v>2</v>
      </c>
      <c r="O46">
        <v>1</v>
      </c>
      <c r="P46">
        <v>1</v>
      </c>
      <c r="Q46">
        <v>1</v>
      </c>
      <c r="R46">
        <v>1</v>
      </c>
      <c r="S46">
        <v>1</v>
      </c>
      <c r="T46">
        <v>1</v>
      </c>
      <c r="U46">
        <v>1</v>
      </c>
    </row>
    <row r="47" spans="1:21" x14ac:dyDescent="0.25">
      <c r="A47">
        <v>63</v>
      </c>
      <c r="C47">
        <v>3</v>
      </c>
      <c r="D47">
        <v>1</v>
      </c>
      <c r="E47">
        <v>1</v>
      </c>
      <c r="F47">
        <v>1</v>
      </c>
      <c r="G47">
        <v>1</v>
      </c>
      <c r="H47">
        <v>1</v>
      </c>
      <c r="I47">
        <v>1</v>
      </c>
      <c r="J47">
        <v>1</v>
      </c>
      <c r="K47">
        <v>1</v>
      </c>
      <c r="L47">
        <v>2</v>
      </c>
      <c r="M47">
        <v>1</v>
      </c>
      <c r="N47" s="77">
        <v>2</v>
      </c>
      <c r="O47">
        <v>1</v>
      </c>
      <c r="P47">
        <v>1</v>
      </c>
      <c r="Q47">
        <v>1</v>
      </c>
      <c r="R47">
        <v>1</v>
      </c>
      <c r="S47">
        <v>1</v>
      </c>
      <c r="T47">
        <v>1</v>
      </c>
      <c r="U47">
        <v>1</v>
      </c>
    </row>
    <row r="48" spans="1:21" x14ac:dyDescent="0.25">
      <c r="A48">
        <v>64</v>
      </c>
      <c r="C48">
        <v>1</v>
      </c>
      <c r="D48">
        <v>1</v>
      </c>
      <c r="E48">
        <v>2</v>
      </c>
      <c r="F48">
        <v>1</v>
      </c>
      <c r="G48">
        <v>1</v>
      </c>
      <c r="H48">
        <v>1</v>
      </c>
      <c r="I48">
        <v>1</v>
      </c>
      <c r="J48">
        <v>1</v>
      </c>
      <c r="K48">
        <v>1</v>
      </c>
      <c r="L48">
        <v>2</v>
      </c>
      <c r="M48">
        <v>1</v>
      </c>
      <c r="N48" s="77">
        <v>2</v>
      </c>
      <c r="O48">
        <v>1</v>
      </c>
      <c r="P48">
        <v>1</v>
      </c>
      <c r="Q48">
        <v>1</v>
      </c>
      <c r="R48">
        <v>1</v>
      </c>
      <c r="S48">
        <v>1</v>
      </c>
      <c r="T48">
        <v>1</v>
      </c>
      <c r="U48">
        <v>1</v>
      </c>
    </row>
    <row r="49" spans="1:21" x14ac:dyDescent="0.25">
      <c r="A49">
        <v>65</v>
      </c>
      <c r="C49">
        <v>2</v>
      </c>
      <c r="D49">
        <v>1</v>
      </c>
      <c r="E49">
        <v>2</v>
      </c>
      <c r="F49">
        <v>1</v>
      </c>
      <c r="G49">
        <v>1</v>
      </c>
      <c r="H49">
        <v>1</v>
      </c>
      <c r="I49">
        <v>1</v>
      </c>
      <c r="J49">
        <v>1</v>
      </c>
      <c r="K49">
        <v>1</v>
      </c>
      <c r="L49">
        <v>2</v>
      </c>
      <c r="M49">
        <v>1</v>
      </c>
      <c r="N49" s="77">
        <v>2</v>
      </c>
      <c r="O49">
        <v>1</v>
      </c>
      <c r="P49">
        <v>1</v>
      </c>
      <c r="Q49">
        <v>1</v>
      </c>
      <c r="R49">
        <v>1</v>
      </c>
      <c r="S49">
        <v>1</v>
      </c>
      <c r="T49">
        <v>1</v>
      </c>
      <c r="U49">
        <v>1</v>
      </c>
    </row>
    <row r="50" spans="1:21" x14ac:dyDescent="0.25">
      <c r="A50">
        <v>66</v>
      </c>
      <c r="C50">
        <v>3</v>
      </c>
      <c r="D50">
        <v>1</v>
      </c>
      <c r="E50">
        <v>2</v>
      </c>
      <c r="F50">
        <v>1</v>
      </c>
      <c r="G50">
        <v>1</v>
      </c>
      <c r="H50">
        <v>1</v>
      </c>
      <c r="I50">
        <v>1</v>
      </c>
      <c r="J50">
        <v>1</v>
      </c>
      <c r="K50">
        <v>1</v>
      </c>
      <c r="L50">
        <v>2</v>
      </c>
      <c r="M50">
        <v>1</v>
      </c>
      <c r="N50" s="77">
        <v>2</v>
      </c>
      <c r="O50">
        <v>1</v>
      </c>
      <c r="P50">
        <v>1</v>
      </c>
      <c r="Q50">
        <v>1</v>
      </c>
      <c r="R50">
        <v>1</v>
      </c>
      <c r="S50">
        <v>1</v>
      </c>
      <c r="T50">
        <v>1</v>
      </c>
      <c r="U50">
        <v>1</v>
      </c>
    </row>
    <row r="51" spans="1:21" x14ac:dyDescent="0.25">
      <c r="A51">
        <v>67</v>
      </c>
      <c r="C51">
        <v>1</v>
      </c>
      <c r="D51">
        <v>1</v>
      </c>
      <c r="E51">
        <v>3</v>
      </c>
      <c r="F51">
        <v>1</v>
      </c>
      <c r="G51">
        <v>1</v>
      </c>
      <c r="H51">
        <v>1</v>
      </c>
      <c r="I51">
        <v>1</v>
      </c>
      <c r="J51">
        <v>1</v>
      </c>
      <c r="K51">
        <v>1</v>
      </c>
      <c r="L51">
        <v>2</v>
      </c>
      <c r="M51">
        <v>1</v>
      </c>
      <c r="N51" s="77">
        <v>2</v>
      </c>
      <c r="O51">
        <v>1</v>
      </c>
      <c r="P51">
        <v>1</v>
      </c>
      <c r="Q51">
        <v>1</v>
      </c>
      <c r="R51">
        <v>1</v>
      </c>
      <c r="S51">
        <v>1</v>
      </c>
      <c r="T51">
        <v>1</v>
      </c>
      <c r="U51">
        <v>1</v>
      </c>
    </row>
    <row r="52" spans="1:21" x14ac:dyDescent="0.25">
      <c r="A52">
        <v>68</v>
      </c>
      <c r="C52">
        <v>2</v>
      </c>
      <c r="D52">
        <v>1</v>
      </c>
      <c r="E52">
        <v>3</v>
      </c>
      <c r="F52">
        <v>1</v>
      </c>
      <c r="G52">
        <v>1</v>
      </c>
      <c r="H52">
        <v>1</v>
      </c>
      <c r="I52">
        <v>1</v>
      </c>
      <c r="J52">
        <v>1</v>
      </c>
      <c r="K52">
        <v>1</v>
      </c>
      <c r="L52">
        <v>2</v>
      </c>
      <c r="M52">
        <v>1</v>
      </c>
      <c r="N52" s="77">
        <v>2</v>
      </c>
      <c r="O52">
        <v>1</v>
      </c>
      <c r="P52">
        <v>1</v>
      </c>
      <c r="Q52">
        <v>1</v>
      </c>
      <c r="R52">
        <v>1</v>
      </c>
      <c r="S52">
        <v>1</v>
      </c>
      <c r="T52">
        <v>1</v>
      </c>
      <c r="U52">
        <v>1</v>
      </c>
    </row>
    <row r="53" spans="1:21" x14ac:dyDescent="0.25">
      <c r="A53">
        <v>69</v>
      </c>
      <c r="C53">
        <v>3</v>
      </c>
      <c r="D53">
        <v>1</v>
      </c>
      <c r="E53">
        <v>3</v>
      </c>
      <c r="F53">
        <v>1</v>
      </c>
      <c r="G53">
        <v>1</v>
      </c>
      <c r="H53">
        <v>1</v>
      </c>
      <c r="I53">
        <v>1</v>
      </c>
      <c r="J53">
        <v>1</v>
      </c>
      <c r="K53">
        <v>1</v>
      </c>
      <c r="L53">
        <v>2</v>
      </c>
      <c r="M53">
        <v>1</v>
      </c>
      <c r="N53" s="77">
        <v>2</v>
      </c>
      <c r="O53">
        <v>1</v>
      </c>
      <c r="P53">
        <v>1</v>
      </c>
      <c r="Q53">
        <v>1</v>
      </c>
      <c r="R53">
        <v>1</v>
      </c>
      <c r="S53">
        <v>1</v>
      </c>
      <c r="T53">
        <v>1</v>
      </c>
      <c r="U53">
        <v>1</v>
      </c>
    </row>
    <row r="54" spans="1:21" x14ac:dyDescent="0.25">
      <c r="A54">
        <v>70</v>
      </c>
      <c r="C54">
        <v>1</v>
      </c>
      <c r="D54">
        <v>1</v>
      </c>
      <c r="E54">
        <v>4</v>
      </c>
      <c r="F54">
        <v>1</v>
      </c>
      <c r="G54">
        <v>1</v>
      </c>
      <c r="H54">
        <v>1</v>
      </c>
      <c r="I54">
        <v>1</v>
      </c>
      <c r="J54">
        <v>1</v>
      </c>
      <c r="K54">
        <v>1</v>
      </c>
      <c r="L54">
        <v>2</v>
      </c>
      <c r="M54">
        <v>1</v>
      </c>
      <c r="N54" s="77">
        <v>2</v>
      </c>
      <c r="O54">
        <v>1</v>
      </c>
      <c r="P54">
        <v>1</v>
      </c>
      <c r="Q54">
        <v>1</v>
      </c>
      <c r="R54">
        <v>1</v>
      </c>
      <c r="S54">
        <v>1</v>
      </c>
      <c r="T54">
        <v>1</v>
      </c>
      <c r="U54">
        <v>1</v>
      </c>
    </row>
    <row r="55" spans="1:21" x14ac:dyDescent="0.25">
      <c r="A55">
        <v>71</v>
      </c>
      <c r="C55">
        <v>2</v>
      </c>
      <c r="D55">
        <v>1</v>
      </c>
      <c r="E55">
        <v>4</v>
      </c>
      <c r="F55">
        <v>1</v>
      </c>
      <c r="G55">
        <v>1</v>
      </c>
      <c r="H55">
        <v>1</v>
      </c>
      <c r="I55">
        <v>1</v>
      </c>
      <c r="J55">
        <v>1</v>
      </c>
      <c r="K55">
        <v>1</v>
      </c>
      <c r="L55">
        <v>2</v>
      </c>
      <c r="M55">
        <v>1</v>
      </c>
      <c r="N55" s="77">
        <v>2</v>
      </c>
      <c r="O55">
        <v>1</v>
      </c>
      <c r="P55">
        <v>1</v>
      </c>
      <c r="Q55">
        <v>1</v>
      </c>
      <c r="R55">
        <v>1</v>
      </c>
      <c r="S55">
        <v>1</v>
      </c>
      <c r="T55">
        <v>1</v>
      </c>
      <c r="U55">
        <v>1</v>
      </c>
    </row>
    <row r="56" spans="1:21" x14ac:dyDescent="0.25">
      <c r="A56">
        <v>72</v>
      </c>
      <c r="C56">
        <v>3</v>
      </c>
      <c r="D56">
        <v>1</v>
      </c>
      <c r="E56">
        <v>4</v>
      </c>
      <c r="F56">
        <v>1</v>
      </c>
      <c r="G56">
        <v>1</v>
      </c>
      <c r="H56">
        <v>1</v>
      </c>
      <c r="I56">
        <v>1</v>
      </c>
      <c r="J56">
        <v>1</v>
      </c>
      <c r="K56">
        <v>1</v>
      </c>
      <c r="L56">
        <v>2</v>
      </c>
      <c r="M56">
        <v>1</v>
      </c>
      <c r="N56" s="77">
        <v>2</v>
      </c>
      <c r="O56">
        <v>1</v>
      </c>
      <c r="P56">
        <v>1</v>
      </c>
      <c r="Q56">
        <v>1</v>
      </c>
      <c r="R56">
        <v>1</v>
      </c>
      <c r="S56">
        <v>1</v>
      </c>
      <c r="T56">
        <v>1</v>
      </c>
      <c r="U56">
        <v>1</v>
      </c>
    </row>
    <row r="57" spans="1:21" x14ac:dyDescent="0.25">
      <c r="A57">
        <v>73</v>
      </c>
      <c r="C57">
        <v>1</v>
      </c>
      <c r="D57">
        <v>1</v>
      </c>
      <c r="E57">
        <v>1</v>
      </c>
      <c r="F57">
        <v>1</v>
      </c>
      <c r="G57">
        <v>1</v>
      </c>
      <c r="H57">
        <v>1</v>
      </c>
      <c r="I57">
        <v>1</v>
      </c>
      <c r="J57">
        <v>1</v>
      </c>
      <c r="K57">
        <v>1</v>
      </c>
      <c r="L57">
        <v>1</v>
      </c>
      <c r="M57">
        <v>2</v>
      </c>
      <c r="N57" s="77">
        <v>2</v>
      </c>
      <c r="O57">
        <v>1</v>
      </c>
      <c r="P57">
        <v>1</v>
      </c>
      <c r="Q57">
        <v>1</v>
      </c>
      <c r="R57">
        <v>1</v>
      </c>
      <c r="S57">
        <v>1</v>
      </c>
      <c r="T57">
        <v>1</v>
      </c>
      <c r="U57">
        <v>1</v>
      </c>
    </row>
    <row r="58" spans="1:21" x14ac:dyDescent="0.25">
      <c r="A58">
        <v>74</v>
      </c>
      <c r="C58">
        <v>2</v>
      </c>
      <c r="D58">
        <v>1</v>
      </c>
      <c r="E58">
        <v>1</v>
      </c>
      <c r="F58">
        <v>1</v>
      </c>
      <c r="G58">
        <v>1</v>
      </c>
      <c r="H58">
        <v>1</v>
      </c>
      <c r="I58">
        <v>1</v>
      </c>
      <c r="J58">
        <v>1</v>
      </c>
      <c r="K58">
        <v>1</v>
      </c>
      <c r="L58">
        <v>1</v>
      </c>
      <c r="M58">
        <v>2</v>
      </c>
      <c r="N58" s="77">
        <v>2</v>
      </c>
      <c r="O58">
        <v>1</v>
      </c>
      <c r="P58">
        <v>1</v>
      </c>
      <c r="Q58">
        <v>1</v>
      </c>
      <c r="R58">
        <v>1</v>
      </c>
      <c r="S58">
        <v>1</v>
      </c>
      <c r="T58">
        <v>1</v>
      </c>
      <c r="U58">
        <v>1</v>
      </c>
    </row>
    <row r="59" spans="1:21" x14ac:dyDescent="0.25">
      <c r="A59">
        <v>75</v>
      </c>
      <c r="C59">
        <v>3</v>
      </c>
      <c r="D59">
        <v>1</v>
      </c>
      <c r="E59">
        <v>1</v>
      </c>
      <c r="F59">
        <v>1</v>
      </c>
      <c r="G59">
        <v>1</v>
      </c>
      <c r="H59">
        <v>1</v>
      </c>
      <c r="I59">
        <v>1</v>
      </c>
      <c r="J59">
        <v>1</v>
      </c>
      <c r="K59">
        <v>1</v>
      </c>
      <c r="L59">
        <v>1</v>
      </c>
      <c r="M59">
        <v>2</v>
      </c>
      <c r="N59" s="77">
        <v>2</v>
      </c>
      <c r="O59">
        <v>1</v>
      </c>
      <c r="P59">
        <v>1</v>
      </c>
      <c r="Q59">
        <v>1</v>
      </c>
      <c r="R59">
        <v>1</v>
      </c>
      <c r="S59">
        <v>1</v>
      </c>
      <c r="T59">
        <v>1</v>
      </c>
      <c r="U59">
        <v>1</v>
      </c>
    </row>
    <row r="60" spans="1:21" x14ac:dyDescent="0.25">
      <c r="A60">
        <v>76</v>
      </c>
      <c r="C60">
        <v>1</v>
      </c>
      <c r="D60">
        <v>1</v>
      </c>
      <c r="E60">
        <v>2</v>
      </c>
      <c r="F60">
        <v>1</v>
      </c>
      <c r="G60">
        <v>1</v>
      </c>
      <c r="H60">
        <v>1</v>
      </c>
      <c r="I60">
        <v>1</v>
      </c>
      <c r="J60">
        <v>1</v>
      </c>
      <c r="K60">
        <v>1</v>
      </c>
      <c r="L60">
        <v>1</v>
      </c>
      <c r="M60">
        <v>2</v>
      </c>
      <c r="N60" s="77">
        <v>2</v>
      </c>
      <c r="O60">
        <v>1</v>
      </c>
      <c r="P60">
        <v>1</v>
      </c>
      <c r="Q60">
        <v>1</v>
      </c>
      <c r="R60">
        <v>1</v>
      </c>
      <c r="S60">
        <v>1</v>
      </c>
      <c r="T60">
        <v>1</v>
      </c>
      <c r="U60">
        <v>1</v>
      </c>
    </row>
    <row r="61" spans="1:21" x14ac:dyDescent="0.25">
      <c r="A61">
        <v>77</v>
      </c>
      <c r="C61">
        <v>2</v>
      </c>
      <c r="D61">
        <v>1</v>
      </c>
      <c r="E61">
        <v>2</v>
      </c>
      <c r="F61">
        <v>1</v>
      </c>
      <c r="G61">
        <v>1</v>
      </c>
      <c r="H61">
        <v>1</v>
      </c>
      <c r="I61">
        <v>1</v>
      </c>
      <c r="J61">
        <v>1</v>
      </c>
      <c r="K61">
        <v>1</v>
      </c>
      <c r="L61">
        <v>1</v>
      </c>
      <c r="M61">
        <v>2</v>
      </c>
      <c r="N61" s="77">
        <v>2</v>
      </c>
      <c r="O61">
        <v>1</v>
      </c>
      <c r="P61">
        <v>1</v>
      </c>
      <c r="Q61">
        <v>1</v>
      </c>
      <c r="R61">
        <v>1</v>
      </c>
      <c r="S61">
        <v>1</v>
      </c>
      <c r="T61">
        <v>1</v>
      </c>
      <c r="U61">
        <v>1</v>
      </c>
    </row>
    <row r="62" spans="1:21" x14ac:dyDescent="0.25">
      <c r="A62">
        <v>78</v>
      </c>
      <c r="C62">
        <v>3</v>
      </c>
      <c r="D62">
        <v>1</v>
      </c>
      <c r="E62">
        <v>2</v>
      </c>
      <c r="F62">
        <v>1</v>
      </c>
      <c r="G62">
        <v>1</v>
      </c>
      <c r="H62">
        <v>1</v>
      </c>
      <c r="I62">
        <v>1</v>
      </c>
      <c r="J62">
        <v>1</v>
      </c>
      <c r="K62">
        <v>1</v>
      </c>
      <c r="L62">
        <v>1</v>
      </c>
      <c r="M62">
        <v>2</v>
      </c>
      <c r="N62" s="77">
        <v>2</v>
      </c>
      <c r="O62">
        <v>1</v>
      </c>
      <c r="P62">
        <v>1</v>
      </c>
      <c r="Q62">
        <v>1</v>
      </c>
      <c r="R62">
        <v>1</v>
      </c>
      <c r="S62">
        <v>1</v>
      </c>
      <c r="T62">
        <v>1</v>
      </c>
      <c r="U62">
        <v>1</v>
      </c>
    </row>
    <row r="63" spans="1:21" x14ac:dyDescent="0.25">
      <c r="A63">
        <v>79</v>
      </c>
      <c r="C63">
        <v>1</v>
      </c>
      <c r="D63">
        <v>1</v>
      </c>
      <c r="E63">
        <v>3</v>
      </c>
      <c r="F63">
        <v>1</v>
      </c>
      <c r="G63">
        <v>1</v>
      </c>
      <c r="H63">
        <v>1</v>
      </c>
      <c r="I63">
        <v>1</v>
      </c>
      <c r="J63">
        <v>1</v>
      </c>
      <c r="K63">
        <v>1</v>
      </c>
      <c r="L63">
        <v>1</v>
      </c>
      <c r="M63">
        <v>2</v>
      </c>
      <c r="N63" s="77">
        <v>2</v>
      </c>
      <c r="O63">
        <v>1</v>
      </c>
      <c r="P63">
        <v>1</v>
      </c>
      <c r="Q63">
        <v>1</v>
      </c>
      <c r="R63">
        <v>1</v>
      </c>
      <c r="S63">
        <v>1</v>
      </c>
      <c r="T63">
        <v>1</v>
      </c>
      <c r="U63">
        <v>1</v>
      </c>
    </row>
    <row r="64" spans="1:21" x14ac:dyDescent="0.25">
      <c r="A64">
        <v>80</v>
      </c>
      <c r="C64">
        <v>2</v>
      </c>
      <c r="D64">
        <v>1</v>
      </c>
      <c r="E64">
        <v>3</v>
      </c>
      <c r="F64">
        <v>1</v>
      </c>
      <c r="G64">
        <v>1</v>
      </c>
      <c r="H64">
        <v>1</v>
      </c>
      <c r="I64">
        <v>1</v>
      </c>
      <c r="J64">
        <v>1</v>
      </c>
      <c r="K64">
        <v>1</v>
      </c>
      <c r="L64">
        <v>1</v>
      </c>
      <c r="M64">
        <v>2</v>
      </c>
      <c r="N64" s="77">
        <v>2</v>
      </c>
      <c r="O64">
        <v>1</v>
      </c>
      <c r="P64">
        <v>1</v>
      </c>
      <c r="Q64">
        <v>1</v>
      </c>
      <c r="R64">
        <v>1</v>
      </c>
      <c r="S64">
        <v>1</v>
      </c>
      <c r="T64">
        <v>1</v>
      </c>
      <c r="U64">
        <v>1</v>
      </c>
    </row>
    <row r="65" spans="1:21" x14ac:dyDescent="0.25">
      <c r="A65">
        <v>81</v>
      </c>
      <c r="C65">
        <v>3</v>
      </c>
      <c r="D65">
        <v>1</v>
      </c>
      <c r="E65">
        <v>3</v>
      </c>
      <c r="F65">
        <v>1</v>
      </c>
      <c r="G65">
        <v>1</v>
      </c>
      <c r="H65">
        <v>1</v>
      </c>
      <c r="I65">
        <v>1</v>
      </c>
      <c r="J65">
        <v>1</v>
      </c>
      <c r="K65">
        <v>1</v>
      </c>
      <c r="L65">
        <v>1</v>
      </c>
      <c r="M65">
        <v>2</v>
      </c>
      <c r="N65" s="77">
        <v>2</v>
      </c>
      <c r="O65">
        <v>1</v>
      </c>
      <c r="P65">
        <v>1</v>
      </c>
      <c r="Q65">
        <v>1</v>
      </c>
      <c r="R65">
        <v>1</v>
      </c>
      <c r="S65">
        <v>1</v>
      </c>
      <c r="T65">
        <v>1</v>
      </c>
      <c r="U65">
        <v>1</v>
      </c>
    </row>
    <row r="66" spans="1:21" x14ac:dyDescent="0.25">
      <c r="A66">
        <v>82</v>
      </c>
      <c r="C66">
        <v>1</v>
      </c>
      <c r="D66">
        <v>1</v>
      </c>
      <c r="E66">
        <v>4</v>
      </c>
      <c r="F66">
        <v>1</v>
      </c>
      <c r="G66">
        <v>1</v>
      </c>
      <c r="H66">
        <v>1</v>
      </c>
      <c r="I66">
        <v>1</v>
      </c>
      <c r="J66">
        <v>1</v>
      </c>
      <c r="K66">
        <v>1</v>
      </c>
      <c r="L66">
        <v>1</v>
      </c>
      <c r="M66">
        <v>2</v>
      </c>
      <c r="N66" s="77">
        <v>2</v>
      </c>
      <c r="O66">
        <v>1</v>
      </c>
      <c r="P66">
        <v>1</v>
      </c>
      <c r="Q66">
        <v>1</v>
      </c>
      <c r="R66">
        <v>1</v>
      </c>
      <c r="S66">
        <v>1</v>
      </c>
      <c r="T66">
        <v>1</v>
      </c>
      <c r="U66">
        <v>1</v>
      </c>
    </row>
    <row r="67" spans="1:21" x14ac:dyDescent="0.25">
      <c r="A67">
        <v>83</v>
      </c>
      <c r="C67">
        <v>2</v>
      </c>
      <c r="D67">
        <v>1</v>
      </c>
      <c r="E67">
        <v>4</v>
      </c>
      <c r="F67">
        <v>1</v>
      </c>
      <c r="G67">
        <v>1</v>
      </c>
      <c r="H67">
        <v>1</v>
      </c>
      <c r="I67">
        <v>1</v>
      </c>
      <c r="J67">
        <v>1</v>
      </c>
      <c r="K67">
        <v>1</v>
      </c>
      <c r="L67">
        <v>1</v>
      </c>
      <c r="M67">
        <v>2</v>
      </c>
      <c r="N67" s="77">
        <v>2</v>
      </c>
      <c r="O67">
        <v>1</v>
      </c>
      <c r="P67">
        <v>1</v>
      </c>
      <c r="Q67">
        <v>1</v>
      </c>
      <c r="R67">
        <v>1</v>
      </c>
      <c r="S67">
        <v>1</v>
      </c>
      <c r="T67">
        <v>1</v>
      </c>
      <c r="U67">
        <v>1</v>
      </c>
    </row>
    <row r="68" spans="1:21" x14ac:dyDescent="0.25">
      <c r="A68">
        <v>84</v>
      </c>
      <c r="C68">
        <v>3</v>
      </c>
      <c r="D68">
        <v>1</v>
      </c>
      <c r="E68">
        <v>4</v>
      </c>
      <c r="F68">
        <v>1</v>
      </c>
      <c r="G68">
        <v>1</v>
      </c>
      <c r="H68">
        <v>1</v>
      </c>
      <c r="I68">
        <v>1</v>
      </c>
      <c r="J68">
        <v>1</v>
      </c>
      <c r="K68">
        <v>1</v>
      </c>
      <c r="L68">
        <v>1</v>
      </c>
      <c r="M68">
        <v>2</v>
      </c>
      <c r="N68" s="77">
        <v>2</v>
      </c>
      <c r="O68">
        <v>1</v>
      </c>
      <c r="P68">
        <v>1</v>
      </c>
      <c r="Q68">
        <v>1</v>
      </c>
      <c r="R68">
        <v>1</v>
      </c>
      <c r="S68">
        <v>1</v>
      </c>
      <c r="T68">
        <v>1</v>
      </c>
      <c r="U68">
        <v>1</v>
      </c>
    </row>
    <row r="69" spans="1:21" x14ac:dyDescent="0.25">
      <c r="A69">
        <v>85</v>
      </c>
      <c r="C69">
        <v>1</v>
      </c>
      <c r="D69">
        <v>1</v>
      </c>
      <c r="E69">
        <v>1</v>
      </c>
      <c r="F69">
        <v>1</v>
      </c>
      <c r="G69">
        <v>1</v>
      </c>
      <c r="H69">
        <v>1</v>
      </c>
      <c r="I69">
        <v>1</v>
      </c>
      <c r="J69">
        <v>1</v>
      </c>
      <c r="K69">
        <v>1</v>
      </c>
      <c r="L69">
        <v>2</v>
      </c>
      <c r="M69">
        <v>2</v>
      </c>
      <c r="N69" s="77">
        <v>2</v>
      </c>
      <c r="O69">
        <v>1</v>
      </c>
      <c r="P69">
        <v>1</v>
      </c>
      <c r="Q69">
        <v>1</v>
      </c>
      <c r="R69">
        <v>1</v>
      </c>
      <c r="S69">
        <v>1</v>
      </c>
      <c r="T69">
        <v>1</v>
      </c>
      <c r="U69">
        <v>1</v>
      </c>
    </row>
    <row r="70" spans="1:21" x14ac:dyDescent="0.25">
      <c r="A70">
        <v>86</v>
      </c>
      <c r="C70">
        <v>2</v>
      </c>
      <c r="D70">
        <v>1</v>
      </c>
      <c r="E70">
        <v>1</v>
      </c>
      <c r="F70">
        <v>1</v>
      </c>
      <c r="G70">
        <v>1</v>
      </c>
      <c r="H70">
        <v>1</v>
      </c>
      <c r="I70">
        <v>1</v>
      </c>
      <c r="J70">
        <v>1</v>
      </c>
      <c r="K70">
        <v>1</v>
      </c>
      <c r="L70">
        <v>2</v>
      </c>
      <c r="M70">
        <v>2</v>
      </c>
      <c r="N70" s="77">
        <v>2</v>
      </c>
      <c r="O70">
        <v>1</v>
      </c>
      <c r="P70">
        <v>1</v>
      </c>
      <c r="Q70">
        <v>1</v>
      </c>
      <c r="R70">
        <v>1</v>
      </c>
      <c r="S70">
        <v>1</v>
      </c>
      <c r="T70">
        <v>1</v>
      </c>
      <c r="U70">
        <v>1</v>
      </c>
    </row>
    <row r="71" spans="1:21" x14ac:dyDescent="0.25">
      <c r="A71">
        <v>87</v>
      </c>
      <c r="C71">
        <v>3</v>
      </c>
      <c r="D71">
        <v>1</v>
      </c>
      <c r="E71">
        <v>1</v>
      </c>
      <c r="F71">
        <v>1</v>
      </c>
      <c r="G71">
        <v>1</v>
      </c>
      <c r="H71">
        <v>1</v>
      </c>
      <c r="I71">
        <v>1</v>
      </c>
      <c r="J71">
        <v>1</v>
      </c>
      <c r="K71">
        <v>1</v>
      </c>
      <c r="L71">
        <v>2</v>
      </c>
      <c r="M71">
        <v>2</v>
      </c>
      <c r="N71" s="77">
        <v>2</v>
      </c>
      <c r="O71">
        <v>1</v>
      </c>
      <c r="P71">
        <v>1</v>
      </c>
      <c r="Q71">
        <v>1</v>
      </c>
      <c r="R71">
        <v>1</v>
      </c>
      <c r="S71">
        <v>1</v>
      </c>
      <c r="T71">
        <v>1</v>
      </c>
      <c r="U71">
        <v>1</v>
      </c>
    </row>
    <row r="72" spans="1:21" x14ac:dyDescent="0.25">
      <c r="A72">
        <v>88</v>
      </c>
      <c r="C72">
        <v>1</v>
      </c>
      <c r="D72">
        <v>1</v>
      </c>
      <c r="E72">
        <v>2</v>
      </c>
      <c r="F72">
        <v>1</v>
      </c>
      <c r="G72">
        <v>1</v>
      </c>
      <c r="H72">
        <v>1</v>
      </c>
      <c r="I72">
        <v>1</v>
      </c>
      <c r="J72">
        <v>1</v>
      </c>
      <c r="K72">
        <v>1</v>
      </c>
      <c r="L72">
        <v>2</v>
      </c>
      <c r="M72">
        <v>2</v>
      </c>
      <c r="N72" s="77">
        <v>2</v>
      </c>
      <c r="O72">
        <v>1</v>
      </c>
      <c r="P72">
        <v>1</v>
      </c>
      <c r="Q72">
        <v>1</v>
      </c>
      <c r="R72">
        <v>1</v>
      </c>
      <c r="S72">
        <v>1</v>
      </c>
      <c r="T72">
        <v>1</v>
      </c>
      <c r="U72">
        <v>1</v>
      </c>
    </row>
    <row r="73" spans="1:21" x14ac:dyDescent="0.25">
      <c r="A73">
        <v>89</v>
      </c>
      <c r="C73">
        <v>2</v>
      </c>
      <c r="D73">
        <v>1</v>
      </c>
      <c r="E73">
        <v>2</v>
      </c>
      <c r="F73">
        <v>1</v>
      </c>
      <c r="G73">
        <v>1</v>
      </c>
      <c r="H73">
        <v>1</v>
      </c>
      <c r="I73">
        <v>1</v>
      </c>
      <c r="J73">
        <v>1</v>
      </c>
      <c r="K73">
        <v>1</v>
      </c>
      <c r="L73">
        <v>2</v>
      </c>
      <c r="M73">
        <v>2</v>
      </c>
      <c r="N73" s="77">
        <v>2</v>
      </c>
      <c r="O73">
        <v>1</v>
      </c>
      <c r="P73">
        <v>1</v>
      </c>
      <c r="Q73">
        <v>1</v>
      </c>
      <c r="R73">
        <v>1</v>
      </c>
      <c r="S73">
        <v>1</v>
      </c>
      <c r="T73">
        <v>1</v>
      </c>
      <c r="U73">
        <v>1</v>
      </c>
    </row>
    <row r="74" spans="1:21" x14ac:dyDescent="0.25">
      <c r="A74">
        <v>90</v>
      </c>
      <c r="C74">
        <v>3</v>
      </c>
      <c r="D74">
        <v>1</v>
      </c>
      <c r="E74">
        <v>2</v>
      </c>
      <c r="F74">
        <v>1</v>
      </c>
      <c r="G74">
        <v>1</v>
      </c>
      <c r="H74">
        <v>1</v>
      </c>
      <c r="I74">
        <v>1</v>
      </c>
      <c r="J74">
        <v>1</v>
      </c>
      <c r="K74">
        <v>1</v>
      </c>
      <c r="L74">
        <v>2</v>
      </c>
      <c r="M74">
        <v>2</v>
      </c>
      <c r="N74" s="77">
        <v>2</v>
      </c>
      <c r="O74">
        <v>1</v>
      </c>
      <c r="P74">
        <v>1</v>
      </c>
      <c r="Q74">
        <v>1</v>
      </c>
      <c r="R74">
        <v>1</v>
      </c>
      <c r="S74">
        <v>1</v>
      </c>
      <c r="T74">
        <v>1</v>
      </c>
      <c r="U74">
        <v>1</v>
      </c>
    </row>
    <row r="75" spans="1:21" x14ac:dyDescent="0.25">
      <c r="A75">
        <v>91</v>
      </c>
      <c r="C75">
        <v>1</v>
      </c>
      <c r="D75">
        <v>1</v>
      </c>
      <c r="E75">
        <v>3</v>
      </c>
      <c r="F75">
        <v>1</v>
      </c>
      <c r="G75">
        <v>1</v>
      </c>
      <c r="H75">
        <v>1</v>
      </c>
      <c r="I75">
        <v>1</v>
      </c>
      <c r="J75">
        <v>1</v>
      </c>
      <c r="K75">
        <v>1</v>
      </c>
      <c r="L75">
        <v>2</v>
      </c>
      <c r="M75">
        <v>2</v>
      </c>
      <c r="N75" s="77">
        <v>2</v>
      </c>
      <c r="O75">
        <v>1</v>
      </c>
      <c r="P75">
        <v>1</v>
      </c>
      <c r="Q75">
        <v>1</v>
      </c>
      <c r="R75">
        <v>1</v>
      </c>
      <c r="S75">
        <v>1</v>
      </c>
      <c r="T75">
        <v>1</v>
      </c>
      <c r="U75">
        <v>1</v>
      </c>
    </row>
    <row r="76" spans="1:21" x14ac:dyDescent="0.25">
      <c r="A76">
        <v>92</v>
      </c>
      <c r="C76">
        <v>2</v>
      </c>
      <c r="D76">
        <v>1</v>
      </c>
      <c r="E76">
        <v>3</v>
      </c>
      <c r="F76">
        <v>1</v>
      </c>
      <c r="G76">
        <v>1</v>
      </c>
      <c r="H76">
        <v>1</v>
      </c>
      <c r="I76">
        <v>1</v>
      </c>
      <c r="J76">
        <v>1</v>
      </c>
      <c r="K76">
        <v>1</v>
      </c>
      <c r="L76">
        <v>2</v>
      </c>
      <c r="M76">
        <v>2</v>
      </c>
      <c r="N76" s="77">
        <v>2</v>
      </c>
      <c r="O76">
        <v>1</v>
      </c>
      <c r="P76">
        <v>1</v>
      </c>
      <c r="Q76">
        <v>1</v>
      </c>
      <c r="R76">
        <v>1</v>
      </c>
      <c r="S76">
        <v>1</v>
      </c>
      <c r="T76">
        <v>1</v>
      </c>
      <c r="U76">
        <v>1</v>
      </c>
    </row>
    <row r="77" spans="1:21" x14ac:dyDescent="0.25">
      <c r="A77">
        <v>93</v>
      </c>
      <c r="C77">
        <v>3</v>
      </c>
      <c r="D77">
        <v>1</v>
      </c>
      <c r="E77">
        <v>3</v>
      </c>
      <c r="F77">
        <v>1</v>
      </c>
      <c r="G77">
        <v>1</v>
      </c>
      <c r="H77">
        <v>1</v>
      </c>
      <c r="I77">
        <v>1</v>
      </c>
      <c r="J77">
        <v>1</v>
      </c>
      <c r="K77">
        <v>1</v>
      </c>
      <c r="L77">
        <v>2</v>
      </c>
      <c r="M77">
        <v>2</v>
      </c>
      <c r="N77" s="77">
        <v>2</v>
      </c>
      <c r="O77">
        <v>1</v>
      </c>
      <c r="P77">
        <v>1</v>
      </c>
      <c r="Q77">
        <v>1</v>
      </c>
      <c r="R77">
        <v>1</v>
      </c>
      <c r="S77">
        <v>1</v>
      </c>
      <c r="T77">
        <v>1</v>
      </c>
      <c r="U77">
        <v>1</v>
      </c>
    </row>
    <row r="78" spans="1:21" x14ac:dyDescent="0.25">
      <c r="A78">
        <v>94</v>
      </c>
      <c r="C78">
        <v>1</v>
      </c>
      <c r="D78">
        <v>1</v>
      </c>
      <c r="E78">
        <v>4</v>
      </c>
      <c r="F78">
        <v>1</v>
      </c>
      <c r="G78">
        <v>1</v>
      </c>
      <c r="H78">
        <v>1</v>
      </c>
      <c r="I78">
        <v>1</v>
      </c>
      <c r="J78">
        <v>1</v>
      </c>
      <c r="K78">
        <v>1</v>
      </c>
      <c r="L78">
        <v>2</v>
      </c>
      <c r="M78">
        <v>2</v>
      </c>
      <c r="N78" s="77">
        <v>2</v>
      </c>
      <c r="O78">
        <v>1</v>
      </c>
      <c r="P78">
        <v>1</v>
      </c>
      <c r="Q78">
        <v>1</v>
      </c>
      <c r="R78">
        <v>1</v>
      </c>
      <c r="S78">
        <v>1</v>
      </c>
      <c r="T78">
        <v>1</v>
      </c>
      <c r="U78">
        <v>1</v>
      </c>
    </row>
    <row r="79" spans="1:21" x14ac:dyDescent="0.25">
      <c r="A79">
        <v>95</v>
      </c>
      <c r="C79">
        <v>2</v>
      </c>
      <c r="D79">
        <v>1</v>
      </c>
      <c r="E79">
        <v>4</v>
      </c>
      <c r="F79">
        <v>1</v>
      </c>
      <c r="G79">
        <v>1</v>
      </c>
      <c r="H79">
        <v>1</v>
      </c>
      <c r="I79">
        <v>1</v>
      </c>
      <c r="J79">
        <v>1</v>
      </c>
      <c r="K79">
        <v>1</v>
      </c>
      <c r="L79">
        <v>2</v>
      </c>
      <c r="M79">
        <v>2</v>
      </c>
      <c r="N79" s="77">
        <v>2</v>
      </c>
      <c r="O79">
        <v>1</v>
      </c>
      <c r="P79">
        <v>1</v>
      </c>
      <c r="Q79">
        <v>1</v>
      </c>
      <c r="R79">
        <v>1</v>
      </c>
      <c r="S79">
        <v>1</v>
      </c>
      <c r="T79">
        <v>1</v>
      </c>
      <c r="U79">
        <v>1</v>
      </c>
    </row>
    <row r="80" spans="1:21" x14ac:dyDescent="0.25">
      <c r="A80">
        <v>96</v>
      </c>
      <c r="C80">
        <v>3</v>
      </c>
      <c r="D80">
        <v>1</v>
      </c>
      <c r="E80">
        <v>4</v>
      </c>
      <c r="F80">
        <v>1</v>
      </c>
      <c r="G80">
        <v>1</v>
      </c>
      <c r="H80">
        <v>1</v>
      </c>
      <c r="I80">
        <v>1</v>
      </c>
      <c r="J80">
        <v>1</v>
      </c>
      <c r="K80">
        <v>1</v>
      </c>
      <c r="L80">
        <v>2</v>
      </c>
      <c r="M80">
        <v>2</v>
      </c>
      <c r="N80" s="77">
        <v>2</v>
      </c>
      <c r="O80">
        <v>1</v>
      </c>
      <c r="P80">
        <v>1</v>
      </c>
      <c r="Q80">
        <v>1</v>
      </c>
      <c r="R80">
        <v>1</v>
      </c>
      <c r="S80">
        <v>1</v>
      </c>
      <c r="T80">
        <v>1</v>
      </c>
      <c r="U80">
        <v>1</v>
      </c>
    </row>
    <row r="81" spans="1:21" x14ac:dyDescent="0.25">
      <c r="A81">
        <v>97</v>
      </c>
      <c r="C81">
        <v>1</v>
      </c>
      <c r="D81">
        <v>1</v>
      </c>
      <c r="E81">
        <v>1</v>
      </c>
      <c r="F81">
        <v>1</v>
      </c>
      <c r="G81">
        <v>1</v>
      </c>
      <c r="H81">
        <v>1</v>
      </c>
      <c r="I81">
        <v>1</v>
      </c>
      <c r="J81">
        <v>1</v>
      </c>
      <c r="K81">
        <v>1</v>
      </c>
      <c r="L81">
        <v>1</v>
      </c>
      <c r="M81">
        <v>1</v>
      </c>
      <c r="N81" s="77">
        <v>3</v>
      </c>
      <c r="O81">
        <v>1</v>
      </c>
      <c r="P81">
        <v>1</v>
      </c>
      <c r="Q81">
        <v>1</v>
      </c>
      <c r="R81">
        <v>1</v>
      </c>
      <c r="S81">
        <v>1</v>
      </c>
      <c r="T81">
        <v>1</v>
      </c>
      <c r="U81">
        <v>1</v>
      </c>
    </row>
    <row r="82" spans="1:21" x14ac:dyDescent="0.25">
      <c r="A82">
        <v>98</v>
      </c>
      <c r="C82">
        <v>2</v>
      </c>
      <c r="D82">
        <v>1</v>
      </c>
      <c r="E82">
        <v>1</v>
      </c>
      <c r="F82">
        <v>1</v>
      </c>
      <c r="G82">
        <v>1</v>
      </c>
      <c r="H82">
        <v>1</v>
      </c>
      <c r="I82">
        <v>1</v>
      </c>
      <c r="J82">
        <v>1</v>
      </c>
      <c r="K82">
        <v>1</v>
      </c>
      <c r="L82">
        <v>1</v>
      </c>
      <c r="M82">
        <v>1</v>
      </c>
      <c r="N82" s="77">
        <v>3</v>
      </c>
      <c r="O82">
        <v>1</v>
      </c>
      <c r="P82">
        <v>1</v>
      </c>
      <c r="Q82">
        <v>1</v>
      </c>
      <c r="R82">
        <v>1</v>
      </c>
      <c r="S82">
        <v>1</v>
      </c>
      <c r="T82">
        <v>1</v>
      </c>
      <c r="U82">
        <v>1</v>
      </c>
    </row>
    <row r="83" spans="1:21" x14ac:dyDescent="0.25">
      <c r="A83">
        <v>99</v>
      </c>
      <c r="C83">
        <v>3</v>
      </c>
      <c r="D83">
        <v>1</v>
      </c>
      <c r="E83">
        <v>1</v>
      </c>
      <c r="F83">
        <v>1</v>
      </c>
      <c r="G83">
        <v>1</v>
      </c>
      <c r="H83">
        <v>1</v>
      </c>
      <c r="I83">
        <v>1</v>
      </c>
      <c r="J83">
        <v>1</v>
      </c>
      <c r="K83">
        <v>1</v>
      </c>
      <c r="L83">
        <v>1</v>
      </c>
      <c r="M83">
        <v>1</v>
      </c>
      <c r="N83" s="77">
        <v>3</v>
      </c>
      <c r="O83">
        <v>1</v>
      </c>
      <c r="P83">
        <v>1</v>
      </c>
      <c r="Q83">
        <v>1</v>
      </c>
      <c r="R83">
        <v>1</v>
      </c>
      <c r="S83">
        <v>1</v>
      </c>
      <c r="T83">
        <v>1</v>
      </c>
      <c r="U83">
        <v>1</v>
      </c>
    </row>
    <row r="84" spans="1:21" x14ac:dyDescent="0.25">
      <c r="A84">
        <v>100</v>
      </c>
      <c r="C84">
        <v>1</v>
      </c>
      <c r="D84">
        <v>1</v>
      </c>
      <c r="E84">
        <v>2</v>
      </c>
      <c r="F84">
        <v>1</v>
      </c>
      <c r="G84">
        <v>1</v>
      </c>
      <c r="H84">
        <v>1</v>
      </c>
      <c r="I84">
        <v>1</v>
      </c>
      <c r="J84">
        <v>1</v>
      </c>
      <c r="K84">
        <v>1</v>
      </c>
      <c r="L84">
        <v>1</v>
      </c>
      <c r="M84">
        <v>1</v>
      </c>
      <c r="N84" s="77">
        <v>3</v>
      </c>
      <c r="O84">
        <v>1</v>
      </c>
      <c r="P84">
        <v>1</v>
      </c>
      <c r="Q84">
        <v>1</v>
      </c>
      <c r="R84">
        <v>1</v>
      </c>
      <c r="S84">
        <v>1</v>
      </c>
      <c r="T84">
        <v>1</v>
      </c>
      <c r="U84">
        <v>1</v>
      </c>
    </row>
    <row r="85" spans="1:21" x14ac:dyDescent="0.25">
      <c r="A85">
        <v>101</v>
      </c>
      <c r="C85">
        <v>2</v>
      </c>
      <c r="D85">
        <v>1</v>
      </c>
      <c r="E85">
        <v>2</v>
      </c>
      <c r="F85">
        <v>1</v>
      </c>
      <c r="G85">
        <v>1</v>
      </c>
      <c r="H85">
        <v>1</v>
      </c>
      <c r="I85">
        <v>1</v>
      </c>
      <c r="J85">
        <v>1</v>
      </c>
      <c r="K85">
        <v>1</v>
      </c>
      <c r="L85">
        <v>1</v>
      </c>
      <c r="M85">
        <v>1</v>
      </c>
      <c r="N85" s="77">
        <v>3</v>
      </c>
      <c r="O85">
        <v>1</v>
      </c>
      <c r="P85">
        <v>1</v>
      </c>
      <c r="Q85">
        <v>1</v>
      </c>
      <c r="R85">
        <v>1</v>
      </c>
      <c r="S85">
        <v>1</v>
      </c>
      <c r="T85">
        <v>1</v>
      </c>
      <c r="U85">
        <v>1</v>
      </c>
    </row>
    <row r="86" spans="1:21" x14ac:dyDescent="0.25">
      <c r="A86">
        <v>102</v>
      </c>
      <c r="C86">
        <v>3</v>
      </c>
      <c r="D86">
        <v>1</v>
      </c>
      <c r="E86">
        <v>2</v>
      </c>
      <c r="F86">
        <v>1</v>
      </c>
      <c r="G86">
        <v>1</v>
      </c>
      <c r="H86">
        <v>1</v>
      </c>
      <c r="I86">
        <v>1</v>
      </c>
      <c r="J86">
        <v>1</v>
      </c>
      <c r="K86">
        <v>1</v>
      </c>
      <c r="L86">
        <v>1</v>
      </c>
      <c r="M86">
        <v>1</v>
      </c>
      <c r="N86" s="77">
        <v>3</v>
      </c>
      <c r="O86">
        <v>1</v>
      </c>
      <c r="P86">
        <v>1</v>
      </c>
      <c r="Q86">
        <v>1</v>
      </c>
      <c r="R86">
        <v>1</v>
      </c>
      <c r="S86">
        <v>1</v>
      </c>
      <c r="T86">
        <v>1</v>
      </c>
      <c r="U86">
        <v>1</v>
      </c>
    </row>
    <row r="87" spans="1:21" x14ac:dyDescent="0.25">
      <c r="A87">
        <v>103</v>
      </c>
      <c r="C87">
        <v>1</v>
      </c>
      <c r="D87">
        <v>1</v>
      </c>
      <c r="E87">
        <v>3</v>
      </c>
      <c r="F87">
        <v>1</v>
      </c>
      <c r="G87">
        <v>1</v>
      </c>
      <c r="H87">
        <v>1</v>
      </c>
      <c r="I87">
        <v>1</v>
      </c>
      <c r="J87">
        <v>1</v>
      </c>
      <c r="K87">
        <v>1</v>
      </c>
      <c r="L87">
        <v>1</v>
      </c>
      <c r="M87">
        <v>1</v>
      </c>
      <c r="N87" s="77">
        <v>3</v>
      </c>
      <c r="O87">
        <v>1</v>
      </c>
      <c r="P87">
        <v>1</v>
      </c>
      <c r="Q87">
        <v>1</v>
      </c>
      <c r="R87">
        <v>1</v>
      </c>
      <c r="S87">
        <v>1</v>
      </c>
      <c r="T87">
        <v>1</v>
      </c>
      <c r="U87">
        <v>1</v>
      </c>
    </row>
    <row r="88" spans="1:21" x14ac:dyDescent="0.25">
      <c r="A88">
        <v>104</v>
      </c>
      <c r="C88">
        <v>2</v>
      </c>
      <c r="D88">
        <v>1</v>
      </c>
      <c r="E88">
        <v>3</v>
      </c>
      <c r="F88">
        <v>1</v>
      </c>
      <c r="G88">
        <v>1</v>
      </c>
      <c r="H88">
        <v>1</v>
      </c>
      <c r="I88">
        <v>1</v>
      </c>
      <c r="J88">
        <v>1</v>
      </c>
      <c r="K88">
        <v>1</v>
      </c>
      <c r="L88">
        <v>1</v>
      </c>
      <c r="M88">
        <v>1</v>
      </c>
      <c r="N88" s="77">
        <v>3</v>
      </c>
      <c r="O88">
        <v>1</v>
      </c>
      <c r="P88">
        <v>1</v>
      </c>
      <c r="Q88">
        <v>1</v>
      </c>
      <c r="R88">
        <v>1</v>
      </c>
      <c r="S88">
        <v>1</v>
      </c>
      <c r="T88">
        <v>1</v>
      </c>
      <c r="U88">
        <v>1</v>
      </c>
    </row>
    <row r="89" spans="1:21" x14ac:dyDescent="0.25">
      <c r="A89">
        <v>105</v>
      </c>
      <c r="C89">
        <v>3</v>
      </c>
      <c r="D89">
        <v>1</v>
      </c>
      <c r="E89">
        <v>3</v>
      </c>
      <c r="F89">
        <v>1</v>
      </c>
      <c r="G89">
        <v>1</v>
      </c>
      <c r="H89">
        <v>1</v>
      </c>
      <c r="I89">
        <v>1</v>
      </c>
      <c r="J89">
        <v>1</v>
      </c>
      <c r="K89">
        <v>1</v>
      </c>
      <c r="L89">
        <v>1</v>
      </c>
      <c r="M89">
        <v>1</v>
      </c>
      <c r="N89" s="77">
        <v>3</v>
      </c>
      <c r="O89">
        <v>1</v>
      </c>
      <c r="P89">
        <v>1</v>
      </c>
      <c r="Q89">
        <v>1</v>
      </c>
      <c r="R89">
        <v>1</v>
      </c>
      <c r="S89">
        <v>1</v>
      </c>
      <c r="T89">
        <v>1</v>
      </c>
      <c r="U89">
        <v>1</v>
      </c>
    </row>
    <row r="90" spans="1:21" x14ac:dyDescent="0.25">
      <c r="A90">
        <v>106</v>
      </c>
      <c r="C90">
        <v>1</v>
      </c>
      <c r="D90">
        <v>1</v>
      </c>
      <c r="E90">
        <v>4</v>
      </c>
      <c r="F90">
        <v>1</v>
      </c>
      <c r="G90">
        <v>1</v>
      </c>
      <c r="H90">
        <v>1</v>
      </c>
      <c r="I90">
        <v>1</v>
      </c>
      <c r="J90">
        <v>1</v>
      </c>
      <c r="K90">
        <v>1</v>
      </c>
      <c r="L90">
        <v>1</v>
      </c>
      <c r="M90">
        <v>1</v>
      </c>
      <c r="N90" s="77">
        <v>3</v>
      </c>
      <c r="O90">
        <v>1</v>
      </c>
      <c r="P90">
        <v>1</v>
      </c>
      <c r="Q90">
        <v>1</v>
      </c>
      <c r="R90">
        <v>1</v>
      </c>
      <c r="S90">
        <v>1</v>
      </c>
      <c r="T90">
        <v>1</v>
      </c>
      <c r="U90">
        <v>1</v>
      </c>
    </row>
    <row r="91" spans="1:21" x14ac:dyDescent="0.25">
      <c r="A91">
        <v>107</v>
      </c>
      <c r="C91">
        <v>2</v>
      </c>
      <c r="D91">
        <v>1</v>
      </c>
      <c r="E91">
        <v>4</v>
      </c>
      <c r="F91">
        <v>1</v>
      </c>
      <c r="G91">
        <v>1</v>
      </c>
      <c r="H91">
        <v>1</v>
      </c>
      <c r="I91">
        <v>1</v>
      </c>
      <c r="J91">
        <v>1</v>
      </c>
      <c r="K91">
        <v>1</v>
      </c>
      <c r="L91">
        <v>1</v>
      </c>
      <c r="M91">
        <v>1</v>
      </c>
      <c r="N91" s="77">
        <v>3</v>
      </c>
      <c r="O91">
        <v>1</v>
      </c>
      <c r="P91">
        <v>1</v>
      </c>
      <c r="Q91">
        <v>1</v>
      </c>
      <c r="R91">
        <v>1</v>
      </c>
      <c r="S91">
        <v>1</v>
      </c>
      <c r="T91">
        <v>1</v>
      </c>
      <c r="U91">
        <v>1</v>
      </c>
    </row>
    <row r="92" spans="1:21" x14ac:dyDescent="0.25">
      <c r="A92">
        <v>108</v>
      </c>
      <c r="C92">
        <v>3</v>
      </c>
      <c r="D92">
        <v>1</v>
      </c>
      <c r="E92">
        <v>4</v>
      </c>
      <c r="F92">
        <v>1</v>
      </c>
      <c r="G92">
        <v>1</v>
      </c>
      <c r="H92">
        <v>1</v>
      </c>
      <c r="I92">
        <v>1</v>
      </c>
      <c r="J92">
        <v>1</v>
      </c>
      <c r="K92">
        <v>1</v>
      </c>
      <c r="L92">
        <v>1</v>
      </c>
      <c r="M92">
        <v>1</v>
      </c>
      <c r="N92" s="77">
        <v>3</v>
      </c>
      <c r="O92">
        <v>1</v>
      </c>
      <c r="P92">
        <v>1</v>
      </c>
      <c r="Q92">
        <v>1</v>
      </c>
      <c r="R92">
        <v>1</v>
      </c>
      <c r="S92">
        <v>1</v>
      </c>
      <c r="T92">
        <v>1</v>
      </c>
      <c r="U92">
        <v>1</v>
      </c>
    </row>
    <row r="93" spans="1:21" x14ac:dyDescent="0.25">
      <c r="A93">
        <v>109</v>
      </c>
      <c r="C93">
        <v>1</v>
      </c>
      <c r="D93">
        <v>1</v>
      </c>
      <c r="E93">
        <v>1</v>
      </c>
      <c r="F93">
        <v>1</v>
      </c>
      <c r="G93">
        <v>1</v>
      </c>
      <c r="H93">
        <v>1</v>
      </c>
      <c r="I93">
        <v>1</v>
      </c>
      <c r="J93">
        <v>1</v>
      </c>
      <c r="K93">
        <v>1</v>
      </c>
      <c r="L93">
        <v>2</v>
      </c>
      <c r="M93">
        <v>1</v>
      </c>
      <c r="N93" s="77">
        <v>3</v>
      </c>
      <c r="O93">
        <v>1</v>
      </c>
      <c r="P93">
        <v>1</v>
      </c>
      <c r="Q93">
        <v>1</v>
      </c>
      <c r="R93">
        <v>1</v>
      </c>
      <c r="S93">
        <v>1</v>
      </c>
      <c r="T93">
        <v>1</v>
      </c>
      <c r="U93">
        <v>1</v>
      </c>
    </row>
    <row r="94" spans="1:21" x14ac:dyDescent="0.25">
      <c r="A94">
        <v>110</v>
      </c>
      <c r="C94">
        <v>2</v>
      </c>
      <c r="D94">
        <v>1</v>
      </c>
      <c r="E94">
        <v>1</v>
      </c>
      <c r="F94">
        <v>1</v>
      </c>
      <c r="G94">
        <v>1</v>
      </c>
      <c r="H94">
        <v>1</v>
      </c>
      <c r="I94">
        <v>1</v>
      </c>
      <c r="J94">
        <v>1</v>
      </c>
      <c r="K94">
        <v>1</v>
      </c>
      <c r="L94">
        <v>2</v>
      </c>
      <c r="M94">
        <v>1</v>
      </c>
      <c r="N94" s="77">
        <v>3</v>
      </c>
      <c r="O94">
        <v>1</v>
      </c>
      <c r="P94">
        <v>1</v>
      </c>
      <c r="Q94">
        <v>1</v>
      </c>
      <c r="R94">
        <v>1</v>
      </c>
      <c r="S94">
        <v>1</v>
      </c>
      <c r="T94">
        <v>1</v>
      </c>
      <c r="U94">
        <v>1</v>
      </c>
    </row>
    <row r="95" spans="1:21" x14ac:dyDescent="0.25">
      <c r="A95">
        <v>111</v>
      </c>
      <c r="C95">
        <v>3</v>
      </c>
      <c r="D95">
        <v>1</v>
      </c>
      <c r="E95">
        <v>1</v>
      </c>
      <c r="F95">
        <v>1</v>
      </c>
      <c r="G95">
        <v>1</v>
      </c>
      <c r="H95">
        <v>1</v>
      </c>
      <c r="I95">
        <v>1</v>
      </c>
      <c r="J95">
        <v>1</v>
      </c>
      <c r="K95">
        <v>1</v>
      </c>
      <c r="L95">
        <v>2</v>
      </c>
      <c r="M95">
        <v>1</v>
      </c>
      <c r="N95" s="77">
        <v>3</v>
      </c>
      <c r="O95">
        <v>1</v>
      </c>
      <c r="P95">
        <v>1</v>
      </c>
      <c r="Q95">
        <v>1</v>
      </c>
      <c r="R95">
        <v>1</v>
      </c>
      <c r="S95">
        <v>1</v>
      </c>
      <c r="T95">
        <v>1</v>
      </c>
      <c r="U95">
        <v>1</v>
      </c>
    </row>
    <row r="96" spans="1:21" x14ac:dyDescent="0.25">
      <c r="A96">
        <v>112</v>
      </c>
      <c r="C96">
        <v>1</v>
      </c>
      <c r="D96">
        <v>1</v>
      </c>
      <c r="E96">
        <v>2</v>
      </c>
      <c r="F96">
        <v>1</v>
      </c>
      <c r="G96">
        <v>1</v>
      </c>
      <c r="H96">
        <v>1</v>
      </c>
      <c r="I96">
        <v>1</v>
      </c>
      <c r="J96">
        <v>1</v>
      </c>
      <c r="K96">
        <v>1</v>
      </c>
      <c r="L96">
        <v>2</v>
      </c>
      <c r="M96">
        <v>1</v>
      </c>
      <c r="N96" s="77">
        <v>3</v>
      </c>
      <c r="O96">
        <v>1</v>
      </c>
      <c r="P96">
        <v>1</v>
      </c>
      <c r="Q96">
        <v>1</v>
      </c>
      <c r="R96">
        <v>1</v>
      </c>
      <c r="S96">
        <v>1</v>
      </c>
      <c r="T96">
        <v>1</v>
      </c>
      <c r="U96">
        <v>1</v>
      </c>
    </row>
    <row r="97" spans="1:21" x14ac:dyDescent="0.25">
      <c r="A97">
        <v>113</v>
      </c>
      <c r="C97">
        <v>2</v>
      </c>
      <c r="D97">
        <v>1</v>
      </c>
      <c r="E97">
        <v>2</v>
      </c>
      <c r="F97">
        <v>1</v>
      </c>
      <c r="G97">
        <v>1</v>
      </c>
      <c r="H97">
        <v>1</v>
      </c>
      <c r="I97">
        <v>1</v>
      </c>
      <c r="J97">
        <v>1</v>
      </c>
      <c r="K97">
        <v>1</v>
      </c>
      <c r="L97">
        <v>2</v>
      </c>
      <c r="M97">
        <v>1</v>
      </c>
      <c r="N97" s="77">
        <v>3</v>
      </c>
      <c r="O97">
        <v>1</v>
      </c>
      <c r="P97">
        <v>1</v>
      </c>
      <c r="Q97">
        <v>1</v>
      </c>
      <c r="R97">
        <v>1</v>
      </c>
      <c r="S97">
        <v>1</v>
      </c>
      <c r="T97">
        <v>1</v>
      </c>
      <c r="U97">
        <v>1</v>
      </c>
    </row>
    <row r="98" spans="1:21" x14ac:dyDescent="0.25">
      <c r="A98">
        <v>114</v>
      </c>
      <c r="C98">
        <v>3</v>
      </c>
      <c r="D98">
        <v>1</v>
      </c>
      <c r="E98">
        <v>2</v>
      </c>
      <c r="F98">
        <v>1</v>
      </c>
      <c r="G98">
        <v>1</v>
      </c>
      <c r="H98">
        <v>1</v>
      </c>
      <c r="I98">
        <v>1</v>
      </c>
      <c r="J98">
        <v>1</v>
      </c>
      <c r="K98">
        <v>1</v>
      </c>
      <c r="L98">
        <v>2</v>
      </c>
      <c r="M98">
        <v>1</v>
      </c>
      <c r="N98" s="77">
        <v>3</v>
      </c>
      <c r="O98">
        <v>1</v>
      </c>
      <c r="P98">
        <v>1</v>
      </c>
      <c r="Q98">
        <v>1</v>
      </c>
      <c r="R98">
        <v>1</v>
      </c>
      <c r="S98">
        <v>1</v>
      </c>
      <c r="T98">
        <v>1</v>
      </c>
      <c r="U98">
        <v>1</v>
      </c>
    </row>
    <row r="99" spans="1:21" x14ac:dyDescent="0.25">
      <c r="A99">
        <v>115</v>
      </c>
      <c r="C99">
        <v>1</v>
      </c>
      <c r="D99">
        <v>1</v>
      </c>
      <c r="E99">
        <v>3</v>
      </c>
      <c r="F99">
        <v>1</v>
      </c>
      <c r="G99">
        <v>1</v>
      </c>
      <c r="H99">
        <v>1</v>
      </c>
      <c r="I99">
        <v>1</v>
      </c>
      <c r="J99">
        <v>1</v>
      </c>
      <c r="K99">
        <v>1</v>
      </c>
      <c r="L99">
        <v>2</v>
      </c>
      <c r="M99">
        <v>1</v>
      </c>
      <c r="N99" s="77">
        <v>3</v>
      </c>
      <c r="O99">
        <v>1</v>
      </c>
      <c r="P99">
        <v>1</v>
      </c>
      <c r="Q99">
        <v>1</v>
      </c>
      <c r="R99">
        <v>1</v>
      </c>
      <c r="S99">
        <v>1</v>
      </c>
      <c r="T99">
        <v>1</v>
      </c>
      <c r="U99">
        <v>1</v>
      </c>
    </row>
    <row r="100" spans="1:21" x14ac:dyDescent="0.25">
      <c r="A100">
        <v>116</v>
      </c>
      <c r="C100">
        <v>2</v>
      </c>
      <c r="D100">
        <v>1</v>
      </c>
      <c r="E100">
        <v>3</v>
      </c>
      <c r="F100">
        <v>1</v>
      </c>
      <c r="G100">
        <v>1</v>
      </c>
      <c r="H100">
        <v>1</v>
      </c>
      <c r="I100">
        <v>1</v>
      </c>
      <c r="J100">
        <v>1</v>
      </c>
      <c r="K100">
        <v>1</v>
      </c>
      <c r="L100">
        <v>2</v>
      </c>
      <c r="M100">
        <v>1</v>
      </c>
      <c r="N100" s="77">
        <v>3</v>
      </c>
      <c r="O100">
        <v>1</v>
      </c>
      <c r="P100">
        <v>1</v>
      </c>
      <c r="Q100">
        <v>1</v>
      </c>
      <c r="R100">
        <v>1</v>
      </c>
      <c r="S100">
        <v>1</v>
      </c>
      <c r="T100">
        <v>1</v>
      </c>
      <c r="U100">
        <v>1</v>
      </c>
    </row>
    <row r="101" spans="1:21" x14ac:dyDescent="0.25">
      <c r="A101">
        <v>117</v>
      </c>
      <c r="C101">
        <v>3</v>
      </c>
      <c r="D101">
        <v>1</v>
      </c>
      <c r="E101">
        <v>3</v>
      </c>
      <c r="F101">
        <v>1</v>
      </c>
      <c r="G101">
        <v>1</v>
      </c>
      <c r="H101">
        <v>1</v>
      </c>
      <c r="I101">
        <v>1</v>
      </c>
      <c r="J101">
        <v>1</v>
      </c>
      <c r="K101">
        <v>1</v>
      </c>
      <c r="L101">
        <v>2</v>
      </c>
      <c r="M101">
        <v>1</v>
      </c>
      <c r="N101" s="77">
        <v>3</v>
      </c>
      <c r="O101">
        <v>1</v>
      </c>
      <c r="P101">
        <v>1</v>
      </c>
      <c r="Q101">
        <v>1</v>
      </c>
      <c r="R101">
        <v>1</v>
      </c>
      <c r="S101">
        <v>1</v>
      </c>
      <c r="T101">
        <v>1</v>
      </c>
      <c r="U101">
        <v>1</v>
      </c>
    </row>
    <row r="102" spans="1:21" x14ac:dyDescent="0.25">
      <c r="A102">
        <v>118</v>
      </c>
      <c r="C102">
        <v>1</v>
      </c>
      <c r="D102">
        <v>1</v>
      </c>
      <c r="E102">
        <v>4</v>
      </c>
      <c r="F102">
        <v>1</v>
      </c>
      <c r="G102">
        <v>1</v>
      </c>
      <c r="H102">
        <v>1</v>
      </c>
      <c r="I102">
        <v>1</v>
      </c>
      <c r="J102">
        <v>1</v>
      </c>
      <c r="K102">
        <v>1</v>
      </c>
      <c r="L102">
        <v>2</v>
      </c>
      <c r="M102">
        <v>1</v>
      </c>
      <c r="N102" s="77">
        <v>3</v>
      </c>
      <c r="O102">
        <v>1</v>
      </c>
      <c r="P102">
        <v>1</v>
      </c>
      <c r="Q102">
        <v>1</v>
      </c>
      <c r="R102">
        <v>1</v>
      </c>
      <c r="S102">
        <v>1</v>
      </c>
      <c r="T102">
        <v>1</v>
      </c>
      <c r="U102">
        <v>1</v>
      </c>
    </row>
    <row r="103" spans="1:21" x14ac:dyDescent="0.25">
      <c r="A103">
        <v>119</v>
      </c>
      <c r="C103">
        <v>2</v>
      </c>
      <c r="D103">
        <v>1</v>
      </c>
      <c r="E103">
        <v>4</v>
      </c>
      <c r="F103">
        <v>1</v>
      </c>
      <c r="G103">
        <v>1</v>
      </c>
      <c r="H103">
        <v>1</v>
      </c>
      <c r="I103">
        <v>1</v>
      </c>
      <c r="J103">
        <v>1</v>
      </c>
      <c r="K103">
        <v>1</v>
      </c>
      <c r="L103">
        <v>2</v>
      </c>
      <c r="M103">
        <v>1</v>
      </c>
      <c r="N103" s="77">
        <v>3</v>
      </c>
      <c r="O103">
        <v>1</v>
      </c>
      <c r="P103">
        <v>1</v>
      </c>
      <c r="Q103">
        <v>1</v>
      </c>
      <c r="R103">
        <v>1</v>
      </c>
      <c r="S103">
        <v>1</v>
      </c>
      <c r="T103">
        <v>1</v>
      </c>
      <c r="U103">
        <v>1</v>
      </c>
    </row>
    <row r="104" spans="1:21" x14ac:dyDescent="0.25">
      <c r="A104">
        <v>120</v>
      </c>
      <c r="C104">
        <v>3</v>
      </c>
      <c r="D104">
        <v>1</v>
      </c>
      <c r="E104">
        <v>4</v>
      </c>
      <c r="F104">
        <v>1</v>
      </c>
      <c r="G104">
        <v>1</v>
      </c>
      <c r="H104">
        <v>1</v>
      </c>
      <c r="I104">
        <v>1</v>
      </c>
      <c r="J104">
        <v>1</v>
      </c>
      <c r="K104">
        <v>1</v>
      </c>
      <c r="L104">
        <v>2</v>
      </c>
      <c r="M104">
        <v>1</v>
      </c>
      <c r="N104" s="77">
        <v>3</v>
      </c>
      <c r="O104">
        <v>1</v>
      </c>
      <c r="P104">
        <v>1</v>
      </c>
      <c r="Q104">
        <v>1</v>
      </c>
      <c r="R104">
        <v>1</v>
      </c>
      <c r="S104">
        <v>1</v>
      </c>
      <c r="T104">
        <v>1</v>
      </c>
      <c r="U104">
        <v>1</v>
      </c>
    </row>
    <row r="105" spans="1:21" x14ac:dyDescent="0.25">
      <c r="A105">
        <v>121</v>
      </c>
      <c r="C105">
        <v>1</v>
      </c>
      <c r="D105">
        <v>1</v>
      </c>
      <c r="E105">
        <v>1</v>
      </c>
      <c r="F105">
        <v>1</v>
      </c>
      <c r="G105">
        <v>1</v>
      </c>
      <c r="H105">
        <v>1</v>
      </c>
      <c r="I105">
        <v>1</v>
      </c>
      <c r="J105">
        <v>1</v>
      </c>
      <c r="K105">
        <v>1</v>
      </c>
      <c r="L105">
        <v>1</v>
      </c>
      <c r="M105">
        <v>2</v>
      </c>
      <c r="N105" s="77">
        <v>3</v>
      </c>
      <c r="O105">
        <v>1</v>
      </c>
      <c r="P105">
        <v>1</v>
      </c>
      <c r="Q105">
        <v>1</v>
      </c>
      <c r="R105">
        <v>1</v>
      </c>
      <c r="S105">
        <v>1</v>
      </c>
      <c r="T105">
        <v>1</v>
      </c>
      <c r="U105">
        <v>1</v>
      </c>
    </row>
    <row r="106" spans="1:21" x14ac:dyDescent="0.25">
      <c r="A106">
        <v>122</v>
      </c>
      <c r="C106">
        <v>2</v>
      </c>
      <c r="D106">
        <v>1</v>
      </c>
      <c r="E106">
        <v>1</v>
      </c>
      <c r="F106">
        <v>1</v>
      </c>
      <c r="G106">
        <v>1</v>
      </c>
      <c r="H106">
        <v>1</v>
      </c>
      <c r="I106">
        <v>1</v>
      </c>
      <c r="J106">
        <v>1</v>
      </c>
      <c r="K106">
        <v>1</v>
      </c>
      <c r="L106">
        <v>1</v>
      </c>
      <c r="M106">
        <v>2</v>
      </c>
      <c r="N106" s="77">
        <v>3</v>
      </c>
      <c r="O106">
        <v>1</v>
      </c>
      <c r="P106">
        <v>1</v>
      </c>
      <c r="Q106">
        <v>1</v>
      </c>
      <c r="R106">
        <v>1</v>
      </c>
      <c r="S106">
        <v>1</v>
      </c>
      <c r="T106">
        <v>1</v>
      </c>
      <c r="U106">
        <v>1</v>
      </c>
    </row>
    <row r="107" spans="1:21" x14ac:dyDescent="0.25">
      <c r="A107">
        <v>123</v>
      </c>
      <c r="C107">
        <v>3</v>
      </c>
      <c r="D107">
        <v>1</v>
      </c>
      <c r="E107">
        <v>1</v>
      </c>
      <c r="F107">
        <v>1</v>
      </c>
      <c r="G107">
        <v>1</v>
      </c>
      <c r="H107">
        <v>1</v>
      </c>
      <c r="I107">
        <v>1</v>
      </c>
      <c r="J107">
        <v>1</v>
      </c>
      <c r="K107">
        <v>1</v>
      </c>
      <c r="L107">
        <v>1</v>
      </c>
      <c r="M107">
        <v>2</v>
      </c>
      <c r="N107" s="77">
        <v>3</v>
      </c>
      <c r="O107">
        <v>1</v>
      </c>
      <c r="P107">
        <v>1</v>
      </c>
      <c r="Q107">
        <v>1</v>
      </c>
      <c r="R107">
        <v>1</v>
      </c>
      <c r="S107">
        <v>1</v>
      </c>
      <c r="T107">
        <v>1</v>
      </c>
      <c r="U107">
        <v>1</v>
      </c>
    </row>
    <row r="108" spans="1:21" x14ac:dyDescent="0.25">
      <c r="A108">
        <v>124</v>
      </c>
      <c r="C108">
        <v>1</v>
      </c>
      <c r="D108">
        <v>1</v>
      </c>
      <c r="E108">
        <v>2</v>
      </c>
      <c r="F108">
        <v>1</v>
      </c>
      <c r="G108">
        <v>1</v>
      </c>
      <c r="H108">
        <v>1</v>
      </c>
      <c r="I108">
        <v>1</v>
      </c>
      <c r="J108">
        <v>1</v>
      </c>
      <c r="K108">
        <v>1</v>
      </c>
      <c r="L108">
        <v>1</v>
      </c>
      <c r="M108">
        <v>2</v>
      </c>
      <c r="N108" s="77">
        <v>3</v>
      </c>
      <c r="O108">
        <v>1</v>
      </c>
      <c r="P108">
        <v>1</v>
      </c>
      <c r="Q108">
        <v>1</v>
      </c>
      <c r="R108">
        <v>1</v>
      </c>
      <c r="S108">
        <v>1</v>
      </c>
      <c r="T108">
        <v>1</v>
      </c>
      <c r="U108">
        <v>1</v>
      </c>
    </row>
    <row r="109" spans="1:21" x14ac:dyDescent="0.25">
      <c r="A109">
        <v>125</v>
      </c>
      <c r="C109">
        <v>2</v>
      </c>
      <c r="D109">
        <v>1</v>
      </c>
      <c r="E109">
        <v>2</v>
      </c>
      <c r="F109">
        <v>1</v>
      </c>
      <c r="G109">
        <v>1</v>
      </c>
      <c r="H109">
        <v>1</v>
      </c>
      <c r="I109">
        <v>1</v>
      </c>
      <c r="J109">
        <v>1</v>
      </c>
      <c r="K109">
        <v>1</v>
      </c>
      <c r="L109">
        <v>1</v>
      </c>
      <c r="M109">
        <v>2</v>
      </c>
      <c r="N109" s="77">
        <v>3</v>
      </c>
      <c r="O109">
        <v>1</v>
      </c>
      <c r="P109">
        <v>1</v>
      </c>
      <c r="Q109">
        <v>1</v>
      </c>
      <c r="R109">
        <v>1</v>
      </c>
      <c r="S109">
        <v>1</v>
      </c>
      <c r="T109">
        <v>1</v>
      </c>
      <c r="U109">
        <v>1</v>
      </c>
    </row>
    <row r="110" spans="1:21" x14ac:dyDescent="0.25">
      <c r="A110">
        <v>126</v>
      </c>
      <c r="C110">
        <v>3</v>
      </c>
      <c r="D110">
        <v>1</v>
      </c>
      <c r="E110">
        <v>2</v>
      </c>
      <c r="F110">
        <v>1</v>
      </c>
      <c r="G110">
        <v>1</v>
      </c>
      <c r="H110">
        <v>1</v>
      </c>
      <c r="I110">
        <v>1</v>
      </c>
      <c r="J110">
        <v>1</v>
      </c>
      <c r="K110">
        <v>1</v>
      </c>
      <c r="L110">
        <v>1</v>
      </c>
      <c r="M110">
        <v>2</v>
      </c>
      <c r="N110" s="77">
        <v>3</v>
      </c>
      <c r="O110">
        <v>1</v>
      </c>
      <c r="P110">
        <v>1</v>
      </c>
      <c r="Q110">
        <v>1</v>
      </c>
      <c r="R110">
        <v>1</v>
      </c>
      <c r="S110">
        <v>1</v>
      </c>
      <c r="T110">
        <v>1</v>
      </c>
      <c r="U110">
        <v>1</v>
      </c>
    </row>
    <row r="111" spans="1:21" x14ac:dyDescent="0.25">
      <c r="A111">
        <v>127</v>
      </c>
      <c r="C111">
        <v>1</v>
      </c>
      <c r="D111">
        <v>1</v>
      </c>
      <c r="E111">
        <v>3</v>
      </c>
      <c r="F111">
        <v>1</v>
      </c>
      <c r="G111">
        <v>1</v>
      </c>
      <c r="H111">
        <v>1</v>
      </c>
      <c r="I111">
        <v>1</v>
      </c>
      <c r="J111">
        <v>1</v>
      </c>
      <c r="K111">
        <v>1</v>
      </c>
      <c r="L111">
        <v>1</v>
      </c>
      <c r="M111">
        <v>2</v>
      </c>
      <c r="N111" s="77">
        <v>3</v>
      </c>
      <c r="O111">
        <v>1</v>
      </c>
      <c r="P111">
        <v>1</v>
      </c>
      <c r="Q111">
        <v>1</v>
      </c>
      <c r="R111">
        <v>1</v>
      </c>
      <c r="S111">
        <v>1</v>
      </c>
      <c r="T111">
        <v>1</v>
      </c>
      <c r="U111">
        <v>1</v>
      </c>
    </row>
    <row r="112" spans="1:21" x14ac:dyDescent="0.25">
      <c r="A112">
        <v>128</v>
      </c>
      <c r="C112">
        <v>2</v>
      </c>
      <c r="D112">
        <v>1</v>
      </c>
      <c r="E112">
        <v>3</v>
      </c>
      <c r="F112">
        <v>1</v>
      </c>
      <c r="G112">
        <v>1</v>
      </c>
      <c r="H112">
        <v>1</v>
      </c>
      <c r="I112">
        <v>1</v>
      </c>
      <c r="J112">
        <v>1</v>
      </c>
      <c r="K112">
        <v>1</v>
      </c>
      <c r="L112">
        <v>1</v>
      </c>
      <c r="M112">
        <v>2</v>
      </c>
      <c r="N112" s="77">
        <v>3</v>
      </c>
      <c r="O112">
        <v>1</v>
      </c>
      <c r="P112">
        <v>1</v>
      </c>
      <c r="Q112">
        <v>1</v>
      </c>
      <c r="R112">
        <v>1</v>
      </c>
      <c r="S112">
        <v>1</v>
      </c>
      <c r="T112">
        <v>1</v>
      </c>
      <c r="U112">
        <v>1</v>
      </c>
    </row>
    <row r="113" spans="1:21" x14ac:dyDescent="0.25">
      <c r="A113">
        <v>129</v>
      </c>
      <c r="C113">
        <v>3</v>
      </c>
      <c r="D113">
        <v>1</v>
      </c>
      <c r="E113">
        <v>3</v>
      </c>
      <c r="F113">
        <v>1</v>
      </c>
      <c r="G113">
        <v>1</v>
      </c>
      <c r="H113">
        <v>1</v>
      </c>
      <c r="I113">
        <v>1</v>
      </c>
      <c r="J113">
        <v>1</v>
      </c>
      <c r="K113">
        <v>1</v>
      </c>
      <c r="L113">
        <v>1</v>
      </c>
      <c r="M113">
        <v>2</v>
      </c>
      <c r="N113" s="77">
        <v>3</v>
      </c>
      <c r="O113">
        <v>1</v>
      </c>
      <c r="P113">
        <v>1</v>
      </c>
      <c r="Q113">
        <v>1</v>
      </c>
      <c r="R113">
        <v>1</v>
      </c>
      <c r="S113">
        <v>1</v>
      </c>
      <c r="T113">
        <v>1</v>
      </c>
      <c r="U113">
        <v>1</v>
      </c>
    </row>
    <row r="114" spans="1:21" x14ac:dyDescent="0.25">
      <c r="A114">
        <v>130</v>
      </c>
      <c r="C114">
        <v>1</v>
      </c>
      <c r="D114">
        <v>1</v>
      </c>
      <c r="E114">
        <v>4</v>
      </c>
      <c r="F114">
        <v>1</v>
      </c>
      <c r="G114">
        <v>1</v>
      </c>
      <c r="H114">
        <v>1</v>
      </c>
      <c r="I114">
        <v>1</v>
      </c>
      <c r="J114">
        <v>1</v>
      </c>
      <c r="K114">
        <v>1</v>
      </c>
      <c r="L114">
        <v>1</v>
      </c>
      <c r="M114">
        <v>2</v>
      </c>
      <c r="N114" s="77">
        <v>3</v>
      </c>
      <c r="O114">
        <v>1</v>
      </c>
      <c r="P114">
        <v>1</v>
      </c>
      <c r="Q114">
        <v>1</v>
      </c>
      <c r="R114">
        <v>1</v>
      </c>
      <c r="S114">
        <v>1</v>
      </c>
      <c r="T114">
        <v>1</v>
      </c>
      <c r="U114">
        <v>1</v>
      </c>
    </row>
    <row r="115" spans="1:21" x14ac:dyDescent="0.25">
      <c r="A115">
        <v>131</v>
      </c>
      <c r="C115">
        <v>2</v>
      </c>
      <c r="D115">
        <v>1</v>
      </c>
      <c r="E115">
        <v>4</v>
      </c>
      <c r="F115">
        <v>1</v>
      </c>
      <c r="G115">
        <v>1</v>
      </c>
      <c r="H115">
        <v>1</v>
      </c>
      <c r="I115">
        <v>1</v>
      </c>
      <c r="J115">
        <v>1</v>
      </c>
      <c r="K115">
        <v>1</v>
      </c>
      <c r="L115">
        <v>1</v>
      </c>
      <c r="M115">
        <v>2</v>
      </c>
      <c r="N115" s="77">
        <v>3</v>
      </c>
      <c r="O115">
        <v>1</v>
      </c>
      <c r="P115">
        <v>1</v>
      </c>
      <c r="Q115">
        <v>1</v>
      </c>
      <c r="R115">
        <v>1</v>
      </c>
      <c r="S115">
        <v>1</v>
      </c>
      <c r="T115">
        <v>1</v>
      </c>
      <c r="U115">
        <v>1</v>
      </c>
    </row>
    <row r="116" spans="1:21" x14ac:dyDescent="0.25">
      <c r="A116">
        <v>132</v>
      </c>
      <c r="C116">
        <v>3</v>
      </c>
      <c r="D116">
        <v>1</v>
      </c>
      <c r="E116">
        <v>4</v>
      </c>
      <c r="F116">
        <v>1</v>
      </c>
      <c r="G116">
        <v>1</v>
      </c>
      <c r="H116">
        <v>1</v>
      </c>
      <c r="I116">
        <v>1</v>
      </c>
      <c r="J116">
        <v>1</v>
      </c>
      <c r="K116">
        <v>1</v>
      </c>
      <c r="L116">
        <v>1</v>
      </c>
      <c r="M116">
        <v>2</v>
      </c>
      <c r="N116" s="77">
        <v>3</v>
      </c>
      <c r="O116">
        <v>1</v>
      </c>
      <c r="P116">
        <v>1</v>
      </c>
      <c r="Q116">
        <v>1</v>
      </c>
      <c r="R116">
        <v>1</v>
      </c>
      <c r="S116">
        <v>1</v>
      </c>
      <c r="T116">
        <v>1</v>
      </c>
      <c r="U116">
        <v>1</v>
      </c>
    </row>
    <row r="117" spans="1:21" x14ac:dyDescent="0.25">
      <c r="A117">
        <v>133</v>
      </c>
      <c r="C117">
        <v>1</v>
      </c>
      <c r="D117">
        <v>1</v>
      </c>
      <c r="E117">
        <v>1</v>
      </c>
      <c r="F117">
        <v>1</v>
      </c>
      <c r="G117">
        <v>1</v>
      </c>
      <c r="H117">
        <v>1</v>
      </c>
      <c r="I117">
        <v>1</v>
      </c>
      <c r="J117">
        <v>1</v>
      </c>
      <c r="K117">
        <v>1</v>
      </c>
      <c r="L117">
        <v>2</v>
      </c>
      <c r="M117">
        <v>2</v>
      </c>
      <c r="N117" s="77">
        <v>3</v>
      </c>
      <c r="O117">
        <v>1</v>
      </c>
      <c r="P117">
        <v>1</v>
      </c>
      <c r="Q117">
        <v>1</v>
      </c>
      <c r="R117">
        <v>1</v>
      </c>
      <c r="S117">
        <v>1</v>
      </c>
      <c r="T117">
        <v>1</v>
      </c>
      <c r="U117">
        <v>1</v>
      </c>
    </row>
    <row r="118" spans="1:21" x14ac:dyDescent="0.25">
      <c r="A118">
        <v>134</v>
      </c>
      <c r="C118">
        <v>2</v>
      </c>
      <c r="D118">
        <v>1</v>
      </c>
      <c r="E118">
        <v>1</v>
      </c>
      <c r="F118">
        <v>1</v>
      </c>
      <c r="G118">
        <v>1</v>
      </c>
      <c r="H118">
        <v>1</v>
      </c>
      <c r="I118">
        <v>1</v>
      </c>
      <c r="J118">
        <v>1</v>
      </c>
      <c r="K118">
        <v>1</v>
      </c>
      <c r="L118">
        <v>2</v>
      </c>
      <c r="M118">
        <v>2</v>
      </c>
      <c r="N118" s="77">
        <v>3</v>
      </c>
      <c r="O118">
        <v>1</v>
      </c>
      <c r="P118">
        <v>1</v>
      </c>
      <c r="Q118">
        <v>1</v>
      </c>
      <c r="R118">
        <v>1</v>
      </c>
      <c r="S118">
        <v>1</v>
      </c>
      <c r="T118">
        <v>1</v>
      </c>
      <c r="U118">
        <v>1</v>
      </c>
    </row>
    <row r="119" spans="1:21" x14ac:dyDescent="0.25">
      <c r="A119">
        <v>135</v>
      </c>
      <c r="C119">
        <v>3</v>
      </c>
      <c r="D119">
        <v>1</v>
      </c>
      <c r="E119">
        <v>1</v>
      </c>
      <c r="F119">
        <v>1</v>
      </c>
      <c r="G119">
        <v>1</v>
      </c>
      <c r="H119">
        <v>1</v>
      </c>
      <c r="I119">
        <v>1</v>
      </c>
      <c r="J119">
        <v>1</v>
      </c>
      <c r="K119">
        <v>1</v>
      </c>
      <c r="L119">
        <v>2</v>
      </c>
      <c r="M119">
        <v>2</v>
      </c>
      <c r="N119" s="77">
        <v>3</v>
      </c>
      <c r="O119">
        <v>1</v>
      </c>
      <c r="P119">
        <v>1</v>
      </c>
      <c r="Q119">
        <v>1</v>
      </c>
      <c r="R119">
        <v>1</v>
      </c>
      <c r="S119">
        <v>1</v>
      </c>
      <c r="T119">
        <v>1</v>
      </c>
      <c r="U119">
        <v>1</v>
      </c>
    </row>
    <row r="120" spans="1:21" x14ac:dyDescent="0.25">
      <c r="A120">
        <v>136</v>
      </c>
      <c r="C120">
        <v>1</v>
      </c>
      <c r="D120">
        <v>1</v>
      </c>
      <c r="E120">
        <v>2</v>
      </c>
      <c r="F120">
        <v>1</v>
      </c>
      <c r="G120">
        <v>1</v>
      </c>
      <c r="H120">
        <v>1</v>
      </c>
      <c r="I120">
        <v>1</v>
      </c>
      <c r="J120">
        <v>1</v>
      </c>
      <c r="K120">
        <v>1</v>
      </c>
      <c r="L120">
        <v>2</v>
      </c>
      <c r="M120">
        <v>2</v>
      </c>
      <c r="N120" s="77">
        <v>3</v>
      </c>
      <c r="O120">
        <v>1</v>
      </c>
      <c r="P120">
        <v>1</v>
      </c>
      <c r="Q120">
        <v>1</v>
      </c>
      <c r="R120">
        <v>1</v>
      </c>
      <c r="S120">
        <v>1</v>
      </c>
      <c r="T120">
        <v>1</v>
      </c>
      <c r="U120">
        <v>1</v>
      </c>
    </row>
    <row r="121" spans="1:21" x14ac:dyDescent="0.25">
      <c r="A121">
        <v>137</v>
      </c>
      <c r="C121">
        <v>2</v>
      </c>
      <c r="D121">
        <v>1</v>
      </c>
      <c r="E121">
        <v>2</v>
      </c>
      <c r="F121">
        <v>1</v>
      </c>
      <c r="G121">
        <v>1</v>
      </c>
      <c r="H121">
        <v>1</v>
      </c>
      <c r="I121">
        <v>1</v>
      </c>
      <c r="J121">
        <v>1</v>
      </c>
      <c r="K121">
        <v>1</v>
      </c>
      <c r="L121">
        <v>2</v>
      </c>
      <c r="M121">
        <v>2</v>
      </c>
      <c r="N121" s="77">
        <v>3</v>
      </c>
      <c r="O121">
        <v>1</v>
      </c>
      <c r="P121">
        <v>1</v>
      </c>
      <c r="Q121">
        <v>1</v>
      </c>
      <c r="R121">
        <v>1</v>
      </c>
      <c r="S121">
        <v>1</v>
      </c>
      <c r="T121">
        <v>1</v>
      </c>
      <c r="U121">
        <v>1</v>
      </c>
    </row>
    <row r="122" spans="1:21" x14ac:dyDescent="0.25">
      <c r="A122">
        <v>138</v>
      </c>
      <c r="C122">
        <v>3</v>
      </c>
      <c r="D122">
        <v>1</v>
      </c>
      <c r="E122">
        <v>2</v>
      </c>
      <c r="F122">
        <v>1</v>
      </c>
      <c r="G122">
        <v>1</v>
      </c>
      <c r="H122">
        <v>1</v>
      </c>
      <c r="I122">
        <v>1</v>
      </c>
      <c r="J122">
        <v>1</v>
      </c>
      <c r="K122">
        <v>1</v>
      </c>
      <c r="L122">
        <v>2</v>
      </c>
      <c r="M122">
        <v>2</v>
      </c>
      <c r="N122" s="77">
        <v>3</v>
      </c>
      <c r="O122">
        <v>1</v>
      </c>
      <c r="P122">
        <v>1</v>
      </c>
      <c r="Q122">
        <v>1</v>
      </c>
      <c r="R122">
        <v>1</v>
      </c>
      <c r="S122">
        <v>1</v>
      </c>
      <c r="T122">
        <v>1</v>
      </c>
      <c r="U122">
        <v>1</v>
      </c>
    </row>
    <row r="123" spans="1:21" x14ac:dyDescent="0.25">
      <c r="A123">
        <v>139</v>
      </c>
      <c r="C123">
        <v>1</v>
      </c>
      <c r="D123">
        <v>1</v>
      </c>
      <c r="E123">
        <v>3</v>
      </c>
      <c r="F123">
        <v>1</v>
      </c>
      <c r="G123">
        <v>1</v>
      </c>
      <c r="H123">
        <v>1</v>
      </c>
      <c r="I123">
        <v>1</v>
      </c>
      <c r="J123">
        <v>1</v>
      </c>
      <c r="K123">
        <v>1</v>
      </c>
      <c r="L123">
        <v>2</v>
      </c>
      <c r="M123">
        <v>2</v>
      </c>
      <c r="N123" s="77">
        <v>3</v>
      </c>
      <c r="O123">
        <v>1</v>
      </c>
      <c r="P123">
        <v>1</v>
      </c>
      <c r="Q123">
        <v>1</v>
      </c>
      <c r="R123">
        <v>1</v>
      </c>
      <c r="S123">
        <v>1</v>
      </c>
      <c r="T123">
        <v>1</v>
      </c>
      <c r="U123">
        <v>1</v>
      </c>
    </row>
    <row r="124" spans="1:21" x14ac:dyDescent="0.25">
      <c r="A124">
        <v>140</v>
      </c>
      <c r="C124">
        <v>2</v>
      </c>
      <c r="D124">
        <v>1</v>
      </c>
      <c r="E124">
        <v>3</v>
      </c>
      <c r="F124">
        <v>1</v>
      </c>
      <c r="G124">
        <v>1</v>
      </c>
      <c r="H124">
        <v>1</v>
      </c>
      <c r="I124">
        <v>1</v>
      </c>
      <c r="J124">
        <v>1</v>
      </c>
      <c r="K124">
        <v>1</v>
      </c>
      <c r="L124">
        <v>2</v>
      </c>
      <c r="M124">
        <v>2</v>
      </c>
      <c r="N124" s="77">
        <v>3</v>
      </c>
      <c r="O124">
        <v>1</v>
      </c>
      <c r="P124">
        <v>1</v>
      </c>
      <c r="Q124">
        <v>1</v>
      </c>
      <c r="R124">
        <v>1</v>
      </c>
      <c r="S124">
        <v>1</v>
      </c>
      <c r="T124">
        <v>1</v>
      </c>
      <c r="U124">
        <v>1</v>
      </c>
    </row>
    <row r="125" spans="1:21" x14ac:dyDescent="0.25">
      <c r="A125">
        <v>141</v>
      </c>
      <c r="C125">
        <v>3</v>
      </c>
      <c r="D125">
        <v>1</v>
      </c>
      <c r="E125">
        <v>3</v>
      </c>
      <c r="F125">
        <v>1</v>
      </c>
      <c r="G125">
        <v>1</v>
      </c>
      <c r="H125">
        <v>1</v>
      </c>
      <c r="I125">
        <v>1</v>
      </c>
      <c r="J125">
        <v>1</v>
      </c>
      <c r="K125">
        <v>1</v>
      </c>
      <c r="L125">
        <v>2</v>
      </c>
      <c r="M125">
        <v>2</v>
      </c>
      <c r="N125" s="77">
        <v>3</v>
      </c>
      <c r="O125">
        <v>1</v>
      </c>
      <c r="P125">
        <v>1</v>
      </c>
      <c r="Q125">
        <v>1</v>
      </c>
      <c r="R125">
        <v>1</v>
      </c>
      <c r="S125">
        <v>1</v>
      </c>
      <c r="T125">
        <v>1</v>
      </c>
      <c r="U125">
        <v>1</v>
      </c>
    </row>
    <row r="126" spans="1:21" x14ac:dyDescent="0.25">
      <c r="A126">
        <v>142</v>
      </c>
      <c r="C126">
        <v>1</v>
      </c>
      <c r="D126">
        <v>1</v>
      </c>
      <c r="E126">
        <v>4</v>
      </c>
      <c r="F126">
        <v>1</v>
      </c>
      <c r="G126">
        <v>1</v>
      </c>
      <c r="H126">
        <v>1</v>
      </c>
      <c r="I126">
        <v>1</v>
      </c>
      <c r="J126">
        <v>1</v>
      </c>
      <c r="K126">
        <v>1</v>
      </c>
      <c r="L126">
        <v>2</v>
      </c>
      <c r="M126">
        <v>2</v>
      </c>
      <c r="N126" s="77">
        <v>3</v>
      </c>
      <c r="O126">
        <v>1</v>
      </c>
      <c r="P126">
        <v>1</v>
      </c>
      <c r="Q126">
        <v>1</v>
      </c>
      <c r="R126">
        <v>1</v>
      </c>
      <c r="S126">
        <v>1</v>
      </c>
      <c r="T126">
        <v>1</v>
      </c>
      <c r="U126">
        <v>1</v>
      </c>
    </row>
    <row r="127" spans="1:21" x14ac:dyDescent="0.25">
      <c r="A127">
        <v>143</v>
      </c>
      <c r="C127">
        <v>2</v>
      </c>
      <c r="D127">
        <v>1</v>
      </c>
      <c r="E127">
        <v>4</v>
      </c>
      <c r="F127">
        <v>1</v>
      </c>
      <c r="G127">
        <v>1</v>
      </c>
      <c r="H127">
        <v>1</v>
      </c>
      <c r="I127">
        <v>1</v>
      </c>
      <c r="J127">
        <v>1</v>
      </c>
      <c r="K127">
        <v>1</v>
      </c>
      <c r="L127">
        <v>2</v>
      </c>
      <c r="M127">
        <v>2</v>
      </c>
      <c r="N127" s="77">
        <v>3</v>
      </c>
      <c r="O127">
        <v>1</v>
      </c>
      <c r="P127">
        <v>1</v>
      </c>
      <c r="Q127">
        <v>1</v>
      </c>
      <c r="R127">
        <v>1</v>
      </c>
      <c r="S127">
        <v>1</v>
      </c>
      <c r="T127">
        <v>1</v>
      </c>
      <c r="U127">
        <v>1</v>
      </c>
    </row>
    <row r="128" spans="1:21" x14ac:dyDescent="0.25">
      <c r="A128">
        <v>144</v>
      </c>
      <c r="C128">
        <v>3</v>
      </c>
      <c r="D128">
        <v>1</v>
      </c>
      <c r="E128">
        <v>4</v>
      </c>
      <c r="F128">
        <v>1</v>
      </c>
      <c r="G128">
        <v>1</v>
      </c>
      <c r="H128">
        <v>1</v>
      </c>
      <c r="I128">
        <v>1</v>
      </c>
      <c r="J128">
        <v>1</v>
      </c>
      <c r="K128">
        <v>1</v>
      </c>
      <c r="L128">
        <v>2</v>
      </c>
      <c r="M128">
        <v>2</v>
      </c>
      <c r="N128" s="77">
        <v>3</v>
      </c>
      <c r="O128">
        <v>1</v>
      </c>
      <c r="P128">
        <v>1</v>
      </c>
      <c r="Q128">
        <v>1</v>
      </c>
      <c r="R128">
        <v>1</v>
      </c>
      <c r="S128">
        <v>1</v>
      </c>
      <c r="T128">
        <v>1</v>
      </c>
      <c r="U128">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D29"/>
  <sheetViews>
    <sheetView workbookViewId="0">
      <selection activeCell="C11" sqref="C11"/>
    </sheetView>
  </sheetViews>
  <sheetFormatPr defaultRowHeight="15" x14ac:dyDescent="0.25"/>
  <cols>
    <col min="1" max="1" width="16.5703125" style="72" bestFit="1" customWidth="1"/>
    <col min="2" max="2" width="24.28515625" style="72" bestFit="1" customWidth="1"/>
    <col min="3" max="3" width="135.7109375" style="72" customWidth="1"/>
    <col min="4" max="4" width="9.140625" style="92"/>
    <col min="5" max="7" width="9.140625" style="72"/>
    <col min="8" max="8" width="20.7109375" style="72" bestFit="1" customWidth="1"/>
    <col min="9" max="16384" width="9.140625" style="72"/>
  </cols>
  <sheetData>
    <row r="1" spans="1:4" ht="15.75" thickBot="1" x14ac:dyDescent="0.3"/>
    <row r="2" spans="1:4" ht="45.75" thickTop="1" x14ac:dyDescent="0.25">
      <c r="B2" s="96" t="s">
        <v>360</v>
      </c>
      <c r="C2" s="98" t="s">
        <v>1074</v>
      </c>
    </row>
    <row r="3" spans="1:4" ht="153.75" customHeight="1" thickBot="1" x14ac:dyDescent="0.3">
      <c r="B3" s="102" t="s">
        <v>860</v>
      </c>
      <c r="C3" s="108" t="s">
        <v>1076</v>
      </c>
    </row>
    <row r="4" spans="1:4" ht="15.75" thickTop="1" x14ac:dyDescent="0.25"/>
    <row r="5" spans="1:4" s="25" customFormat="1" ht="15.75" thickBot="1" x14ac:dyDescent="0.3">
      <c r="A5" s="75" t="s">
        <v>1048</v>
      </c>
      <c r="B5" s="75" t="s">
        <v>1049</v>
      </c>
      <c r="C5" s="75" t="s">
        <v>1050</v>
      </c>
      <c r="D5" s="91"/>
    </row>
    <row r="6" spans="1:4" ht="15.75" thickTop="1" x14ac:dyDescent="0.25">
      <c r="A6" s="96">
        <v>1</v>
      </c>
      <c r="B6" s="97" t="s">
        <v>366</v>
      </c>
      <c r="C6" s="98" t="s">
        <v>1051</v>
      </c>
    </row>
    <row r="7" spans="1:4" x14ac:dyDescent="0.25">
      <c r="A7" s="99">
        <v>2</v>
      </c>
      <c r="B7" s="100" t="s">
        <v>1052</v>
      </c>
      <c r="C7" s="101" t="s">
        <v>1054</v>
      </c>
    </row>
    <row r="8" spans="1:4" ht="30" x14ac:dyDescent="0.25">
      <c r="A8" s="99">
        <v>3</v>
      </c>
      <c r="B8" s="100" t="s">
        <v>368</v>
      </c>
      <c r="C8" s="101" t="s">
        <v>1068</v>
      </c>
    </row>
    <row r="9" spans="1:4" ht="45" x14ac:dyDescent="0.25">
      <c r="A9" s="99">
        <v>4</v>
      </c>
      <c r="B9" s="100" t="s">
        <v>369</v>
      </c>
      <c r="C9" s="103" t="s">
        <v>1056</v>
      </c>
      <c r="D9" s="92" t="s">
        <v>1055</v>
      </c>
    </row>
    <row r="10" spans="1:4" ht="30" x14ac:dyDescent="0.25">
      <c r="A10" s="99">
        <v>5</v>
      </c>
      <c r="B10" s="100" t="s">
        <v>862</v>
      </c>
      <c r="C10" s="101" t="s">
        <v>1070</v>
      </c>
    </row>
    <row r="11" spans="1:4" ht="168" customHeight="1" x14ac:dyDescent="0.25">
      <c r="A11" s="99">
        <v>6</v>
      </c>
      <c r="B11" s="100" t="s">
        <v>487</v>
      </c>
      <c r="C11" s="106" t="s">
        <v>1075</v>
      </c>
    </row>
    <row r="12" spans="1:4" ht="30" x14ac:dyDescent="0.25">
      <c r="A12" s="99">
        <v>7</v>
      </c>
      <c r="B12" s="100" t="s">
        <v>371</v>
      </c>
      <c r="C12" s="101" t="s">
        <v>1058</v>
      </c>
    </row>
    <row r="13" spans="1:4" ht="30" x14ac:dyDescent="0.25">
      <c r="A13" s="99">
        <v>8</v>
      </c>
      <c r="B13" s="100" t="s">
        <v>372</v>
      </c>
      <c r="C13" s="101" t="s">
        <v>1069</v>
      </c>
      <c r="D13" s="92" t="s">
        <v>1057</v>
      </c>
    </row>
    <row r="14" spans="1:4" ht="45" x14ac:dyDescent="0.25">
      <c r="A14" s="99">
        <v>9</v>
      </c>
      <c r="B14" s="100" t="s">
        <v>373</v>
      </c>
      <c r="C14" s="101" t="s">
        <v>1072</v>
      </c>
    </row>
    <row r="15" spans="1:4" x14ac:dyDescent="0.25">
      <c r="A15" s="99">
        <v>10</v>
      </c>
      <c r="B15" s="100" t="s">
        <v>374</v>
      </c>
      <c r="C15" s="103" t="s">
        <v>174</v>
      </c>
    </row>
    <row r="16" spans="1:4" ht="30" x14ac:dyDescent="0.25">
      <c r="A16" s="99">
        <v>11</v>
      </c>
      <c r="B16" s="100" t="s">
        <v>971</v>
      </c>
      <c r="C16" s="101" t="s">
        <v>1073</v>
      </c>
    </row>
    <row r="17" spans="1:3" x14ac:dyDescent="0.25">
      <c r="A17" s="99">
        <v>12</v>
      </c>
      <c r="B17" s="100" t="s">
        <v>517</v>
      </c>
      <c r="C17" s="107" t="s">
        <v>1071</v>
      </c>
    </row>
    <row r="18" spans="1:3" x14ac:dyDescent="0.25">
      <c r="A18" s="99">
        <v>13</v>
      </c>
      <c r="B18" s="100" t="s">
        <v>545</v>
      </c>
      <c r="C18" s="101" t="s">
        <v>1059</v>
      </c>
    </row>
    <row r="19" spans="1:3" x14ac:dyDescent="0.25">
      <c r="A19" s="99">
        <v>14</v>
      </c>
      <c r="B19" s="100" t="s">
        <v>808</v>
      </c>
      <c r="C19" s="101" t="s">
        <v>1064</v>
      </c>
    </row>
    <row r="20" spans="1:3" x14ac:dyDescent="0.25">
      <c r="A20" s="99">
        <v>15</v>
      </c>
      <c r="B20" s="100" t="s">
        <v>550</v>
      </c>
      <c r="C20" s="101" t="s">
        <v>1063</v>
      </c>
    </row>
    <row r="21" spans="1:3" x14ac:dyDescent="0.25">
      <c r="A21" s="99">
        <v>16</v>
      </c>
      <c r="B21" s="100" t="s">
        <v>981</v>
      </c>
      <c r="C21" s="101" t="s">
        <v>1065</v>
      </c>
    </row>
    <row r="22" spans="1:3" ht="45" x14ac:dyDescent="0.25">
      <c r="A22" s="99">
        <v>17</v>
      </c>
      <c r="B22" s="100" t="s">
        <v>1053</v>
      </c>
      <c r="C22" s="101" t="s">
        <v>1066</v>
      </c>
    </row>
    <row r="23" spans="1:3" ht="45.75" thickBot="1" x14ac:dyDescent="0.3">
      <c r="A23" s="109">
        <v>18</v>
      </c>
      <c r="B23" s="110" t="s">
        <v>983</v>
      </c>
      <c r="C23" s="111" t="s">
        <v>1067</v>
      </c>
    </row>
    <row r="24" spans="1:3" ht="16.5" thickTop="1" thickBot="1" x14ac:dyDescent="0.3">
      <c r="A24" s="114"/>
      <c r="B24" s="113"/>
      <c r="C24" s="113"/>
    </row>
    <row r="25" spans="1:3" ht="16.5" thickTop="1" thickBot="1" x14ac:dyDescent="0.3">
      <c r="A25" s="116"/>
      <c r="B25" s="115" t="s">
        <v>1078</v>
      </c>
      <c r="C25" s="112" t="s">
        <v>1077</v>
      </c>
    </row>
    <row r="26" spans="1:3" ht="15.75" thickTop="1" x14ac:dyDescent="0.25"/>
    <row r="29" spans="1:3" x14ac:dyDescent="0.25">
      <c r="C29" s="95" t="s">
        <v>1060</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28"/>
  <sheetViews>
    <sheetView topLeftCell="A10" workbookViewId="0">
      <selection activeCell="A28" sqref="A28"/>
    </sheetView>
  </sheetViews>
  <sheetFormatPr defaultRowHeight="15" x14ac:dyDescent="0.25"/>
  <cols>
    <col min="1" max="1" width="16.5703125" style="72" bestFit="1" customWidth="1"/>
    <col min="2" max="2" width="24.28515625" style="72" bestFit="1" customWidth="1"/>
    <col min="3" max="3" width="135.7109375" style="72" customWidth="1"/>
    <col min="4" max="4" width="9.140625" style="92"/>
    <col min="5" max="7" width="9.140625" style="72"/>
    <col min="8" max="8" width="20.7109375" style="72" bestFit="1" customWidth="1"/>
    <col min="9" max="16384" width="9.140625" style="72"/>
  </cols>
  <sheetData>
    <row r="1" spans="1:4" ht="15.75" thickBot="1" x14ac:dyDescent="0.3"/>
    <row r="2" spans="1:4" ht="46.5" thickTop="1" thickBot="1" x14ac:dyDescent="0.3">
      <c r="B2" s="117" t="s">
        <v>360</v>
      </c>
      <c r="C2" s="118" t="s">
        <v>1074</v>
      </c>
    </row>
    <row r="3" spans="1:4" ht="15.75" thickTop="1" x14ac:dyDescent="0.25"/>
    <row r="4" spans="1:4" s="25" customFormat="1" ht="15.75" thickBot="1" x14ac:dyDescent="0.3">
      <c r="A4" s="75" t="s">
        <v>1048</v>
      </c>
      <c r="B4" s="75" t="s">
        <v>1049</v>
      </c>
      <c r="C4" s="75" t="s">
        <v>1050</v>
      </c>
      <c r="D4" s="91"/>
    </row>
    <row r="5" spans="1:4" ht="15.75" thickTop="1" x14ac:dyDescent="0.25">
      <c r="A5" s="96">
        <v>1</v>
      </c>
      <c r="B5" s="97" t="s">
        <v>366</v>
      </c>
      <c r="C5" s="98" t="s">
        <v>1051</v>
      </c>
    </row>
    <row r="6" spans="1:4" x14ac:dyDescent="0.25">
      <c r="A6" s="99">
        <v>2</v>
      </c>
      <c r="B6" s="100" t="s">
        <v>1052</v>
      </c>
      <c r="C6" s="101" t="s">
        <v>1054</v>
      </c>
    </row>
    <row r="7" spans="1:4" ht="30" x14ac:dyDescent="0.25">
      <c r="A7" s="99">
        <v>3</v>
      </c>
      <c r="B7" s="100" t="s">
        <v>368</v>
      </c>
      <c r="C7" s="101" t="s">
        <v>1068</v>
      </c>
    </row>
    <row r="8" spans="1:4" ht="30" x14ac:dyDescent="0.25">
      <c r="A8" s="99">
        <v>4</v>
      </c>
      <c r="B8" s="100" t="s">
        <v>369</v>
      </c>
      <c r="C8" s="103" t="s">
        <v>1079</v>
      </c>
      <c r="D8" s="92" t="s">
        <v>1055</v>
      </c>
    </row>
    <row r="9" spans="1:4" ht="30" x14ac:dyDescent="0.25">
      <c r="A9" s="99">
        <v>5</v>
      </c>
      <c r="B9" s="100" t="s">
        <v>862</v>
      </c>
      <c r="C9" s="101" t="s">
        <v>1070</v>
      </c>
    </row>
    <row r="10" spans="1:4" ht="168" customHeight="1" x14ac:dyDescent="0.25">
      <c r="A10" s="99">
        <v>6</v>
      </c>
      <c r="B10" s="100" t="s">
        <v>487</v>
      </c>
      <c r="C10" s="106" t="s">
        <v>1075</v>
      </c>
    </row>
    <row r="11" spans="1:4" ht="30" x14ac:dyDescent="0.25">
      <c r="A11" s="99">
        <v>7</v>
      </c>
      <c r="B11" s="100" t="s">
        <v>371</v>
      </c>
      <c r="C11" s="101" t="s">
        <v>1058</v>
      </c>
    </row>
    <row r="12" spans="1:4" ht="30" x14ac:dyDescent="0.25">
      <c r="A12" s="99">
        <v>8</v>
      </c>
      <c r="B12" s="100" t="s">
        <v>372</v>
      </c>
      <c r="C12" s="101" t="s">
        <v>1069</v>
      </c>
      <c r="D12" s="92" t="s">
        <v>1057</v>
      </c>
    </row>
    <row r="13" spans="1:4" ht="45" x14ac:dyDescent="0.25">
      <c r="A13" s="99">
        <v>9</v>
      </c>
      <c r="B13" s="100" t="s">
        <v>373</v>
      </c>
      <c r="C13" s="101" t="s">
        <v>1072</v>
      </c>
    </row>
    <row r="14" spans="1:4" x14ac:dyDescent="0.25">
      <c r="A14" s="99">
        <v>10</v>
      </c>
      <c r="B14" s="100" t="s">
        <v>374</v>
      </c>
      <c r="C14" s="103" t="s">
        <v>174</v>
      </c>
    </row>
    <row r="15" spans="1:4" ht="30" x14ac:dyDescent="0.25">
      <c r="A15" s="99">
        <v>11</v>
      </c>
      <c r="B15" s="100" t="s">
        <v>971</v>
      </c>
      <c r="C15" s="101" t="s">
        <v>1073</v>
      </c>
    </row>
    <row r="16" spans="1:4" x14ac:dyDescent="0.25">
      <c r="A16" s="99">
        <v>12</v>
      </c>
      <c r="B16" s="100" t="s">
        <v>517</v>
      </c>
      <c r="C16" s="107" t="s">
        <v>1071</v>
      </c>
    </row>
    <row r="17" spans="1:3" x14ac:dyDescent="0.25">
      <c r="A17" s="99">
        <v>13</v>
      </c>
      <c r="B17" s="100" t="s">
        <v>545</v>
      </c>
      <c r="C17" s="101" t="s">
        <v>1059</v>
      </c>
    </row>
    <row r="18" spans="1:3" x14ac:dyDescent="0.25">
      <c r="A18" s="99">
        <v>14</v>
      </c>
      <c r="B18" s="100" t="s">
        <v>808</v>
      </c>
      <c r="C18" s="101" t="s">
        <v>1064</v>
      </c>
    </row>
    <row r="19" spans="1:3" x14ac:dyDescent="0.25">
      <c r="A19" s="99">
        <v>15</v>
      </c>
      <c r="B19" s="100" t="s">
        <v>550</v>
      </c>
      <c r="C19" s="101" t="s">
        <v>1063</v>
      </c>
    </row>
    <row r="20" spans="1:3" x14ac:dyDescent="0.25">
      <c r="A20" s="99">
        <v>16</v>
      </c>
      <c r="B20" s="100" t="s">
        <v>981</v>
      </c>
      <c r="C20" s="101" t="s">
        <v>1065</v>
      </c>
    </row>
    <row r="21" spans="1:3" ht="45" x14ac:dyDescent="0.25">
      <c r="A21" s="99">
        <v>17</v>
      </c>
      <c r="B21" s="100" t="s">
        <v>1053</v>
      </c>
      <c r="C21" s="101" t="s">
        <v>1066</v>
      </c>
    </row>
    <row r="22" spans="1:3" ht="45.75" thickBot="1" x14ac:dyDescent="0.3">
      <c r="A22" s="109">
        <v>18</v>
      </c>
      <c r="B22" s="110" t="s">
        <v>983</v>
      </c>
      <c r="C22" s="111" t="s">
        <v>1067</v>
      </c>
    </row>
    <row r="23" spans="1:3" ht="16.5" thickTop="1" thickBot="1" x14ac:dyDescent="0.3">
      <c r="A23" s="114"/>
      <c r="B23" s="113"/>
      <c r="C23" s="113"/>
    </row>
    <row r="24" spans="1:3" ht="16.5" thickTop="1" thickBot="1" x14ac:dyDescent="0.3">
      <c r="A24" s="116"/>
      <c r="B24" s="115" t="s">
        <v>1078</v>
      </c>
      <c r="C24" s="112" t="s">
        <v>1077</v>
      </c>
    </row>
    <row r="25" spans="1:3" ht="15.75" thickTop="1" x14ac:dyDescent="0.25"/>
    <row r="28" spans="1:3" x14ac:dyDescent="0.25">
      <c r="C28" s="95" t="s">
        <v>1060</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F22"/>
  <sheetViews>
    <sheetView workbookViewId="0">
      <selection activeCell="F10" sqref="F10:F12"/>
    </sheetView>
  </sheetViews>
  <sheetFormatPr defaultRowHeight="15" x14ac:dyDescent="0.25"/>
  <cols>
    <col min="1" max="1" width="24.28515625" style="77" bestFit="1" customWidth="1"/>
    <col min="2" max="2" width="2.85546875" style="77" customWidth="1"/>
    <col min="3" max="3" width="30" style="82" bestFit="1" customWidth="1"/>
    <col min="4" max="4" width="8.28515625" style="83" bestFit="1" customWidth="1"/>
    <col min="5" max="16384" width="9.140625" style="77"/>
  </cols>
  <sheetData>
    <row r="1" spans="1:6" ht="15.75" thickTop="1" x14ac:dyDescent="0.25">
      <c r="C1" s="78" t="s">
        <v>1</v>
      </c>
      <c r="D1" s="79" t="s">
        <v>956</v>
      </c>
    </row>
    <row r="2" spans="1:6" ht="30.75" thickBot="1" x14ac:dyDescent="0.3">
      <c r="C2" s="80" t="s">
        <v>815</v>
      </c>
      <c r="D2" s="81" t="s">
        <v>957</v>
      </c>
    </row>
    <row r="3" spans="1:6" x14ac:dyDescent="0.25">
      <c r="A3" s="77" t="s">
        <v>366</v>
      </c>
      <c r="B3" s="77">
        <v>1</v>
      </c>
      <c r="C3" s="82" t="s">
        <v>958</v>
      </c>
      <c r="D3" s="83" t="s">
        <v>506</v>
      </c>
    </row>
    <row r="4" spans="1:6" x14ac:dyDescent="0.25">
      <c r="A4" s="77" t="s">
        <v>366</v>
      </c>
      <c r="B4" s="77">
        <v>1</v>
      </c>
      <c r="C4" s="82" t="s">
        <v>799</v>
      </c>
      <c r="D4" s="83" t="s">
        <v>500</v>
      </c>
    </row>
    <row r="5" spans="1:6" x14ac:dyDescent="0.25">
      <c r="A5" s="84" t="s">
        <v>866</v>
      </c>
      <c r="B5" s="77">
        <v>2</v>
      </c>
      <c r="C5" s="82" t="s">
        <v>959</v>
      </c>
      <c r="D5" s="83" t="s">
        <v>498</v>
      </c>
    </row>
    <row r="6" spans="1:6" x14ac:dyDescent="0.25">
      <c r="A6" s="84" t="s">
        <v>960</v>
      </c>
      <c r="B6" s="77">
        <v>3</v>
      </c>
      <c r="C6" s="82" t="s">
        <v>961</v>
      </c>
      <c r="D6" s="83">
        <v>1</v>
      </c>
    </row>
    <row r="7" spans="1:6" x14ac:dyDescent="0.25">
      <c r="A7" s="84" t="s">
        <v>960</v>
      </c>
      <c r="B7" s="77">
        <v>3</v>
      </c>
      <c r="C7" s="82" t="s">
        <v>962</v>
      </c>
      <c r="D7" s="83">
        <v>2</v>
      </c>
    </row>
    <row r="8" spans="1:6" x14ac:dyDescent="0.25">
      <c r="A8" s="84" t="s">
        <v>963</v>
      </c>
      <c r="B8" s="77">
        <v>4</v>
      </c>
      <c r="C8" s="82" t="s">
        <v>964</v>
      </c>
      <c r="D8" s="83" t="s">
        <v>498</v>
      </c>
    </row>
    <row r="9" spans="1:6" x14ac:dyDescent="0.25">
      <c r="A9" s="84" t="s">
        <v>963</v>
      </c>
      <c r="B9" s="77">
        <v>4</v>
      </c>
      <c r="C9" s="82" t="s">
        <v>965</v>
      </c>
      <c r="D9" s="83" t="s">
        <v>501</v>
      </c>
    </row>
    <row r="10" spans="1:6" x14ac:dyDescent="0.25">
      <c r="A10" s="77" t="s">
        <v>372</v>
      </c>
      <c r="B10" s="77">
        <v>5</v>
      </c>
      <c r="C10" s="82" t="s">
        <v>966</v>
      </c>
      <c r="D10" s="83">
        <v>2</v>
      </c>
      <c r="F10" s="77" t="s">
        <v>986</v>
      </c>
    </row>
    <row r="11" spans="1:6" x14ac:dyDescent="0.25">
      <c r="A11" s="77" t="s">
        <v>372</v>
      </c>
      <c r="B11" s="77">
        <v>5</v>
      </c>
      <c r="C11" s="82" t="s">
        <v>967</v>
      </c>
      <c r="D11" s="83">
        <v>4</v>
      </c>
      <c r="F11" s="77" t="s">
        <v>985</v>
      </c>
    </row>
    <row r="12" spans="1:6" x14ac:dyDescent="0.25">
      <c r="A12" s="77" t="s">
        <v>373</v>
      </c>
      <c r="B12" s="77">
        <v>6</v>
      </c>
      <c r="C12" s="82" t="s">
        <v>968</v>
      </c>
      <c r="D12" s="83" t="s">
        <v>502</v>
      </c>
    </row>
    <row r="13" spans="1:6" x14ac:dyDescent="0.25">
      <c r="A13" s="77" t="s">
        <v>373</v>
      </c>
      <c r="B13" s="77">
        <v>6</v>
      </c>
      <c r="C13" s="82" t="s">
        <v>969</v>
      </c>
      <c r="D13" s="83" t="s">
        <v>505</v>
      </c>
    </row>
    <row r="14" spans="1:6" x14ac:dyDescent="0.25">
      <c r="A14" s="77" t="s">
        <v>374</v>
      </c>
      <c r="B14" s="77">
        <v>7</v>
      </c>
      <c r="C14" s="82" t="s">
        <v>970</v>
      </c>
      <c r="D14" s="83" t="s">
        <v>510</v>
      </c>
    </row>
    <row r="15" spans="1:6" x14ac:dyDescent="0.25">
      <c r="A15" s="77" t="s">
        <v>374</v>
      </c>
      <c r="B15" s="77">
        <v>7</v>
      </c>
      <c r="C15" s="82" t="s">
        <v>969</v>
      </c>
      <c r="D15" s="83" t="s">
        <v>505</v>
      </c>
    </row>
    <row r="16" spans="1:6" x14ac:dyDescent="0.25">
      <c r="A16" s="77" t="s">
        <v>971</v>
      </c>
      <c r="B16" s="77">
        <v>8</v>
      </c>
      <c r="C16" s="82" t="s">
        <v>972</v>
      </c>
    </row>
    <row r="17" spans="1:4" ht="30" x14ac:dyDescent="0.25">
      <c r="A17" s="77" t="s">
        <v>971</v>
      </c>
      <c r="B17" s="77">
        <v>8</v>
      </c>
      <c r="C17" s="82" t="s">
        <v>973</v>
      </c>
      <c r="D17" s="85" t="s">
        <v>974</v>
      </c>
    </row>
    <row r="18" spans="1:4" customFormat="1" ht="30" x14ac:dyDescent="0.25">
      <c r="A18" t="s">
        <v>971</v>
      </c>
      <c r="B18">
        <v>8</v>
      </c>
      <c r="C18" s="86" t="s">
        <v>975</v>
      </c>
      <c r="D18" s="87" t="s">
        <v>976</v>
      </c>
    </row>
    <row r="19" spans="1:4" ht="30" x14ac:dyDescent="0.25">
      <c r="A19" s="77" t="s">
        <v>971</v>
      </c>
      <c r="B19" s="77">
        <v>8</v>
      </c>
      <c r="C19" s="82" t="s">
        <v>977</v>
      </c>
      <c r="D19" s="85" t="s">
        <v>978</v>
      </c>
    </row>
    <row r="20" spans="1:4" ht="30" x14ac:dyDescent="0.25">
      <c r="A20" s="77" t="s">
        <v>971</v>
      </c>
      <c r="B20" s="77">
        <v>8</v>
      </c>
      <c r="C20" s="82" t="s">
        <v>979</v>
      </c>
      <c r="D20" s="85" t="s">
        <v>980</v>
      </c>
    </row>
    <row r="21" spans="1:4" x14ac:dyDescent="0.25">
      <c r="A21" t="s">
        <v>981</v>
      </c>
      <c r="B21" s="77">
        <v>11</v>
      </c>
      <c r="C21" s="86" t="s">
        <v>981</v>
      </c>
      <c r="D21" s="87" t="s">
        <v>982</v>
      </c>
    </row>
    <row r="22" spans="1:4" ht="30" x14ac:dyDescent="0.25">
      <c r="A22" t="s">
        <v>983</v>
      </c>
      <c r="B22" s="77">
        <v>12</v>
      </c>
      <c r="C22" s="86" t="s">
        <v>984</v>
      </c>
      <c r="D22" s="8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F24"/>
  <sheetViews>
    <sheetView workbookViewId="0">
      <selection activeCell="B6" sqref="B6"/>
    </sheetView>
  </sheetViews>
  <sheetFormatPr defaultRowHeight="15" x14ac:dyDescent="0.25"/>
  <cols>
    <col min="2" max="2" width="118" customWidth="1"/>
  </cols>
  <sheetData>
    <row r="1" spans="2:6" x14ac:dyDescent="0.25">
      <c r="B1" s="71" t="s">
        <v>897</v>
      </c>
    </row>
    <row r="2" spans="2:6" x14ac:dyDescent="0.25">
      <c r="B2" s="70" t="s">
        <v>898</v>
      </c>
      <c r="F2" t="s">
        <v>909</v>
      </c>
    </row>
    <row r="3" spans="2:6" x14ac:dyDescent="0.25">
      <c r="B3" s="70" t="s">
        <v>899</v>
      </c>
      <c r="F3" t="s">
        <v>910</v>
      </c>
    </row>
    <row r="4" spans="2:6" x14ac:dyDescent="0.25">
      <c r="B4" s="70" t="s">
        <v>900</v>
      </c>
    </row>
    <row r="5" spans="2:6" x14ac:dyDescent="0.25">
      <c r="B5" s="70" t="s">
        <v>901</v>
      </c>
      <c r="F5" t="s">
        <v>922</v>
      </c>
    </row>
    <row r="6" spans="2:6" x14ac:dyDescent="0.25">
      <c r="B6" s="70" t="s">
        <v>902</v>
      </c>
    </row>
    <row r="7" spans="2:6" x14ac:dyDescent="0.25">
      <c r="B7" s="70" t="s">
        <v>903</v>
      </c>
    </row>
    <row r="8" spans="2:6" x14ac:dyDescent="0.25">
      <c r="B8" s="70" t="s">
        <v>904</v>
      </c>
      <c r="C8" t="s">
        <v>1085</v>
      </c>
    </row>
    <row r="9" spans="2:6" x14ac:dyDescent="0.25">
      <c r="B9" s="70" t="s">
        <v>905</v>
      </c>
    </row>
    <row r="10" spans="2:6" x14ac:dyDescent="0.25">
      <c r="B10" s="70" t="s">
        <v>906</v>
      </c>
    </row>
    <row r="11" spans="2:6" x14ac:dyDescent="0.25">
      <c r="B11" s="70" t="s">
        <v>907</v>
      </c>
    </row>
    <row r="12" spans="2:6" x14ac:dyDescent="0.25">
      <c r="B12" s="70" t="s">
        <v>908</v>
      </c>
    </row>
    <row r="13" spans="2:6" x14ac:dyDescent="0.25">
      <c r="B13" s="70" t="s">
        <v>921</v>
      </c>
    </row>
    <row r="14" spans="2:6" x14ac:dyDescent="0.25">
      <c r="B14" s="70" t="s">
        <v>911</v>
      </c>
    </row>
    <row r="15" spans="2:6" x14ac:dyDescent="0.25">
      <c r="B15" s="70" t="s">
        <v>912</v>
      </c>
    </row>
    <row r="16" spans="2:6" x14ac:dyDescent="0.25">
      <c r="B16" s="70" t="s">
        <v>913</v>
      </c>
    </row>
    <row r="17" spans="2:2" x14ac:dyDescent="0.25">
      <c r="B17" s="70" t="s">
        <v>914</v>
      </c>
    </row>
    <row r="18" spans="2:2" x14ac:dyDescent="0.25">
      <c r="B18" s="70" t="s">
        <v>915</v>
      </c>
    </row>
    <row r="20" spans="2:2" x14ac:dyDescent="0.25">
      <c r="B20" t="s">
        <v>916</v>
      </c>
    </row>
    <row r="21" spans="2:2" x14ac:dyDescent="0.25">
      <c r="B21" s="70" t="s">
        <v>917</v>
      </c>
    </row>
    <row r="22" spans="2:2" x14ac:dyDescent="0.25">
      <c r="B22" s="70" t="s">
        <v>918</v>
      </c>
    </row>
    <row r="23" spans="2:2" x14ac:dyDescent="0.25">
      <c r="B23" s="70" t="s">
        <v>919</v>
      </c>
    </row>
    <row r="24" spans="2:2" x14ac:dyDescent="0.25">
      <c r="B24" s="70" t="s">
        <v>920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105"/>
  <sheetViews>
    <sheetView workbookViewId="0">
      <pane ySplit="1" topLeftCell="A2" activePane="bottomLeft" state="frozen"/>
      <selection pane="bottomLeft" activeCell="AA1" sqref="AA1:AA1048576"/>
    </sheetView>
  </sheetViews>
  <sheetFormatPr defaultRowHeight="15" x14ac:dyDescent="0.25"/>
  <cols>
    <col min="1" max="1" width="15.85546875" customWidth="1"/>
    <col min="2" max="2" width="37" customWidth="1"/>
    <col min="3" max="3" width="35" customWidth="1"/>
    <col min="4" max="4" width="19.7109375" customWidth="1"/>
    <col min="5" max="5" width="22.7109375" customWidth="1"/>
    <col min="6" max="6" width="9.140625" style="23" customWidth="1"/>
    <col min="7" max="7" width="11.42578125" style="23" customWidth="1"/>
    <col min="8" max="9" width="9.140625" style="23" customWidth="1"/>
    <col min="10" max="10" width="13.140625" style="23" customWidth="1"/>
    <col min="11" max="11" width="15" style="23" customWidth="1"/>
    <col min="12" max="12" width="9.7109375" style="23" customWidth="1"/>
    <col min="13" max="14" width="9.140625" style="23" customWidth="1"/>
    <col min="15" max="15" width="9.140625" style="27" customWidth="1"/>
    <col min="16" max="16" width="9.140625" style="23" customWidth="1"/>
    <col min="17" max="19" width="9.140625" customWidth="1"/>
    <col min="20" max="23" width="9.140625" style="23" customWidth="1"/>
    <col min="24" max="27" width="9.140625" customWidth="1"/>
    <col min="28" max="28" width="23.42578125" customWidth="1"/>
    <col min="29" max="29" width="39.28515625" customWidth="1"/>
    <col min="30" max="30" width="10.5703125" style="64" bestFit="1" customWidth="1"/>
  </cols>
  <sheetData>
    <row r="1" spans="1:30 16382:16382" s="25" customFormat="1" ht="48.75" x14ac:dyDescent="0.25">
      <c r="A1" s="1" t="s">
        <v>0</v>
      </c>
      <c r="B1" s="1" t="s">
        <v>1</v>
      </c>
      <c r="C1" s="25" t="s">
        <v>2</v>
      </c>
      <c r="D1" s="25" t="s">
        <v>346</v>
      </c>
      <c r="E1" s="25" t="s">
        <v>360</v>
      </c>
      <c r="F1" s="26" t="s">
        <v>366</v>
      </c>
      <c r="G1" s="26" t="s">
        <v>367</v>
      </c>
      <c r="H1" s="26" t="s">
        <v>368</v>
      </c>
      <c r="I1" s="26" t="s">
        <v>512</v>
      </c>
      <c r="J1" s="26" t="s">
        <v>486</v>
      </c>
      <c r="K1" s="26" t="s">
        <v>487</v>
      </c>
      <c r="L1" s="26" t="s">
        <v>371</v>
      </c>
      <c r="M1" s="26" t="s">
        <v>513</v>
      </c>
      <c r="N1" s="26" t="s">
        <v>514</v>
      </c>
      <c r="O1" s="26" t="s">
        <v>515</v>
      </c>
      <c r="P1" s="26" t="s">
        <v>516</v>
      </c>
      <c r="Q1" s="26" t="s">
        <v>517</v>
      </c>
      <c r="R1" s="26" t="s">
        <v>518</v>
      </c>
      <c r="S1" s="26" t="s">
        <v>545</v>
      </c>
      <c r="T1" s="26" t="s">
        <v>546</v>
      </c>
      <c r="U1" s="26" t="s">
        <v>550</v>
      </c>
      <c r="V1" s="26" t="s">
        <v>548</v>
      </c>
      <c r="W1" s="26" t="s">
        <v>549</v>
      </c>
      <c r="X1" s="26" t="s">
        <v>541</v>
      </c>
      <c r="Y1" s="26" t="s">
        <v>622</v>
      </c>
      <c r="Z1" s="26" t="s">
        <v>387</v>
      </c>
      <c r="AA1" s="26" t="s">
        <v>627</v>
      </c>
      <c r="AB1" s="25" t="s">
        <v>712</v>
      </c>
      <c r="AC1" s="25" t="s">
        <v>718</v>
      </c>
      <c r="AD1" s="63" t="s">
        <v>735</v>
      </c>
    </row>
    <row r="2" spans="1:30 16382:16382" x14ac:dyDescent="0.25">
      <c r="A2" s="2" t="s">
        <v>30</v>
      </c>
      <c r="B2" s="45" t="s">
        <v>28</v>
      </c>
      <c r="C2" s="45" t="s">
        <v>29</v>
      </c>
      <c r="D2" s="45" t="s">
        <v>347</v>
      </c>
      <c r="E2" s="5" t="s">
        <v>402</v>
      </c>
      <c r="F2" s="24" t="s">
        <v>496</v>
      </c>
      <c r="G2" s="23" t="s">
        <v>498</v>
      </c>
      <c r="H2" s="23" t="s">
        <v>497</v>
      </c>
      <c r="I2" s="23">
        <v>4</v>
      </c>
      <c r="J2" s="27" t="s">
        <v>498</v>
      </c>
      <c r="K2" s="23">
        <v>9</v>
      </c>
      <c r="M2" s="23">
        <v>2</v>
      </c>
      <c r="N2" s="23" t="s">
        <v>496</v>
      </c>
      <c r="O2" s="23" t="s">
        <v>507</v>
      </c>
      <c r="P2" s="23" t="s">
        <v>523</v>
      </c>
      <c r="Q2" s="23" t="s">
        <v>528</v>
      </c>
      <c r="R2" s="23"/>
      <c r="S2" s="23"/>
      <c r="V2"/>
      <c r="W2"/>
      <c r="X2" t="s">
        <v>716</v>
      </c>
      <c r="AB2" t="s">
        <v>714</v>
      </c>
      <c r="AD2" s="64">
        <v>1569</v>
      </c>
      <c r="XFB2" s="2"/>
    </row>
    <row r="3" spans="1:30 16382:16382" x14ac:dyDescent="0.25">
      <c r="A3" s="2" t="s">
        <v>113</v>
      </c>
      <c r="B3" s="45" t="s">
        <v>28</v>
      </c>
      <c r="C3" s="45" t="s">
        <v>114</v>
      </c>
      <c r="D3" s="45" t="s">
        <v>347</v>
      </c>
      <c r="E3" s="5" t="s">
        <v>402</v>
      </c>
      <c r="F3" s="24" t="s">
        <v>496</v>
      </c>
      <c r="G3" s="23" t="s">
        <v>498</v>
      </c>
      <c r="H3" s="23" t="s">
        <v>497</v>
      </c>
      <c r="I3" s="23">
        <v>4</v>
      </c>
      <c r="J3" s="27" t="s">
        <v>507</v>
      </c>
      <c r="K3" s="23">
        <v>9</v>
      </c>
      <c r="M3" s="23">
        <v>2</v>
      </c>
      <c r="N3" s="23" t="s">
        <v>496</v>
      </c>
      <c r="O3" s="23" t="s">
        <v>507</v>
      </c>
      <c r="P3" s="23" t="s">
        <v>521</v>
      </c>
      <c r="Q3" s="23" t="s">
        <v>529</v>
      </c>
      <c r="R3" s="23" t="s">
        <v>540</v>
      </c>
      <c r="S3" s="23"/>
      <c r="V3"/>
      <c r="W3"/>
      <c r="X3" t="s">
        <v>716</v>
      </c>
      <c r="AB3" t="s">
        <v>714</v>
      </c>
      <c r="AD3" s="64" t="s">
        <v>714</v>
      </c>
      <c r="XFB3" s="2"/>
    </row>
    <row r="4" spans="1:30 16382:16382" x14ac:dyDescent="0.25">
      <c r="A4" s="2" t="s">
        <v>81</v>
      </c>
      <c r="B4" s="2" t="s">
        <v>28</v>
      </c>
      <c r="C4" s="2" t="s">
        <v>82</v>
      </c>
      <c r="D4" s="2" t="s">
        <v>347</v>
      </c>
      <c r="E4" t="s">
        <v>402</v>
      </c>
      <c r="F4" s="24" t="s">
        <v>496</v>
      </c>
      <c r="G4" s="24" t="s">
        <v>498</v>
      </c>
      <c r="H4" s="24" t="s">
        <v>497</v>
      </c>
      <c r="I4" s="23">
        <v>4</v>
      </c>
      <c r="J4" s="24" t="s">
        <v>498</v>
      </c>
      <c r="K4" s="23">
        <v>8</v>
      </c>
      <c r="M4" s="23">
        <v>2</v>
      </c>
      <c r="N4" s="23" t="s">
        <v>496</v>
      </c>
      <c r="O4" s="27" t="s">
        <v>507</v>
      </c>
      <c r="P4" s="23" t="s">
        <v>519</v>
      </c>
      <c r="Q4" s="23" t="s">
        <v>528</v>
      </c>
      <c r="R4" s="23" t="s">
        <v>540</v>
      </c>
      <c r="S4" s="23"/>
      <c r="X4" t="s">
        <v>716</v>
      </c>
      <c r="AB4" t="s">
        <v>714</v>
      </c>
      <c r="AD4" s="64">
        <v>1597</v>
      </c>
    </row>
    <row r="5" spans="1:30 16382:16382" x14ac:dyDescent="0.25">
      <c r="A5" s="2" t="s">
        <v>31</v>
      </c>
      <c r="B5" s="2" t="s">
        <v>28</v>
      </c>
      <c r="C5" s="2" t="s">
        <v>32</v>
      </c>
      <c r="D5" s="2" t="s">
        <v>347</v>
      </c>
      <c r="E5" t="s">
        <v>402</v>
      </c>
      <c r="F5" s="24" t="s">
        <v>496</v>
      </c>
      <c r="G5" s="24" t="s">
        <v>498</v>
      </c>
      <c r="H5" s="24" t="s">
        <v>497</v>
      </c>
      <c r="I5" s="23">
        <v>4</v>
      </c>
      <c r="J5" s="24" t="s">
        <v>498</v>
      </c>
      <c r="K5" s="23">
        <v>8</v>
      </c>
      <c r="M5" s="23">
        <v>2</v>
      </c>
      <c r="N5" s="23" t="s">
        <v>496</v>
      </c>
      <c r="O5" s="27" t="s">
        <v>507</v>
      </c>
      <c r="P5" s="23" t="s">
        <v>520</v>
      </c>
      <c r="Q5" s="23" t="s">
        <v>528</v>
      </c>
      <c r="R5" s="23"/>
      <c r="S5" s="23"/>
      <c r="X5" t="s">
        <v>716</v>
      </c>
      <c r="AB5" t="s">
        <v>714</v>
      </c>
      <c r="AD5" s="64" t="s">
        <v>714</v>
      </c>
    </row>
    <row r="6" spans="1:30 16382:16382" x14ac:dyDescent="0.25">
      <c r="A6" s="2" t="s">
        <v>83</v>
      </c>
      <c r="B6" s="2" t="s">
        <v>84</v>
      </c>
      <c r="C6" s="2" t="s">
        <v>85</v>
      </c>
      <c r="D6" s="2" t="s">
        <v>347</v>
      </c>
      <c r="E6" t="s">
        <v>402</v>
      </c>
      <c r="F6" s="24" t="s">
        <v>496</v>
      </c>
      <c r="G6" s="24" t="s">
        <v>498</v>
      </c>
      <c r="H6" s="24" t="s">
        <v>497</v>
      </c>
      <c r="I6" s="23">
        <v>4</v>
      </c>
      <c r="J6" s="24" t="s">
        <v>498</v>
      </c>
      <c r="K6" s="23">
        <v>9</v>
      </c>
      <c r="M6" s="23">
        <v>2</v>
      </c>
      <c r="N6" s="23" t="s">
        <v>502</v>
      </c>
      <c r="O6" s="27" t="s">
        <v>507</v>
      </c>
      <c r="P6" s="23" t="s">
        <v>519</v>
      </c>
      <c r="Q6" s="23" t="s">
        <v>528</v>
      </c>
      <c r="R6" s="23" t="s">
        <v>540</v>
      </c>
      <c r="S6" s="23" t="s">
        <v>551</v>
      </c>
      <c r="X6" t="s">
        <v>716</v>
      </c>
      <c r="AB6" t="s">
        <v>714</v>
      </c>
      <c r="AD6" s="64" t="s">
        <v>714</v>
      </c>
    </row>
    <row r="7" spans="1:30 16382:16382" x14ac:dyDescent="0.25">
      <c r="A7" s="2" t="s">
        <v>70</v>
      </c>
      <c r="B7" s="2" t="s">
        <v>68</v>
      </c>
      <c r="C7" s="2" t="s">
        <v>71</v>
      </c>
      <c r="D7" s="2" t="s">
        <v>347</v>
      </c>
      <c r="E7" t="s">
        <v>402</v>
      </c>
      <c r="F7" s="24" t="s">
        <v>496</v>
      </c>
      <c r="G7" s="24" t="s">
        <v>498</v>
      </c>
      <c r="H7" s="24" t="s">
        <v>497</v>
      </c>
      <c r="I7" s="23">
        <v>4</v>
      </c>
      <c r="J7" s="24" t="s">
        <v>498</v>
      </c>
      <c r="K7" s="23">
        <v>9</v>
      </c>
      <c r="M7" s="23">
        <v>2</v>
      </c>
      <c r="N7" s="23" t="s">
        <v>496</v>
      </c>
      <c r="O7" s="27" t="s">
        <v>507</v>
      </c>
      <c r="P7" s="23" t="s">
        <v>519</v>
      </c>
      <c r="Q7" s="23" t="s">
        <v>528</v>
      </c>
      <c r="R7" s="23" t="s">
        <v>540</v>
      </c>
      <c r="S7" s="23" t="s">
        <v>504</v>
      </c>
      <c r="X7" t="s">
        <v>716</v>
      </c>
      <c r="AB7" t="s">
        <v>714</v>
      </c>
      <c r="AD7" s="64" t="s">
        <v>714</v>
      </c>
    </row>
    <row r="8" spans="1:30 16382:16382" x14ac:dyDescent="0.25">
      <c r="A8" s="2" t="s">
        <v>91</v>
      </c>
      <c r="B8" s="2" t="s">
        <v>24</v>
      </c>
      <c r="C8" s="2" t="s">
        <v>92</v>
      </c>
      <c r="D8" s="2" t="s">
        <v>347</v>
      </c>
      <c r="E8" t="s">
        <v>402</v>
      </c>
      <c r="F8" s="24" t="s">
        <v>496</v>
      </c>
      <c r="G8" s="24" t="s">
        <v>498</v>
      </c>
      <c r="H8" s="24" t="s">
        <v>497</v>
      </c>
      <c r="I8" s="23">
        <v>4</v>
      </c>
      <c r="J8" s="24" t="s">
        <v>507</v>
      </c>
      <c r="K8" s="23">
        <v>8</v>
      </c>
      <c r="M8" s="23">
        <v>2</v>
      </c>
      <c r="N8" s="23" t="s">
        <v>502</v>
      </c>
      <c r="O8" s="27" t="s">
        <v>507</v>
      </c>
      <c r="P8" s="23" t="s">
        <v>519</v>
      </c>
      <c r="Q8" s="23" t="s">
        <v>528</v>
      </c>
      <c r="R8" s="23"/>
      <c r="S8" s="23"/>
      <c r="X8" t="s">
        <v>716</v>
      </c>
      <c r="AB8" t="s">
        <v>714</v>
      </c>
      <c r="AD8" s="64" t="s">
        <v>714</v>
      </c>
    </row>
    <row r="9" spans="1:30 16382:16382" x14ac:dyDescent="0.25">
      <c r="A9" s="2" t="s">
        <v>148</v>
      </c>
      <c r="B9" s="2" t="s">
        <v>149</v>
      </c>
      <c r="C9" s="2" t="s">
        <v>150</v>
      </c>
      <c r="D9" s="2" t="s">
        <v>347</v>
      </c>
      <c r="E9" t="s">
        <v>402</v>
      </c>
      <c r="F9" s="24" t="s">
        <v>496</v>
      </c>
      <c r="G9" s="24" t="s">
        <v>498</v>
      </c>
      <c r="H9" s="24" t="s">
        <v>497</v>
      </c>
      <c r="I9" s="23">
        <v>4</v>
      </c>
      <c r="J9" s="24" t="s">
        <v>507</v>
      </c>
      <c r="K9" s="23">
        <v>9</v>
      </c>
      <c r="M9" s="23">
        <v>2</v>
      </c>
      <c r="N9" s="23" t="s">
        <v>496</v>
      </c>
      <c r="O9" s="27" t="s">
        <v>507</v>
      </c>
      <c r="P9" s="23" t="s">
        <v>521</v>
      </c>
      <c r="Q9" s="23" t="s">
        <v>528</v>
      </c>
      <c r="R9" s="23"/>
      <c r="S9" s="23"/>
      <c r="X9" t="s">
        <v>716</v>
      </c>
      <c r="AB9" t="s">
        <v>714</v>
      </c>
      <c r="AD9" s="64">
        <v>1791</v>
      </c>
    </row>
    <row r="10" spans="1:30 16382:16382" x14ac:dyDescent="0.25">
      <c r="A10" s="2" t="s">
        <v>268</v>
      </c>
      <c r="B10" s="2" t="s">
        <v>263</v>
      </c>
      <c r="C10" s="2" t="s">
        <v>269</v>
      </c>
      <c r="D10" s="2" t="s">
        <v>347</v>
      </c>
      <c r="E10" t="s">
        <v>402</v>
      </c>
      <c r="F10" s="24" t="s">
        <v>500</v>
      </c>
      <c r="G10" s="24" t="s">
        <v>498</v>
      </c>
      <c r="H10" s="24" t="s">
        <v>497</v>
      </c>
      <c r="I10" s="23">
        <v>4</v>
      </c>
      <c r="J10" s="24" t="s">
        <v>507</v>
      </c>
      <c r="K10" s="23">
        <v>8</v>
      </c>
      <c r="M10" s="23">
        <v>2</v>
      </c>
      <c r="N10" s="23" t="s">
        <v>502</v>
      </c>
      <c r="O10" s="27" t="s">
        <v>510</v>
      </c>
      <c r="P10" s="23" t="s">
        <v>532</v>
      </c>
      <c r="Q10" s="23" t="s">
        <v>531</v>
      </c>
      <c r="AB10" t="s">
        <v>714</v>
      </c>
      <c r="AD10" s="64" t="s">
        <v>714</v>
      </c>
    </row>
    <row r="11" spans="1:30 16382:16382" x14ac:dyDescent="0.25">
      <c r="A11" s="2" t="s">
        <v>262</v>
      </c>
      <c r="B11" s="2" t="s">
        <v>263</v>
      </c>
      <c r="C11" s="2" t="s">
        <v>264</v>
      </c>
      <c r="D11" s="2" t="s">
        <v>347</v>
      </c>
      <c r="E11" t="s">
        <v>402</v>
      </c>
      <c r="F11" s="24" t="s">
        <v>500</v>
      </c>
      <c r="G11" s="24" t="s">
        <v>498</v>
      </c>
      <c r="H11" s="24" t="s">
        <v>497</v>
      </c>
      <c r="I11" s="23">
        <v>4</v>
      </c>
      <c r="J11" s="24" t="s">
        <v>507</v>
      </c>
      <c r="K11" s="23">
        <v>8</v>
      </c>
      <c r="M11" s="23">
        <v>2</v>
      </c>
      <c r="N11" s="23" t="s">
        <v>502</v>
      </c>
      <c r="O11" s="27" t="s">
        <v>510</v>
      </c>
      <c r="P11" s="23" t="s">
        <v>532</v>
      </c>
      <c r="Q11" s="23" t="s">
        <v>529</v>
      </c>
      <c r="AB11" t="s">
        <v>714</v>
      </c>
      <c r="AD11" s="64" t="s">
        <v>714</v>
      </c>
    </row>
    <row r="12" spans="1:30 16382:16382" x14ac:dyDescent="0.25">
      <c r="A12" s="2" t="s">
        <v>65</v>
      </c>
      <c r="B12" s="2" t="s">
        <v>28</v>
      </c>
      <c r="C12" s="2" t="s">
        <v>66</v>
      </c>
      <c r="D12" s="2" t="s">
        <v>347</v>
      </c>
      <c r="E12" t="s">
        <v>402</v>
      </c>
      <c r="F12" s="24" t="s">
        <v>500</v>
      </c>
      <c r="G12" s="24" t="s">
        <v>498</v>
      </c>
      <c r="H12" s="24" t="s">
        <v>497</v>
      </c>
      <c r="I12" s="23">
        <v>4</v>
      </c>
      <c r="J12" s="24" t="s">
        <v>498</v>
      </c>
      <c r="K12" s="23">
        <v>9</v>
      </c>
      <c r="M12" s="23">
        <v>2</v>
      </c>
      <c r="N12" s="23" t="s">
        <v>502</v>
      </c>
      <c r="O12" s="27" t="s">
        <v>507</v>
      </c>
      <c r="P12" s="23" t="s">
        <v>522</v>
      </c>
      <c r="Q12" s="23" t="s">
        <v>528</v>
      </c>
      <c r="R12" s="23" t="s">
        <v>540</v>
      </c>
      <c r="X12" t="s">
        <v>716</v>
      </c>
      <c r="AB12" t="s">
        <v>714</v>
      </c>
    </row>
    <row r="13" spans="1:30 16382:16382" x14ac:dyDescent="0.25">
      <c r="A13" s="2" t="s">
        <v>118</v>
      </c>
      <c r="B13" s="2" t="s">
        <v>28</v>
      </c>
      <c r="C13" s="2" t="s">
        <v>119</v>
      </c>
      <c r="D13" s="2" t="s">
        <v>347</v>
      </c>
      <c r="E13" t="s">
        <v>402</v>
      </c>
      <c r="F13" s="24" t="s">
        <v>500</v>
      </c>
      <c r="G13" s="24" t="s">
        <v>498</v>
      </c>
      <c r="H13" s="24" t="s">
        <v>497</v>
      </c>
      <c r="I13" s="23">
        <v>4</v>
      </c>
      <c r="J13" s="24" t="s">
        <v>498</v>
      </c>
      <c r="K13" s="23">
        <v>9</v>
      </c>
      <c r="M13" s="23">
        <v>2</v>
      </c>
      <c r="N13" s="23" t="s">
        <v>502</v>
      </c>
      <c r="O13" s="27" t="s">
        <v>507</v>
      </c>
      <c r="P13" s="23" t="s">
        <v>532</v>
      </c>
      <c r="X13" t="s">
        <v>716</v>
      </c>
      <c r="AB13" t="s">
        <v>714</v>
      </c>
    </row>
    <row r="14" spans="1:30 16382:16382" x14ac:dyDescent="0.25">
      <c r="A14" s="2" t="s">
        <v>67</v>
      </c>
      <c r="B14" s="2" t="s">
        <v>68</v>
      </c>
      <c r="C14" s="2" t="s">
        <v>69</v>
      </c>
      <c r="D14" s="2" t="s">
        <v>347</v>
      </c>
      <c r="E14" s="4" t="s">
        <v>402</v>
      </c>
      <c r="F14" s="24" t="s">
        <v>496</v>
      </c>
      <c r="G14" s="24" t="s">
        <v>498</v>
      </c>
      <c r="H14" s="24" t="s">
        <v>497</v>
      </c>
      <c r="I14" s="23">
        <v>4</v>
      </c>
      <c r="J14" s="24" t="s">
        <v>498</v>
      </c>
      <c r="K14" s="23">
        <v>9</v>
      </c>
      <c r="M14" s="23">
        <v>2</v>
      </c>
      <c r="N14" s="23" t="s">
        <v>496</v>
      </c>
      <c r="O14" s="27" t="s">
        <v>507</v>
      </c>
      <c r="P14" s="23" t="s">
        <v>523</v>
      </c>
      <c r="Q14" s="23" t="s">
        <v>528</v>
      </c>
      <c r="R14" s="23" t="s">
        <v>540</v>
      </c>
      <c r="X14" t="s">
        <v>716</v>
      </c>
      <c r="AB14" t="s">
        <v>714</v>
      </c>
    </row>
    <row r="15" spans="1:30 16382:16382" x14ac:dyDescent="0.25">
      <c r="A15" s="2" t="s">
        <v>95</v>
      </c>
      <c r="B15" s="2" t="s">
        <v>4</v>
      </c>
      <c r="C15" s="2" t="s">
        <v>96</v>
      </c>
      <c r="D15" s="2" t="s">
        <v>347</v>
      </c>
      <c r="E15" t="s">
        <v>402</v>
      </c>
      <c r="F15" s="24" t="s">
        <v>496</v>
      </c>
      <c r="G15" s="24" t="s">
        <v>498</v>
      </c>
      <c r="H15" s="24" t="s">
        <v>497</v>
      </c>
      <c r="I15" s="23">
        <v>4</v>
      </c>
      <c r="J15" s="24" t="s">
        <v>507</v>
      </c>
      <c r="K15" s="23">
        <v>9</v>
      </c>
      <c r="M15" s="23">
        <v>2</v>
      </c>
      <c r="N15" s="23" t="s">
        <v>496</v>
      </c>
      <c r="O15" s="27" t="s">
        <v>507</v>
      </c>
      <c r="P15" s="23" t="s">
        <v>619</v>
      </c>
      <c r="T15"/>
      <c r="U15" s="23" t="s">
        <v>543</v>
      </c>
      <c r="V15"/>
      <c r="W15"/>
      <c r="AB15" t="s">
        <v>714</v>
      </c>
    </row>
    <row r="16" spans="1:30 16382:16382" x14ac:dyDescent="0.25">
      <c r="A16" s="2" t="s">
        <v>235</v>
      </c>
      <c r="B16" s="2" t="s">
        <v>24</v>
      </c>
      <c r="C16" s="2" t="s">
        <v>236</v>
      </c>
      <c r="D16" s="2" t="s">
        <v>347</v>
      </c>
      <c r="E16" t="s">
        <v>403</v>
      </c>
      <c r="F16" s="24" t="s">
        <v>500</v>
      </c>
      <c r="G16" s="24" t="s">
        <v>498</v>
      </c>
      <c r="H16" s="24" t="s">
        <v>497</v>
      </c>
      <c r="I16" s="23">
        <v>5</v>
      </c>
      <c r="J16" s="24" t="s">
        <v>509</v>
      </c>
      <c r="K16" s="23">
        <v>9</v>
      </c>
      <c r="L16" s="23">
        <v>2</v>
      </c>
      <c r="M16" s="23" t="s">
        <v>502</v>
      </c>
      <c r="N16" s="27" t="s">
        <v>502</v>
      </c>
      <c r="O16" s="27" t="s">
        <v>506</v>
      </c>
      <c r="P16" s="23" t="s">
        <v>533</v>
      </c>
      <c r="Q16" s="23" t="s">
        <v>529</v>
      </c>
      <c r="R16" s="23" t="s">
        <v>540</v>
      </c>
      <c r="AB16" t="s">
        <v>717</v>
      </c>
      <c r="AC16" t="s">
        <v>719</v>
      </c>
      <c r="AD16" s="64">
        <v>2549</v>
      </c>
    </row>
    <row r="17" spans="1:30" x14ac:dyDescent="0.25">
      <c r="A17" s="2" t="s">
        <v>200</v>
      </c>
      <c r="B17" s="2" t="s">
        <v>24</v>
      </c>
      <c r="C17" s="2" t="s">
        <v>201</v>
      </c>
      <c r="D17" s="2" t="s">
        <v>347</v>
      </c>
      <c r="E17" t="s">
        <v>403</v>
      </c>
      <c r="F17" s="24" t="s">
        <v>496</v>
      </c>
      <c r="G17" s="24" t="s">
        <v>498</v>
      </c>
      <c r="H17" s="24" t="s">
        <v>497</v>
      </c>
      <c r="I17" s="23">
        <v>5</v>
      </c>
      <c r="J17" s="24" t="s">
        <v>509</v>
      </c>
      <c r="K17" s="23">
        <v>9</v>
      </c>
      <c r="L17" s="23">
        <v>2</v>
      </c>
      <c r="M17" s="23" t="s">
        <v>502</v>
      </c>
      <c r="N17" s="27" t="s">
        <v>502</v>
      </c>
      <c r="O17" s="27" t="s">
        <v>506</v>
      </c>
      <c r="P17" s="23" t="s">
        <v>533</v>
      </c>
      <c r="Q17" s="23" t="s">
        <v>529</v>
      </c>
      <c r="AB17" t="s">
        <v>722</v>
      </c>
      <c r="AD17" s="64" t="s">
        <v>714</v>
      </c>
    </row>
    <row r="18" spans="1:30" x14ac:dyDescent="0.25">
      <c r="A18" s="2" t="s">
        <v>20</v>
      </c>
      <c r="B18" s="2" t="s">
        <v>21</v>
      </c>
      <c r="C18" s="2" t="s">
        <v>22</v>
      </c>
      <c r="D18" s="2" t="s">
        <v>347</v>
      </c>
      <c r="E18" s="4" t="s">
        <v>404</v>
      </c>
      <c r="F18" s="24" t="s">
        <v>496</v>
      </c>
      <c r="G18" s="24" t="s">
        <v>498</v>
      </c>
      <c r="H18" s="24" t="s">
        <v>497</v>
      </c>
      <c r="I18" s="23">
        <v>4</v>
      </c>
      <c r="J18" s="24" t="s">
        <v>505</v>
      </c>
      <c r="K18" s="23">
        <v>0</v>
      </c>
      <c r="M18" s="23">
        <v>2</v>
      </c>
      <c r="N18" s="23" t="s">
        <v>496</v>
      </c>
      <c r="O18" s="27" t="s">
        <v>500</v>
      </c>
      <c r="P18" s="23" t="s">
        <v>523</v>
      </c>
      <c r="Q18" s="23" t="s">
        <v>529</v>
      </c>
      <c r="T18"/>
      <c r="V18"/>
      <c r="W18"/>
      <c r="AB18" t="s">
        <v>723</v>
      </c>
      <c r="AD18" s="64">
        <v>992</v>
      </c>
    </row>
    <row r="19" spans="1:30" x14ac:dyDescent="0.25">
      <c r="A19" s="2" t="s">
        <v>23</v>
      </c>
      <c r="B19" s="2" t="s">
        <v>24</v>
      </c>
      <c r="C19" s="2" t="s">
        <v>25</v>
      </c>
      <c r="D19" s="2" t="s">
        <v>347</v>
      </c>
      <c r="E19" t="s">
        <v>404</v>
      </c>
      <c r="F19" s="24" t="s">
        <v>496</v>
      </c>
      <c r="G19" s="24" t="s">
        <v>507</v>
      </c>
      <c r="H19" s="24" t="s">
        <v>497</v>
      </c>
      <c r="I19" s="23">
        <v>4</v>
      </c>
      <c r="J19" s="24" t="s">
        <v>505</v>
      </c>
      <c r="K19" s="23">
        <v>0</v>
      </c>
      <c r="M19" s="23">
        <v>2</v>
      </c>
      <c r="N19" s="23" t="s">
        <v>496</v>
      </c>
      <c r="O19" s="27" t="s">
        <v>500</v>
      </c>
      <c r="P19" s="23" t="s">
        <v>523</v>
      </c>
      <c r="Q19" s="23" t="s">
        <v>529</v>
      </c>
      <c r="T19"/>
      <c r="V19"/>
      <c r="W19"/>
      <c r="AB19" t="s">
        <v>723</v>
      </c>
      <c r="AD19" s="64">
        <v>992</v>
      </c>
    </row>
    <row r="20" spans="1:30" x14ac:dyDescent="0.25">
      <c r="A20" s="2" t="s">
        <v>86</v>
      </c>
      <c r="B20" s="2" t="s">
        <v>87</v>
      </c>
      <c r="C20" s="2" t="s">
        <v>88</v>
      </c>
      <c r="D20" s="2" t="s">
        <v>347</v>
      </c>
      <c r="E20" t="s">
        <v>404</v>
      </c>
      <c r="F20" s="24" t="s">
        <v>496</v>
      </c>
      <c r="G20" s="24" t="s">
        <v>507</v>
      </c>
      <c r="H20" s="24" t="s">
        <v>497</v>
      </c>
      <c r="I20" s="23">
        <v>4</v>
      </c>
      <c r="J20" s="24" t="s">
        <v>505</v>
      </c>
      <c r="K20" s="23">
        <v>0</v>
      </c>
      <c r="M20" s="23">
        <v>7</v>
      </c>
      <c r="N20" s="23" t="s">
        <v>496</v>
      </c>
      <c r="O20" s="27" t="s">
        <v>505</v>
      </c>
      <c r="P20" s="23" t="s">
        <v>523</v>
      </c>
      <c r="Q20" s="23" t="s">
        <v>528</v>
      </c>
      <c r="T20"/>
      <c r="V20"/>
      <c r="W20"/>
      <c r="X20" t="s">
        <v>620</v>
      </c>
      <c r="AB20" t="s">
        <v>714</v>
      </c>
      <c r="AD20" s="64">
        <v>1125</v>
      </c>
    </row>
    <row r="21" spans="1:30" x14ac:dyDescent="0.25">
      <c r="A21" s="2" t="s">
        <v>27</v>
      </c>
      <c r="B21" s="2" t="s">
        <v>28</v>
      </c>
      <c r="C21" s="2" t="s">
        <v>29</v>
      </c>
      <c r="D21" s="2" t="s">
        <v>347</v>
      </c>
      <c r="E21" t="s">
        <v>404</v>
      </c>
      <c r="F21" s="24" t="s">
        <v>496</v>
      </c>
      <c r="G21" s="24" t="s">
        <v>507</v>
      </c>
      <c r="H21" s="24" t="s">
        <v>497</v>
      </c>
      <c r="I21" s="23">
        <v>4</v>
      </c>
      <c r="J21" s="24" t="s">
        <v>505</v>
      </c>
      <c r="K21" s="23">
        <v>0</v>
      </c>
      <c r="M21" s="23">
        <v>2</v>
      </c>
      <c r="N21" s="23" t="s">
        <v>496</v>
      </c>
      <c r="O21" s="27" t="s">
        <v>505</v>
      </c>
      <c r="P21" s="23" t="s">
        <v>520</v>
      </c>
      <c r="Q21" s="23" t="s">
        <v>528</v>
      </c>
      <c r="T21"/>
      <c r="V21"/>
      <c r="W21"/>
      <c r="X21" t="s">
        <v>620</v>
      </c>
      <c r="AB21" t="s">
        <v>714</v>
      </c>
      <c r="AD21" s="64">
        <v>1098</v>
      </c>
    </row>
    <row r="22" spans="1:30" x14ac:dyDescent="0.25">
      <c r="A22" s="2" t="s">
        <v>9</v>
      </c>
      <c r="B22" s="2" t="s">
        <v>7</v>
      </c>
      <c r="C22" s="2" t="s">
        <v>10</v>
      </c>
      <c r="D22" s="2" t="s">
        <v>347</v>
      </c>
      <c r="E22" t="s">
        <v>404</v>
      </c>
      <c r="F22" s="24" t="s">
        <v>496</v>
      </c>
      <c r="G22" s="24" t="s">
        <v>498</v>
      </c>
      <c r="H22" s="24" t="s">
        <v>497</v>
      </c>
      <c r="I22" s="23">
        <v>4</v>
      </c>
      <c r="J22" s="24" t="s">
        <v>505</v>
      </c>
      <c r="K22" s="23">
        <v>0</v>
      </c>
      <c r="M22" s="23">
        <v>2</v>
      </c>
      <c r="N22" s="23" t="s">
        <v>496</v>
      </c>
      <c r="O22" s="27" t="s">
        <v>500</v>
      </c>
      <c r="P22" s="23" t="s">
        <v>524</v>
      </c>
      <c r="Q22" s="23" t="s">
        <v>531</v>
      </c>
      <c r="T22" s="23" t="s">
        <v>530</v>
      </c>
      <c r="AB22" t="s">
        <v>711</v>
      </c>
      <c r="AD22" s="64">
        <v>1165</v>
      </c>
    </row>
    <row r="23" spans="1:30" x14ac:dyDescent="0.25">
      <c r="A23" s="2" t="s">
        <v>98</v>
      </c>
      <c r="B23" s="2" t="s">
        <v>7</v>
      </c>
      <c r="C23" s="2" t="s">
        <v>99</v>
      </c>
      <c r="D23" s="2" t="s">
        <v>347</v>
      </c>
      <c r="E23" t="s">
        <v>404</v>
      </c>
      <c r="F23" s="24" t="s">
        <v>496</v>
      </c>
      <c r="G23" s="24" t="s">
        <v>498</v>
      </c>
      <c r="H23" s="24" t="s">
        <v>497</v>
      </c>
      <c r="I23" s="23">
        <v>7</v>
      </c>
      <c r="J23" s="24" t="s">
        <v>505</v>
      </c>
      <c r="K23" s="23">
        <v>0</v>
      </c>
      <c r="M23" s="23">
        <v>2</v>
      </c>
      <c r="N23" s="23" t="s">
        <v>505</v>
      </c>
      <c r="O23" s="27" t="s">
        <v>500</v>
      </c>
      <c r="P23" s="23" t="s">
        <v>443</v>
      </c>
      <c r="Q23" s="23" t="s">
        <v>528</v>
      </c>
      <c r="AB23" t="s">
        <v>713</v>
      </c>
    </row>
    <row r="24" spans="1:30" x14ac:dyDescent="0.25">
      <c r="A24" s="2" t="s">
        <v>3</v>
      </c>
      <c r="B24" s="2" t="s">
        <v>4</v>
      </c>
      <c r="C24" s="2" t="s">
        <v>5</v>
      </c>
      <c r="D24" s="2" t="s">
        <v>347</v>
      </c>
      <c r="E24" t="s">
        <v>404</v>
      </c>
      <c r="F24" s="24" t="s">
        <v>496</v>
      </c>
      <c r="G24" s="24" t="s">
        <v>507</v>
      </c>
      <c r="H24" s="24" t="s">
        <v>497</v>
      </c>
      <c r="I24" s="23">
        <v>7</v>
      </c>
      <c r="J24" s="24" t="s">
        <v>505</v>
      </c>
      <c r="K24" s="23">
        <v>0</v>
      </c>
      <c r="M24" s="23">
        <v>7</v>
      </c>
      <c r="N24" s="23" t="s">
        <v>496</v>
      </c>
      <c r="O24" s="27" t="s">
        <v>505</v>
      </c>
      <c r="P24" s="23" t="s">
        <v>523</v>
      </c>
      <c r="T24"/>
      <c r="V24"/>
      <c r="W24" t="s">
        <v>498</v>
      </c>
      <c r="AB24" t="s">
        <v>714</v>
      </c>
    </row>
    <row r="25" spans="1:30" x14ac:dyDescent="0.25">
      <c r="A25" s="2" t="s">
        <v>72</v>
      </c>
      <c r="B25" s="2" t="s">
        <v>73</v>
      </c>
      <c r="C25" s="2" t="s">
        <v>74</v>
      </c>
      <c r="D25" s="2" t="s">
        <v>347</v>
      </c>
      <c r="E25" t="s">
        <v>404</v>
      </c>
      <c r="F25" s="24" t="s">
        <v>496</v>
      </c>
      <c r="G25" s="24" t="s">
        <v>507</v>
      </c>
      <c r="H25" s="24" t="s">
        <v>497</v>
      </c>
      <c r="I25" s="23">
        <v>4</v>
      </c>
      <c r="J25" s="24" t="s">
        <v>505</v>
      </c>
      <c r="K25" s="23">
        <v>0</v>
      </c>
      <c r="M25" s="23">
        <v>2</v>
      </c>
      <c r="N25" s="23" t="s">
        <v>496</v>
      </c>
      <c r="O25" s="27" t="s">
        <v>500</v>
      </c>
      <c r="P25" s="23" t="s">
        <v>523</v>
      </c>
      <c r="Q25" s="23" t="s">
        <v>528</v>
      </c>
      <c r="AB25" t="s">
        <v>715</v>
      </c>
    </row>
    <row r="26" spans="1:30" x14ac:dyDescent="0.25">
      <c r="A26" s="2" t="s">
        <v>133</v>
      </c>
      <c r="B26" s="2" t="s">
        <v>28</v>
      </c>
      <c r="C26" s="2" t="s">
        <v>134</v>
      </c>
      <c r="D26" s="2" t="s">
        <v>347</v>
      </c>
      <c r="E26" t="s">
        <v>404</v>
      </c>
      <c r="F26" s="24" t="s">
        <v>496</v>
      </c>
      <c r="G26" s="24" t="s">
        <v>507</v>
      </c>
      <c r="H26" s="24" t="s">
        <v>497</v>
      </c>
      <c r="I26" s="23">
        <v>4</v>
      </c>
      <c r="J26" s="24" t="s">
        <v>505</v>
      </c>
      <c r="K26" s="23">
        <v>0</v>
      </c>
      <c r="M26" s="23">
        <v>2</v>
      </c>
      <c r="N26" s="23" t="s">
        <v>496</v>
      </c>
      <c r="O26" s="27" t="s">
        <v>500</v>
      </c>
      <c r="P26" s="23" t="s">
        <v>525</v>
      </c>
      <c r="Q26" s="23" t="s">
        <v>528</v>
      </c>
      <c r="S26" s="23" t="s">
        <v>542</v>
      </c>
      <c r="AB26" t="s">
        <v>714</v>
      </c>
    </row>
    <row r="27" spans="1:30" x14ac:dyDescent="0.25">
      <c r="A27" s="2" t="s">
        <v>108</v>
      </c>
      <c r="B27" s="2" t="s">
        <v>109</v>
      </c>
      <c r="C27" s="2" t="s">
        <v>110</v>
      </c>
      <c r="D27" s="2" t="s">
        <v>347</v>
      </c>
      <c r="E27" t="s">
        <v>404</v>
      </c>
      <c r="F27" s="24" t="s">
        <v>496</v>
      </c>
      <c r="G27" s="24" t="s">
        <v>507</v>
      </c>
      <c r="H27" s="24" t="s">
        <v>497</v>
      </c>
      <c r="I27" s="23">
        <v>4</v>
      </c>
      <c r="J27" s="24" t="s">
        <v>505</v>
      </c>
      <c r="K27" s="23">
        <v>0</v>
      </c>
      <c r="M27" s="23">
        <v>2</v>
      </c>
      <c r="N27" s="23" t="s">
        <v>496</v>
      </c>
      <c r="O27" s="27" t="s">
        <v>505</v>
      </c>
      <c r="P27" s="23" t="s">
        <v>523</v>
      </c>
      <c r="Q27" s="23" t="s">
        <v>528</v>
      </c>
      <c r="S27" s="23" t="s">
        <v>542</v>
      </c>
      <c r="AB27" t="s">
        <v>720</v>
      </c>
    </row>
    <row r="28" spans="1:30" x14ac:dyDescent="0.25">
      <c r="A28" s="2" t="s">
        <v>131</v>
      </c>
      <c r="B28" s="2" t="s">
        <v>126</v>
      </c>
      <c r="C28" s="2" t="s">
        <v>132</v>
      </c>
      <c r="D28" s="2" t="s">
        <v>347</v>
      </c>
      <c r="E28" t="s">
        <v>404</v>
      </c>
      <c r="F28" s="24" t="s">
        <v>496</v>
      </c>
      <c r="G28" s="24" t="s">
        <v>507</v>
      </c>
      <c r="H28" s="24" t="s">
        <v>497</v>
      </c>
      <c r="I28" s="23">
        <v>4</v>
      </c>
      <c r="J28" s="24" t="s">
        <v>505</v>
      </c>
      <c r="K28" s="23">
        <v>0</v>
      </c>
      <c r="M28" s="23" t="s">
        <v>501</v>
      </c>
      <c r="N28" s="23" t="s">
        <v>502</v>
      </c>
      <c r="O28" s="27" t="s">
        <v>500</v>
      </c>
      <c r="P28" s="23" t="s">
        <v>525</v>
      </c>
      <c r="Q28" s="23" t="s">
        <v>529</v>
      </c>
      <c r="AB28" t="s">
        <v>721</v>
      </c>
    </row>
    <row r="29" spans="1:30" x14ac:dyDescent="0.25">
      <c r="A29" s="2" t="s">
        <v>214</v>
      </c>
      <c r="B29" s="2" t="s">
        <v>206</v>
      </c>
      <c r="C29" s="2" t="s">
        <v>215</v>
      </c>
      <c r="D29" s="2" t="s">
        <v>347</v>
      </c>
      <c r="E29" t="s">
        <v>404</v>
      </c>
      <c r="F29" s="24" t="s">
        <v>496</v>
      </c>
      <c r="G29" s="24" t="s">
        <v>507</v>
      </c>
      <c r="H29" s="24" t="s">
        <v>497</v>
      </c>
      <c r="I29" s="23">
        <v>4</v>
      </c>
      <c r="J29" s="24" t="s">
        <v>505</v>
      </c>
      <c r="K29" s="23">
        <v>0</v>
      </c>
      <c r="M29" s="23" t="s">
        <v>501</v>
      </c>
      <c r="N29" s="23" t="s">
        <v>502</v>
      </c>
      <c r="O29" s="27" t="s">
        <v>508</v>
      </c>
      <c r="P29" s="23" t="s">
        <v>443</v>
      </c>
      <c r="Q29" s="23"/>
      <c r="R29" s="23" t="s">
        <v>540</v>
      </c>
      <c r="AB29" t="s">
        <v>714</v>
      </c>
    </row>
    <row r="30" spans="1:30" x14ac:dyDescent="0.25">
      <c r="A30" s="2" t="s">
        <v>111</v>
      </c>
      <c r="B30" s="2" t="s">
        <v>28</v>
      </c>
      <c r="C30" s="2" t="s">
        <v>112</v>
      </c>
      <c r="D30" s="2" t="s">
        <v>347</v>
      </c>
      <c r="E30" t="s">
        <v>404</v>
      </c>
      <c r="F30" s="24" t="s">
        <v>500</v>
      </c>
      <c r="G30" s="24" t="s">
        <v>507</v>
      </c>
      <c r="H30" s="24" t="s">
        <v>497</v>
      </c>
      <c r="I30" s="23">
        <v>4</v>
      </c>
      <c r="J30" s="24" t="s">
        <v>505</v>
      </c>
      <c r="K30" s="23">
        <v>0</v>
      </c>
      <c r="M30" s="23">
        <v>2</v>
      </c>
      <c r="N30" s="23" t="s">
        <v>502</v>
      </c>
      <c r="O30" s="27" t="s">
        <v>500</v>
      </c>
      <c r="P30" s="23" t="s">
        <v>523</v>
      </c>
      <c r="Q30" s="23" t="s">
        <v>528</v>
      </c>
      <c r="R30" s="23" t="s">
        <v>540</v>
      </c>
      <c r="X30" t="s">
        <v>716</v>
      </c>
      <c r="AB30" t="s">
        <v>714</v>
      </c>
    </row>
    <row r="31" spans="1:30" x14ac:dyDescent="0.25">
      <c r="A31" s="2" t="s">
        <v>6</v>
      </c>
      <c r="B31" s="2" t="s">
        <v>7</v>
      </c>
      <c r="C31" s="2" t="s">
        <v>8</v>
      </c>
      <c r="D31" s="2" t="s">
        <v>347</v>
      </c>
      <c r="E31" t="s">
        <v>404</v>
      </c>
      <c r="F31" s="24" t="s">
        <v>500</v>
      </c>
      <c r="G31" s="24" t="s">
        <v>507</v>
      </c>
      <c r="H31" s="24" t="s">
        <v>497</v>
      </c>
      <c r="I31" s="23">
        <v>4</v>
      </c>
      <c r="J31" s="24" t="s">
        <v>505</v>
      </c>
      <c r="K31" s="23">
        <v>0</v>
      </c>
      <c r="M31" s="23">
        <v>2</v>
      </c>
      <c r="N31" s="23" t="s">
        <v>502</v>
      </c>
      <c r="O31" s="27" t="s">
        <v>500</v>
      </c>
      <c r="P31" s="23" t="s">
        <v>524</v>
      </c>
      <c r="Q31" s="23"/>
      <c r="T31" s="23" t="s">
        <v>530</v>
      </c>
      <c r="AB31" t="s">
        <v>711</v>
      </c>
    </row>
    <row r="32" spans="1:30" x14ac:dyDescent="0.25">
      <c r="A32" s="2" t="s">
        <v>178</v>
      </c>
      <c r="B32" s="2" t="s">
        <v>28</v>
      </c>
      <c r="C32" s="2" t="s">
        <v>179</v>
      </c>
      <c r="D32" s="2" t="s">
        <v>347</v>
      </c>
      <c r="E32" t="s">
        <v>404</v>
      </c>
      <c r="F32" s="24" t="s">
        <v>500</v>
      </c>
      <c r="G32" s="24" t="s">
        <v>507</v>
      </c>
      <c r="H32" s="24" t="s">
        <v>497</v>
      </c>
      <c r="I32" s="23">
        <v>4</v>
      </c>
      <c r="J32" s="24" t="s">
        <v>505</v>
      </c>
      <c r="K32" s="23">
        <v>0</v>
      </c>
      <c r="M32" s="23">
        <v>2</v>
      </c>
      <c r="N32" s="23" t="s">
        <v>502</v>
      </c>
      <c r="O32" s="27" t="s">
        <v>505</v>
      </c>
      <c r="P32" s="23" t="s">
        <v>526</v>
      </c>
      <c r="Q32" s="23" t="s">
        <v>531</v>
      </c>
      <c r="AB32" t="s">
        <v>714</v>
      </c>
    </row>
    <row r="33" spans="1:30" x14ac:dyDescent="0.25">
      <c r="A33" s="2" t="s">
        <v>93</v>
      </c>
      <c r="B33" s="2" t="s">
        <v>84</v>
      </c>
      <c r="C33" s="2" t="s">
        <v>94</v>
      </c>
      <c r="D33" s="2" t="s">
        <v>347</v>
      </c>
      <c r="E33" t="s">
        <v>404</v>
      </c>
      <c r="F33" s="24" t="s">
        <v>500</v>
      </c>
      <c r="G33" s="24" t="s">
        <v>507</v>
      </c>
      <c r="H33" s="24" t="s">
        <v>497</v>
      </c>
      <c r="I33" s="23">
        <v>4</v>
      </c>
      <c r="J33" s="24" t="s">
        <v>505</v>
      </c>
      <c r="K33" s="23">
        <v>0</v>
      </c>
      <c r="M33" s="23">
        <v>2</v>
      </c>
      <c r="N33" s="23" t="s">
        <v>496</v>
      </c>
      <c r="O33" s="27" t="s">
        <v>500</v>
      </c>
      <c r="P33" s="23" t="s">
        <v>523</v>
      </c>
      <c r="Q33" s="23" t="s">
        <v>528</v>
      </c>
      <c r="R33" s="23" t="s">
        <v>540</v>
      </c>
      <c r="X33" t="s">
        <v>716</v>
      </c>
      <c r="AB33" t="s">
        <v>714</v>
      </c>
    </row>
    <row r="34" spans="1:30" x14ac:dyDescent="0.25">
      <c r="A34" s="2" t="s">
        <v>125</v>
      </c>
      <c r="B34" s="2" t="s">
        <v>126</v>
      </c>
      <c r="C34" s="2" t="s">
        <v>127</v>
      </c>
      <c r="D34" s="2" t="s">
        <v>347</v>
      </c>
      <c r="E34" t="s">
        <v>404</v>
      </c>
      <c r="F34" s="24" t="s">
        <v>496</v>
      </c>
      <c r="G34" s="24" t="s">
        <v>498</v>
      </c>
      <c r="H34" s="24" t="s">
        <v>497</v>
      </c>
      <c r="I34" s="23">
        <v>4</v>
      </c>
      <c r="J34" s="24" t="s">
        <v>505</v>
      </c>
      <c r="K34" s="23">
        <v>0</v>
      </c>
      <c r="M34" s="23" t="s">
        <v>501</v>
      </c>
      <c r="N34" s="23" t="s">
        <v>502</v>
      </c>
      <c r="O34" s="27" t="s">
        <v>500</v>
      </c>
      <c r="P34" s="23" t="s">
        <v>511</v>
      </c>
      <c r="Q34" s="23" t="s">
        <v>529</v>
      </c>
      <c r="U34" s="23" t="s">
        <v>543</v>
      </c>
      <c r="AB34" t="s">
        <v>721</v>
      </c>
    </row>
    <row r="35" spans="1:30" x14ac:dyDescent="0.25">
      <c r="A35" s="2" t="s">
        <v>139</v>
      </c>
      <c r="B35" s="2" t="s">
        <v>104</v>
      </c>
      <c r="C35" s="2" t="s">
        <v>140</v>
      </c>
      <c r="D35" s="2" t="s">
        <v>347</v>
      </c>
      <c r="E35" t="s">
        <v>404</v>
      </c>
      <c r="F35" s="24" t="s">
        <v>500</v>
      </c>
      <c r="G35" s="24" t="s">
        <v>498</v>
      </c>
      <c r="H35" s="24" t="s">
        <v>497</v>
      </c>
      <c r="I35" s="23">
        <v>4</v>
      </c>
      <c r="J35" s="24" t="s">
        <v>505</v>
      </c>
      <c r="K35" s="23">
        <v>0</v>
      </c>
      <c r="M35" s="23">
        <v>7</v>
      </c>
      <c r="N35" s="23" t="s">
        <v>502</v>
      </c>
      <c r="O35" s="27" t="s">
        <v>500</v>
      </c>
      <c r="P35" s="23" t="s">
        <v>526</v>
      </c>
      <c r="Q35" s="23" t="s">
        <v>531</v>
      </c>
      <c r="T35"/>
      <c r="V35"/>
      <c r="W35"/>
      <c r="Y35" t="s">
        <v>621</v>
      </c>
      <c r="AB35" t="s">
        <v>714</v>
      </c>
      <c r="AC35" t="s">
        <v>719</v>
      </c>
    </row>
    <row r="36" spans="1:30" x14ac:dyDescent="0.25">
      <c r="A36" s="2" t="s">
        <v>151</v>
      </c>
      <c r="B36" s="2" t="s">
        <v>28</v>
      </c>
      <c r="C36" s="2" t="s">
        <v>152</v>
      </c>
      <c r="D36" s="2" t="s">
        <v>347</v>
      </c>
      <c r="E36" t="s">
        <v>404</v>
      </c>
      <c r="F36" s="24" t="s">
        <v>500</v>
      </c>
      <c r="G36" s="24" t="s">
        <v>507</v>
      </c>
      <c r="H36" s="24" t="s">
        <v>497</v>
      </c>
      <c r="I36" s="23">
        <v>4</v>
      </c>
      <c r="J36" s="24" t="s">
        <v>505</v>
      </c>
      <c r="K36" s="23">
        <v>0</v>
      </c>
      <c r="M36" s="23">
        <v>2</v>
      </c>
      <c r="N36" s="23" t="s">
        <v>502</v>
      </c>
      <c r="O36" s="27" t="s">
        <v>505</v>
      </c>
      <c r="P36" s="23" t="s">
        <v>623</v>
      </c>
      <c r="Q36" s="23" t="s">
        <v>531</v>
      </c>
      <c r="T36"/>
      <c r="V36"/>
      <c r="W36"/>
      <c r="AB36" t="s">
        <v>714</v>
      </c>
    </row>
    <row r="37" spans="1:30" x14ac:dyDescent="0.25">
      <c r="A37" s="2" t="s">
        <v>106</v>
      </c>
      <c r="B37" s="2" t="s">
        <v>104</v>
      </c>
      <c r="C37" s="2" t="s">
        <v>107</v>
      </c>
      <c r="D37" s="2" t="s">
        <v>347</v>
      </c>
      <c r="E37" t="s">
        <v>404</v>
      </c>
      <c r="F37" s="24" t="s">
        <v>500</v>
      </c>
      <c r="G37" s="24" t="s">
        <v>498</v>
      </c>
      <c r="H37" s="24" t="s">
        <v>497</v>
      </c>
      <c r="I37" s="23">
        <v>4</v>
      </c>
      <c r="J37" s="24" t="s">
        <v>505</v>
      </c>
      <c r="K37" s="23">
        <v>0</v>
      </c>
      <c r="M37" s="23">
        <v>2</v>
      </c>
      <c r="N37" s="23" t="s">
        <v>505</v>
      </c>
      <c r="O37" s="27" t="s">
        <v>500</v>
      </c>
      <c r="P37" s="23" t="s">
        <v>532</v>
      </c>
      <c r="Q37" s="23" t="s">
        <v>529</v>
      </c>
      <c r="T37"/>
      <c r="V37"/>
      <c r="W37"/>
      <c r="AB37" t="s">
        <v>714</v>
      </c>
    </row>
    <row r="38" spans="1:30" x14ac:dyDescent="0.25">
      <c r="A38" s="2" t="s">
        <v>26</v>
      </c>
      <c r="B38" s="2" t="s">
        <v>24</v>
      </c>
      <c r="C38" s="2"/>
      <c r="D38" s="2" t="s">
        <v>347</v>
      </c>
      <c r="E38" s="2" t="s">
        <v>404</v>
      </c>
      <c r="F38" s="24" t="s">
        <v>496</v>
      </c>
      <c r="G38" s="24" t="s">
        <v>498</v>
      </c>
      <c r="H38" s="24" t="s">
        <v>497</v>
      </c>
      <c r="I38" s="23">
        <v>4</v>
      </c>
      <c r="J38" s="24" t="s">
        <v>505</v>
      </c>
      <c r="K38" s="23">
        <v>0</v>
      </c>
      <c r="M38" s="23">
        <v>2</v>
      </c>
      <c r="N38" s="23" t="s">
        <v>496</v>
      </c>
      <c r="O38" s="27" t="s">
        <v>500</v>
      </c>
      <c r="P38" s="23" t="s">
        <v>519</v>
      </c>
      <c r="Q38" s="23" t="s">
        <v>531</v>
      </c>
      <c r="T38"/>
      <c r="V38"/>
      <c r="W38"/>
      <c r="AB38" t="s">
        <v>714</v>
      </c>
    </row>
    <row r="39" spans="1:30" x14ac:dyDescent="0.25">
      <c r="A39" s="2" t="s">
        <v>628</v>
      </c>
      <c r="B39" s="2" t="s">
        <v>629</v>
      </c>
      <c r="C39" s="2" t="s">
        <v>630</v>
      </c>
      <c r="D39" s="2" t="s">
        <v>347</v>
      </c>
      <c r="E39" s="2" t="s">
        <v>404</v>
      </c>
      <c r="F39" s="24" t="s">
        <v>496</v>
      </c>
      <c r="G39" s="24" t="s">
        <v>507</v>
      </c>
      <c r="H39" s="24" t="s">
        <v>497</v>
      </c>
      <c r="I39" s="23">
        <v>7</v>
      </c>
      <c r="J39" s="24" t="s">
        <v>505</v>
      </c>
      <c r="K39" s="23">
        <v>0</v>
      </c>
      <c r="M39" s="23">
        <v>2</v>
      </c>
      <c r="N39" s="23" t="s">
        <v>496</v>
      </c>
      <c r="O39" s="23" t="s">
        <v>505</v>
      </c>
      <c r="P39" s="23" t="s">
        <v>443</v>
      </c>
      <c r="Q39" s="23" t="s">
        <v>531</v>
      </c>
      <c r="R39" s="23"/>
      <c r="S39" s="23"/>
      <c r="X39" s="23"/>
      <c r="Y39" s="23"/>
      <c r="Z39" s="23"/>
      <c r="AA39" s="23"/>
      <c r="AB39" s="23"/>
    </row>
    <row r="40" spans="1:30" x14ac:dyDescent="0.25">
      <c r="A40" s="2" t="s">
        <v>648</v>
      </c>
      <c r="B40" s="2" t="s">
        <v>649</v>
      </c>
      <c r="C40" s="2" t="s">
        <v>650</v>
      </c>
      <c r="D40" s="2" t="s">
        <v>347</v>
      </c>
      <c r="E40" s="2" t="s">
        <v>404</v>
      </c>
      <c r="F40" s="24" t="s">
        <v>496</v>
      </c>
      <c r="G40" s="24" t="s">
        <v>498</v>
      </c>
      <c r="H40" s="24" t="s">
        <v>497</v>
      </c>
      <c r="I40" s="23">
        <v>4</v>
      </c>
      <c r="J40" s="24" t="s">
        <v>505</v>
      </c>
      <c r="K40" s="23">
        <v>0</v>
      </c>
      <c r="M40" s="23">
        <v>2</v>
      </c>
      <c r="N40" s="23" t="s">
        <v>496</v>
      </c>
      <c r="O40" s="23" t="s">
        <v>500</v>
      </c>
      <c r="P40" s="23" t="s">
        <v>536</v>
      </c>
      <c r="Q40" s="23" t="s">
        <v>531</v>
      </c>
      <c r="R40" s="23" t="s">
        <v>540</v>
      </c>
      <c r="S40" s="23"/>
      <c r="X40" s="23"/>
      <c r="Y40" s="23"/>
      <c r="Z40" s="23"/>
      <c r="AA40" s="23"/>
      <c r="AB40" s="23"/>
    </row>
    <row r="41" spans="1:30" x14ac:dyDescent="0.25">
      <c r="A41" s="2" t="s">
        <v>655</v>
      </c>
      <c r="B41" s="2" t="s">
        <v>656</v>
      </c>
      <c r="C41" s="2" t="s">
        <v>657</v>
      </c>
      <c r="D41" s="2" t="s">
        <v>347</v>
      </c>
      <c r="E41" t="s">
        <v>404</v>
      </c>
      <c r="F41" s="24" t="s">
        <v>500</v>
      </c>
      <c r="G41" s="24" t="s">
        <v>507</v>
      </c>
      <c r="H41" s="24" t="s">
        <v>497</v>
      </c>
      <c r="I41" s="23">
        <v>4</v>
      </c>
      <c r="J41" s="24" t="s">
        <v>505</v>
      </c>
      <c r="K41" s="23">
        <v>0</v>
      </c>
      <c r="M41" s="23">
        <v>2</v>
      </c>
      <c r="N41" s="23" t="s">
        <v>505</v>
      </c>
      <c r="O41" s="23" t="s">
        <v>505</v>
      </c>
      <c r="P41" s="23" t="s">
        <v>532</v>
      </c>
      <c r="Q41" s="23" t="s">
        <v>658</v>
      </c>
      <c r="R41" s="23"/>
      <c r="S41" s="23"/>
      <c r="X41" s="23" t="s">
        <v>620</v>
      </c>
      <c r="Y41" s="23"/>
      <c r="Z41" s="23"/>
      <c r="AA41" s="23"/>
      <c r="AB41" s="23"/>
    </row>
    <row r="42" spans="1:30" x14ac:dyDescent="0.25">
      <c r="A42" s="2" t="s">
        <v>325</v>
      </c>
      <c r="B42" s="2" t="s">
        <v>326</v>
      </c>
      <c r="C42" s="2" t="s">
        <v>327</v>
      </c>
      <c r="D42" s="2" t="s">
        <v>347</v>
      </c>
      <c r="E42" t="s">
        <v>406</v>
      </c>
      <c r="F42" s="24" t="s">
        <v>496</v>
      </c>
      <c r="G42" s="24" t="s">
        <v>501</v>
      </c>
      <c r="H42" s="24" t="s">
        <v>497</v>
      </c>
      <c r="I42" s="23">
        <v>7</v>
      </c>
      <c r="J42" s="24" t="s">
        <v>505</v>
      </c>
      <c r="K42" s="23">
        <v>0</v>
      </c>
      <c r="L42" s="23">
        <v>1</v>
      </c>
      <c r="M42" s="23">
        <v>2</v>
      </c>
      <c r="N42" s="23" t="s">
        <v>502</v>
      </c>
      <c r="O42" s="27" t="s">
        <v>508</v>
      </c>
      <c r="P42" s="23" t="s">
        <v>443</v>
      </c>
      <c r="Q42" s="23" t="s">
        <v>531</v>
      </c>
      <c r="AB42" t="s">
        <v>714</v>
      </c>
      <c r="AD42" s="64" t="s">
        <v>714</v>
      </c>
    </row>
    <row r="43" spans="1:30" x14ac:dyDescent="0.25">
      <c r="A43" s="2" t="s">
        <v>168</v>
      </c>
      <c r="B43" s="2" t="s">
        <v>160</v>
      </c>
      <c r="C43" s="2" t="s">
        <v>169</v>
      </c>
      <c r="D43" s="2" t="s">
        <v>347</v>
      </c>
      <c r="E43" t="s">
        <v>406</v>
      </c>
      <c r="F43" s="24" t="s">
        <v>500</v>
      </c>
      <c r="G43" s="24" t="s">
        <v>498</v>
      </c>
      <c r="H43" s="24" t="s">
        <v>497</v>
      </c>
      <c r="I43" s="23">
        <v>4</v>
      </c>
      <c r="J43" s="24" t="s">
        <v>505</v>
      </c>
      <c r="K43" s="23">
        <v>0</v>
      </c>
      <c r="L43" s="23">
        <v>1</v>
      </c>
      <c r="M43" s="23">
        <v>2</v>
      </c>
      <c r="N43" s="23" t="s">
        <v>496</v>
      </c>
      <c r="O43" s="27" t="s">
        <v>508</v>
      </c>
      <c r="P43" s="23" t="s">
        <v>443</v>
      </c>
      <c r="Q43" s="23" t="s">
        <v>531</v>
      </c>
      <c r="R43" s="23" t="s">
        <v>540</v>
      </c>
      <c r="AB43" t="s">
        <v>714</v>
      </c>
      <c r="AD43" s="64">
        <v>1301</v>
      </c>
    </row>
    <row r="44" spans="1:30" x14ac:dyDescent="0.25">
      <c r="A44" s="2" t="s">
        <v>159</v>
      </c>
      <c r="B44" s="2" t="s">
        <v>160</v>
      </c>
      <c r="C44" s="2" t="s">
        <v>161</v>
      </c>
      <c r="D44" s="2" t="s">
        <v>347</v>
      </c>
      <c r="E44" t="s">
        <v>406</v>
      </c>
      <c r="F44" s="24" t="s">
        <v>500</v>
      </c>
      <c r="G44" s="24" t="s">
        <v>507</v>
      </c>
      <c r="H44" s="24" t="s">
        <v>497</v>
      </c>
      <c r="I44" s="23">
        <v>4</v>
      </c>
      <c r="J44" s="24" t="s">
        <v>505</v>
      </c>
      <c r="K44" s="23">
        <v>0</v>
      </c>
      <c r="L44" s="23">
        <v>1</v>
      </c>
      <c r="M44" s="23">
        <v>2</v>
      </c>
      <c r="N44" s="23" t="s">
        <v>496</v>
      </c>
      <c r="O44" s="27" t="s">
        <v>508</v>
      </c>
      <c r="P44" s="23" t="s">
        <v>443</v>
      </c>
      <c r="Q44" s="23" t="s">
        <v>531</v>
      </c>
      <c r="R44" s="23" t="s">
        <v>540</v>
      </c>
      <c r="AB44" t="s">
        <v>714</v>
      </c>
      <c r="AD44" s="64">
        <v>1301</v>
      </c>
    </row>
    <row r="45" spans="1:30" x14ac:dyDescent="0.25">
      <c r="A45" s="2" t="s">
        <v>216</v>
      </c>
      <c r="B45" s="2" t="s">
        <v>154</v>
      </c>
      <c r="C45" s="2" t="s">
        <v>217</v>
      </c>
      <c r="D45" s="2" t="s">
        <v>347</v>
      </c>
      <c r="E45" t="s">
        <v>406</v>
      </c>
      <c r="F45" s="24" t="s">
        <v>506</v>
      </c>
      <c r="G45" s="24" t="s">
        <v>498</v>
      </c>
      <c r="H45" s="24" t="s">
        <v>497</v>
      </c>
      <c r="I45" s="23">
        <v>4</v>
      </c>
      <c r="J45" s="24" t="s">
        <v>505</v>
      </c>
      <c r="K45" s="23">
        <v>0</v>
      </c>
      <c r="L45" s="23">
        <v>2</v>
      </c>
      <c r="M45" s="23" t="s">
        <v>502</v>
      </c>
      <c r="N45" s="23" t="s">
        <v>502</v>
      </c>
      <c r="O45" s="27" t="s">
        <v>505</v>
      </c>
      <c r="P45" s="23" t="s">
        <v>521</v>
      </c>
      <c r="Q45" s="23" t="s">
        <v>528</v>
      </c>
      <c r="AB45" t="s">
        <v>714</v>
      </c>
      <c r="AD45" s="64">
        <v>1818</v>
      </c>
    </row>
    <row r="46" spans="1:30" x14ac:dyDescent="0.25">
      <c r="A46" s="2" t="s">
        <v>218</v>
      </c>
      <c r="B46" s="2" t="s">
        <v>206</v>
      </c>
      <c r="C46" s="2" t="s">
        <v>219</v>
      </c>
      <c r="D46" s="2" t="s">
        <v>347</v>
      </c>
      <c r="E46" t="s">
        <v>406</v>
      </c>
      <c r="F46" s="24" t="s">
        <v>506</v>
      </c>
      <c r="G46" s="24" t="s">
        <v>498</v>
      </c>
      <c r="H46" s="24" t="s">
        <v>497</v>
      </c>
      <c r="I46" s="23">
        <v>7</v>
      </c>
      <c r="J46" s="24" t="s">
        <v>505</v>
      </c>
      <c r="K46" s="23">
        <v>0</v>
      </c>
      <c r="L46" s="23">
        <v>1</v>
      </c>
      <c r="M46" s="23">
        <v>2</v>
      </c>
      <c r="N46" s="23" t="s">
        <v>502</v>
      </c>
      <c r="O46" s="27" t="s">
        <v>505</v>
      </c>
      <c r="P46" s="23" t="s">
        <v>443</v>
      </c>
      <c r="Q46" s="23" t="s">
        <v>531</v>
      </c>
      <c r="AB46" t="s">
        <v>714</v>
      </c>
      <c r="AD46" s="64" t="s">
        <v>714</v>
      </c>
    </row>
    <row r="47" spans="1:30" x14ac:dyDescent="0.25">
      <c r="A47" s="2" t="s">
        <v>248</v>
      </c>
      <c r="B47" s="2" t="s">
        <v>206</v>
      </c>
      <c r="C47" s="2" t="s">
        <v>249</v>
      </c>
      <c r="D47" s="2" t="s">
        <v>347</v>
      </c>
      <c r="E47" t="s">
        <v>406</v>
      </c>
      <c r="F47" s="24" t="s">
        <v>506</v>
      </c>
      <c r="G47" s="24" t="s">
        <v>498</v>
      </c>
      <c r="H47" s="24" t="s">
        <v>497</v>
      </c>
      <c r="I47" s="23">
        <v>7</v>
      </c>
      <c r="J47" s="24" t="s">
        <v>505</v>
      </c>
      <c r="K47" s="23">
        <v>0</v>
      </c>
      <c r="L47" s="23">
        <v>3</v>
      </c>
      <c r="M47" s="23" t="s">
        <v>501</v>
      </c>
      <c r="N47" s="23" t="s">
        <v>502</v>
      </c>
      <c r="O47" s="27" t="s">
        <v>508</v>
      </c>
      <c r="P47" s="23" t="s">
        <v>443</v>
      </c>
      <c r="Q47" s="23" t="s">
        <v>528</v>
      </c>
      <c r="AB47" t="s">
        <v>714</v>
      </c>
      <c r="AD47" s="64" t="s">
        <v>714</v>
      </c>
    </row>
    <row r="48" spans="1:30" x14ac:dyDescent="0.25">
      <c r="A48" s="2" t="s">
        <v>212</v>
      </c>
      <c r="B48" s="2" t="s">
        <v>206</v>
      </c>
      <c r="C48" s="2" t="s">
        <v>213</v>
      </c>
      <c r="D48" s="2" t="s">
        <v>347</v>
      </c>
      <c r="E48" t="s">
        <v>406</v>
      </c>
      <c r="F48" s="24" t="s">
        <v>506</v>
      </c>
      <c r="G48" s="24" t="s">
        <v>507</v>
      </c>
      <c r="H48" s="24" t="s">
        <v>497</v>
      </c>
      <c r="I48" s="23">
        <v>4</v>
      </c>
      <c r="J48" s="24" t="s">
        <v>505</v>
      </c>
      <c r="K48" s="23">
        <v>0</v>
      </c>
      <c r="L48" s="23">
        <v>1</v>
      </c>
      <c r="M48" s="23" t="s">
        <v>501</v>
      </c>
      <c r="N48" s="23" t="s">
        <v>502</v>
      </c>
      <c r="O48" s="27" t="s">
        <v>508</v>
      </c>
      <c r="P48" s="23" t="s">
        <v>443</v>
      </c>
      <c r="Q48" s="23"/>
      <c r="R48" s="23" t="s">
        <v>540</v>
      </c>
      <c r="AB48" t="s">
        <v>714</v>
      </c>
      <c r="AD48" s="64">
        <v>1409</v>
      </c>
    </row>
    <row r="49" spans="1:30" x14ac:dyDescent="0.25">
      <c r="A49" s="2" t="s">
        <v>338</v>
      </c>
      <c r="B49" s="2" t="s">
        <v>28</v>
      </c>
      <c r="C49" s="2" t="s">
        <v>339</v>
      </c>
      <c r="D49" s="2" t="s">
        <v>347</v>
      </c>
      <c r="E49" t="s">
        <v>406</v>
      </c>
      <c r="F49" s="24" t="s">
        <v>506</v>
      </c>
      <c r="G49" s="24" t="s">
        <v>507</v>
      </c>
      <c r="H49" s="24" t="s">
        <v>497</v>
      </c>
      <c r="I49" s="23">
        <v>4</v>
      </c>
      <c r="J49" s="24" t="s">
        <v>505</v>
      </c>
      <c r="K49" s="23">
        <v>0</v>
      </c>
      <c r="L49" s="23">
        <v>2</v>
      </c>
      <c r="M49" s="23" t="s">
        <v>501</v>
      </c>
      <c r="N49" s="23" t="s">
        <v>502</v>
      </c>
      <c r="O49" s="27" t="s">
        <v>500</v>
      </c>
      <c r="P49" s="23" t="s">
        <v>527</v>
      </c>
      <c r="Q49" s="23"/>
      <c r="AB49" t="s">
        <v>714</v>
      </c>
      <c r="AD49" s="64" t="s">
        <v>714</v>
      </c>
    </row>
    <row r="50" spans="1:30" x14ac:dyDescent="0.25">
      <c r="A50" s="2" t="s">
        <v>322</v>
      </c>
      <c r="B50" s="2" t="s">
        <v>24</v>
      </c>
      <c r="C50" s="2" t="s">
        <v>323</v>
      </c>
      <c r="D50" s="2" t="s">
        <v>347</v>
      </c>
      <c r="E50" t="s">
        <v>406</v>
      </c>
      <c r="F50" s="24" t="s">
        <v>506</v>
      </c>
      <c r="G50" s="24" t="s">
        <v>507</v>
      </c>
      <c r="H50" s="24" t="s">
        <v>497</v>
      </c>
      <c r="I50" s="23">
        <v>4</v>
      </c>
      <c r="J50" s="24" t="s">
        <v>505</v>
      </c>
      <c r="K50" s="23">
        <v>0</v>
      </c>
      <c r="L50" s="23">
        <v>3</v>
      </c>
      <c r="M50" s="23" t="s">
        <v>501</v>
      </c>
      <c r="N50" s="23" t="s">
        <v>502</v>
      </c>
      <c r="O50" s="27" t="s">
        <v>508</v>
      </c>
      <c r="P50" s="23" t="s">
        <v>443</v>
      </c>
      <c r="Q50" s="23"/>
      <c r="AB50" t="s">
        <v>714</v>
      </c>
      <c r="AD50" s="64" t="s">
        <v>714</v>
      </c>
    </row>
    <row r="51" spans="1:30" x14ac:dyDescent="0.25">
      <c r="A51" s="2" t="s">
        <v>324</v>
      </c>
      <c r="B51" s="2" t="s">
        <v>24</v>
      </c>
      <c r="C51" s="2" t="s">
        <v>323</v>
      </c>
      <c r="D51" s="2" t="s">
        <v>347</v>
      </c>
      <c r="E51" t="s">
        <v>406</v>
      </c>
      <c r="F51" s="24" t="s">
        <v>506</v>
      </c>
      <c r="G51" s="24" t="s">
        <v>507</v>
      </c>
      <c r="H51" s="24" t="s">
        <v>497</v>
      </c>
      <c r="I51" s="23">
        <v>4</v>
      </c>
      <c r="J51" s="24" t="s">
        <v>505</v>
      </c>
      <c r="K51" s="23">
        <v>0</v>
      </c>
      <c r="L51" s="23">
        <v>3</v>
      </c>
      <c r="M51" s="23" t="s">
        <v>501</v>
      </c>
      <c r="N51" s="23" t="s">
        <v>502</v>
      </c>
      <c r="O51" s="27" t="s">
        <v>508</v>
      </c>
      <c r="P51" s="23" t="s">
        <v>443</v>
      </c>
      <c r="Q51" s="23"/>
      <c r="AB51" t="s">
        <v>714</v>
      </c>
      <c r="AD51" s="64" t="s">
        <v>714</v>
      </c>
    </row>
    <row r="52" spans="1:30" x14ac:dyDescent="0.25">
      <c r="A52" s="2" t="s">
        <v>220</v>
      </c>
      <c r="B52" s="2" t="s">
        <v>206</v>
      </c>
      <c r="C52" s="2" t="s">
        <v>221</v>
      </c>
      <c r="D52" s="2" t="s">
        <v>347</v>
      </c>
      <c r="E52" t="s">
        <v>406</v>
      </c>
      <c r="F52" s="24" t="s">
        <v>506</v>
      </c>
      <c r="G52" s="24" t="s">
        <v>507</v>
      </c>
      <c r="H52" s="24" t="s">
        <v>497</v>
      </c>
      <c r="I52" s="23">
        <v>7</v>
      </c>
      <c r="J52" s="24" t="s">
        <v>505</v>
      </c>
      <c r="K52" s="23">
        <v>0</v>
      </c>
      <c r="L52" s="23">
        <v>1</v>
      </c>
      <c r="M52" s="23">
        <v>2</v>
      </c>
      <c r="N52" s="23" t="s">
        <v>502</v>
      </c>
      <c r="O52" s="27" t="s">
        <v>505</v>
      </c>
      <c r="P52" s="23" t="s">
        <v>443</v>
      </c>
      <c r="Q52" s="23" t="s">
        <v>531</v>
      </c>
      <c r="AB52" t="s">
        <v>714</v>
      </c>
      <c r="AD52" s="64" t="s">
        <v>714</v>
      </c>
    </row>
    <row r="53" spans="1:30" x14ac:dyDescent="0.25">
      <c r="A53" s="2" t="s">
        <v>242</v>
      </c>
      <c r="B53" s="2" t="s">
        <v>206</v>
      </c>
      <c r="C53" s="2" t="s">
        <v>243</v>
      </c>
      <c r="D53" s="2" t="s">
        <v>347</v>
      </c>
      <c r="E53" t="s">
        <v>406</v>
      </c>
      <c r="F53" s="24" t="s">
        <v>506</v>
      </c>
      <c r="G53" s="24" t="s">
        <v>507</v>
      </c>
      <c r="H53" s="24" t="s">
        <v>497</v>
      </c>
      <c r="I53" s="23">
        <v>7</v>
      </c>
      <c r="J53" s="24" t="s">
        <v>505</v>
      </c>
      <c r="K53" s="23">
        <v>0</v>
      </c>
      <c r="L53" s="23">
        <v>3</v>
      </c>
      <c r="M53" s="23" t="s">
        <v>501</v>
      </c>
      <c r="N53" s="23" t="s">
        <v>502</v>
      </c>
      <c r="O53" s="27" t="s">
        <v>508</v>
      </c>
      <c r="P53" s="23" t="s">
        <v>443</v>
      </c>
      <c r="Q53" s="23" t="s">
        <v>528</v>
      </c>
      <c r="AB53" t="s">
        <v>714</v>
      </c>
      <c r="AD53" s="64" t="s">
        <v>714</v>
      </c>
    </row>
    <row r="54" spans="1:30" x14ac:dyDescent="0.25">
      <c r="A54" s="2" t="s">
        <v>250</v>
      </c>
      <c r="B54" s="2" t="s">
        <v>206</v>
      </c>
      <c r="C54" s="2" t="s">
        <v>243</v>
      </c>
      <c r="D54" s="2" t="s">
        <v>347</v>
      </c>
      <c r="E54" t="s">
        <v>406</v>
      </c>
      <c r="F54" s="24" t="s">
        <v>506</v>
      </c>
      <c r="G54" s="24" t="s">
        <v>507</v>
      </c>
      <c r="H54" s="24" t="s">
        <v>497</v>
      </c>
      <c r="I54" s="23">
        <v>7</v>
      </c>
      <c r="J54" s="24" t="s">
        <v>505</v>
      </c>
      <c r="K54" s="23">
        <v>0</v>
      </c>
      <c r="L54" s="23">
        <v>3</v>
      </c>
      <c r="M54" s="23" t="s">
        <v>501</v>
      </c>
      <c r="N54" s="23" t="s">
        <v>502</v>
      </c>
      <c r="O54" s="27" t="s">
        <v>508</v>
      </c>
      <c r="P54" s="23" t="s">
        <v>443</v>
      </c>
      <c r="Q54" s="23" t="s">
        <v>528</v>
      </c>
      <c r="AB54" t="s">
        <v>714</v>
      </c>
      <c r="AD54" s="64" t="s">
        <v>714</v>
      </c>
    </row>
    <row r="55" spans="1:30" x14ac:dyDescent="0.25">
      <c r="A55" s="2" t="s">
        <v>205</v>
      </c>
      <c r="B55" s="2" t="s">
        <v>206</v>
      </c>
      <c r="C55" s="2" t="s">
        <v>207</v>
      </c>
      <c r="D55" s="2" t="s">
        <v>347</v>
      </c>
      <c r="E55" t="s">
        <v>406</v>
      </c>
      <c r="F55" s="24" t="s">
        <v>506</v>
      </c>
      <c r="G55" s="24" t="s">
        <v>501</v>
      </c>
      <c r="H55" s="24" t="s">
        <v>497</v>
      </c>
      <c r="I55" s="23">
        <v>4</v>
      </c>
      <c r="J55" s="24" t="s">
        <v>505</v>
      </c>
      <c r="K55" s="23">
        <v>0</v>
      </c>
      <c r="L55" s="23">
        <v>1</v>
      </c>
      <c r="M55" s="23" t="s">
        <v>501</v>
      </c>
      <c r="N55" s="23" t="s">
        <v>502</v>
      </c>
      <c r="O55" s="27" t="s">
        <v>508</v>
      </c>
      <c r="P55" s="23" t="s">
        <v>443</v>
      </c>
      <c r="Q55" s="23"/>
      <c r="R55" s="23" t="s">
        <v>540</v>
      </c>
      <c r="AB55" t="s">
        <v>714</v>
      </c>
      <c r="AD55" s="64">
        <v>1409</v>
      </c>
    </row>
    <row r="56" spans="1:30" x14ac:dyDescent="0.25">
      <c r="A56" s="2" t="s">
        <v>211</v>
      </c>
      <c r="B56" s="2" t="s">
        <v>206</v>
      </c>
      <c r="C56" s="2" t="s">
        <v>207</v>
      </c>
      <c r="D56" s="2" t="s">
        <v>347</v>
      </c>
      <c r="E56" t="s">
        <v>406</v>
      </c>
      <c r="F56" s="24" t="s">
        <v>506</v>
      </c>
      <c r="G56" s="24" t="s">
        <v>501</v>
      </c>
      <c r="H56" s="24" t="s">
        <v>497</v>
      </c>
      <c r="I56" s="23">
        <v>4</v>
      </c>
      <c r="J56" s="24" t="s">
        <v>505</v>
      </c>
      <c r="K56" s="23">
        <v>0</v>
      </c>
      <c r="L56" s="23">
        <v>1</v>
      </c>
      <c r="M56" s="23" t="s">
        <v>501</v>
      </c>
      <c r="N56" s="23" t="s">
        <v>502</v>
      </c>
      <c r="O56" s="27" t="s">
        <v>508</v>
      </c>
      <c r="P56" s="23" t="s">
        <v>443</v>
      </c>
      <c r="Q56" s="23"/>
      <c r="R56" s="23" t="s">
        <v>540</v>
      </c>
      <c r="AB56" t="s">
        <v>714</v>
      </c>
    </row>
    <row r="57" spans="1:30" x14ac:dyDescent="0.25">
      <c r="A57" s="2" t="s">
        <v>334</v>
      </c>
      <c r="B57" s="2" t="s">
        <v>28</v>
      </c>
      <c r="C57" s="2" t="s">
        <v>335</v>
      </c>
      <c r="D57" s="2" t="s">
        <v>347</v>
      </c>
      <c r="E57" t="s">
        <v>406</v>
      </c>
      <c r="F57" s="24" t="s">
        <v>506</v>
      </c>
      <c r="G57" s="24" t="s">
        <v>501</v>
      </c>
      <c r="H57" s="24" t="s">
        <v>497</v>
      </c>
      <c r="I57" s="23">
        <v>4</v>
      </c>
      <c r="J57" s="24" t="s">
        <v>505</v>
      </c>
      <c r="K57" s="23">
        <v>0</v>
      </c>
      <c r="L57" s="23">
        <v>2</v>
      </c>
      <c r="M57" s="23" t="s">
        <v>501</v>
      </c>
      <c r="N57" s="23" t="s">
        <v>502</v>
      </c>
      <c r="O57" s="27" t="s">
        <v>500</v>
      </c>
      <c r="P57" s="23" t="s">
        <v>443</v>
      </c>
      <c r="Q57" s="23"/>
      <c r="AB57" t="s">
        <v>714</v>
      </c>
    </row>
    <row r="58" spans="1:30" x14ac:dyDescent="0.25">
      <c r="A58" s="2" t="s">
        <v>340</v>
      </c>
      <c r="B58" s="2" t="s">
        <v>28</v>
      </c>
      <c r="C58" s="2" t="s">
        <v>335</v>
      </c>
      <c r="D58" s="2" t="s">
        <v>347</v>
      </c>
      <c r="E58" t="s">
        <v>406</v>
      </c>
      <c r="F58" s="24" t="s">
        <v>506</v>
      </c>
      <c r="G58" s="24" t="s">
        <v>501</v>
      </c>
      <c r="H58" s="24" t="s">
        <v>497</v>
      </c>
      <c r="I58" s="23">
        <v>4</v>
      </c>
      <c r="J58" s="24" t="s">
        <v>505</v>
      </c>
      <c r="K58" s="23">
        <v>0</v>
      </c>
      <c r="L58" s="23">
        <v>2</v>
      </c>
      <c r="M58" s="23" t="s">
        <v>501</v>
      </c>
      <c r="N58" s="23" t="s">
        <v>502</v>
      </c>
      <c r="O58" s="27" t="s">
        <v>500</v>
      </c>
      <c r="P58" s="23" t="s">
        <v>527</v>
      </c>
      <c r="Q58" s="23"/>
      <c r="AB58" t="s">
        <v>714</v>
      </c>
    </row>
    <row r="59" spans="1:30" x14ac:dyDescent="0.25">
      <c r="A59" s="2" t="s">
        <v>319</v>
      </c>
      <c r="B59" s="2" t="s">
        <v>24</v>
      </c>
      <c r="C59" s="2" t="s">
        <v>320</v>
      </c>
      <c r="D59" s="2" t="s">
        <v>347</v>
      </c>
      <c r="E59" t="s">
        <v>406</v>
      </c>
      <c r="F59" s="24" t="s">
        <v>506</v>
      </c>
      <c r="G59" s="24" t="s">
        <v>501</v>
      </c>
      <c r="H59" s="24" t="s">
        <v>497</v>
      </c>
      <c r="I59" s="23">
        <v>4</v>
      </c>
      <c r="J59" s="24" t="s">
        <v>505</v>
      </c>
      <c r="K59" s="23">
        <v>0</v>
      </c>
      <c r="L59" s="23">
        <v>3</v>
      </c>
      <c r="M59" s="23" t="s">
        <v>501</v>
      </c>
      <c r="N59" s="23" t="s">
        <v>502</v>
      </c>
      <c r="O59" s="27" t="s">
        <v>508</v>
      </c>
      <c r="P59" s="23" t="s">
        <v>527</v>
      </c>
      <c r="Q59" s="23"/>
      <c r="AB59" t="s">
        <v>714</v>
      </c>
    </row>
    <row r="60" spans="1:30" x14ac:dyDescent="0.25">
      <c r="A60" s="2" t="s">
        <v>321</v>
      </c>
      <c r="B60" s="2" t="s">
        <v>24</v>
      </c>
      <c r="C60" s="2" t="s">
        <v>320</v>
      </c>
      <c r="D60" s="2" t="s">
        <v>347</v>
      </c>
      <c r="E60" t="s">
        <v>406</v>
      </c>
      <c r="F60" s="24" t="s">
        <v>506</v>
      </c>
      <c r="G60" s="24" t="s">
        <v>501</v>
      </c>
      <c r="H60" s="24" t="s">
        <v>497</v>
      </c>
      <c r="I60" s="23">
        <v>4</v>
      </c>
      <c r="J60" s="24" t="s">
        <v>505</v>
      </c>
      <c r="K60" s="23">
        <v>0</v>
      </c>
      <c r="L60" s="23">
        <v>3</v>
      </c>
      <c r="M60" s="23" t="s">
        <v>501</v>
      </c>
      <c r="N60" s="23" t="s">
        <v>502</v>
      </c>
      <c r="O60" s="27" t="s">
        <v>508</v>
      </c>
      <c r="P60" s="23" t="s">
        <v>443</v>
      </c>
      <c r="Q60" s="23"/>
      <c r="AB60" t="s">
        <v>714</v>
      </c>
    </row>
    <row r="61" spans="1:30" x14ac:dyDescent="0.25">
      <c r="A61" s="2" t="s">
        <v>222</v>
      </c>
      <c r="B61" s="2" t="s">
        <v>206</v>
      </c>
      <c r="C61" s="2" t="s">
        <v>223</v>
      </c>
      <c r="D61" s="2" t="s">
        <v>347</v>
      </c>
      <c r="E61" t="s">
        <v>406</v>
      </c>
      <c r="F61" s="24" t="s">
        <v>506</v>
      </c>
      <c r="G61" s="24" t="s">
        <v>501</v>
      </c>
      <c r="H61" s="24" t="s">
        <v>497</v>
      </c>
      <c r="I61" s="23">
        <v>7</v>
      </c>
      <c r="J61" s="24" t="s">
        <v>505</v>
      </c>
      <c r="K61" s="23">
        <v>0</v>
      </c>
      <c r="L61" s="23">
        <v>1</v>
      </c>
      <c r="M61" s="23">
        <v>2</v>
      </c>
      <c r="N61" s="23" t="s">
        <v>502</v>
      </c>
      <c r="O61" s="27" t="s">
        <v>505</v>
      </c>
      <c r="P61" s="23" t="s">
        <v>443</v>
      </c>
      <c r="Q61" s="23" t="s">
        <v>531</v>
      </c>
      <c r="AB61" t="s">
        <v>714</v>
      </c>
    </row>
    <row r="62" spans="1:30" x14ac:dyDescent="0.25">
      <c r="A62" s="2" t="s">
        <v>244</v>
      </c>
      <c r="B62" s="2" t="s">
        <v>206</v>
      </c>
      <c r="C62" s="2" t="s">
        <v>245</v>
      </c>
      <c r="D62" s="2" t="s">
        <v>347</v>
      </c>
      <c r="E62" t="s">
        <v>406</v>
      </c>
      <c r="F62" s="24" t="s">
        <v>506</v>
      </c>
      <c r="G62" s="24" t="s">
        <v>501</v>
      </c>
      <c r="H62" s="24" t="s">
        <v>497</v>
      </c>
      <c r="I62" s="23">
        <v>7</v>
      </c>
      <c r="J62" s="24" t="s">
        <v>505</v>
      </c>
      <c r="K62" s="23">
        <v>0</v>
      </c>
      <c r="L62" s="23">
        <v>3</v>
      </c>
      <c r="M62" s="23" t="s">
        <v>501</v>
      </c>
      <c r="N62" s="23" t="s">
        <v>502</v>
      </c>
      <c r="O62" s="27" t="s">
        <v>508</v>
      </c>
      <c r="P62" s="23" t="s">
        <v>443</v>
      </c>
      <c r="Q62" s="23" t="s">
        <v>528</v>
      </c>
      <c r="AB62" t="s">
        <v>714</v>
      </c>
    </row>
    <row r="63" spans="1:30" x14ac:dyDescent="0.25">
      <c r="A63" s="2" t="s">
        <v>336</v>
      </c>
      <c r="B63" s="2" t="s">
        <v>28</v>
      </c>
      <c r="C63" s="2" t="s">
        <v>337</v>
      </c>
      <c r="D63" s="2" t="s">
        <v>347</v>
      </c>
      <c r="E63" t="s">
        <v>406</v>
      </c>
      <c r="F63" s="24" t="s">
        <v>506</v>
      </c>
      <c r="G63" s="24" t="s">
        <v>502</v>
      </c>
      <c r="H63" s="24" t="s">
        <v>497</v>
      </c>
      <c r="I63" s="23">
        <v>4</v>
      </c>
      <c r="J63" s="24" t="s">
        <v>505</v>
      </c>
      <c r="K63" s="23">
        <v>0</v>
      </c>
      <c r="L63" s="23">
        <v>2</v>
      </c>
      <c r="M63" s="23" t="s">
        <v>501</v>
      </c>
      <c r="N63" s="23" t="s">
        <v>502</v>
      </c>
      <c r="O63" s="27" t="s">
        <v>500</v>
      </c>
      <c r="P63" s="23" t="s">
        <v>527</v>
      </c>
      <c r="Q63" s="23"/>
      <c r="AB63" t="s">
        <v>714</v>
      </c>
    </row>
    <row r="64" spans="1:30" x14ac:dyDescent="0.25">
      <c r="A64" s="2" t="s">
        <v>345</v>
      </c>
      <c r="B64" s="2" t="s">
        <v>28</v>
      </c>
      <c r="C64" s="2" t="s">
        <v>337</v>
      </c>
      <c r="D64" s="2" t="s">
        <v>347</v>
      </c>
      <c r="E64" t="s">
        <v>406</v>
      </c>
      <c r="F64" s="24" t="s">
        <v>506</v>
      </c>
      <c r="G64" s="24" t="s">
        <v>502</v>
      </c>
      <c r="H64" s="24" t="s">
        <v>497</v>
      </c>
      <c r="I64" s="23">
        <v>4</v>
      </c>
      <c r="J64" s="24" t="s">
        <v>505</v>
      </c>
      <c r="K64" s="23">
        <v>0</v>
      </c>
      <c r="L64" s="23">
        <v>2</v>
      </c>
      <c r="M64" s="23" t="s">
        <v>501</v>
      </c>
      <c r="N64" s="23" t="s">
        <v>502</v>
      </c>
      <c r="O64" s="27" t="s">
        <v>500</v>
      </c>
      <c r="P64" s="23" t="s">
        <v>527</v>
      </c>
      <c r="Q64" s="23"/>
      <c r="AB64" t="s">
        <v>714</v>
      </c>
    </row>
    <row r="65" spans="1:30" x14ac:dyDescent="0.25">
      <c r="A65" s="2" t="s">
        <v>246</v>
      </c>
      <c r="B65" s="2" t="s">
        <v>206</v>
      </c>
      <c r="C65" s="2" t="s">
        <v>247</v>
      </c>
      <c r="D65" s="2" t="s">
        <v>347</v>
      </c>
      <c r="E65" t="s">
        <v>406</v>
      </c>
      <c r="F65" s="24" t="s">
        <v>506</v>
      </c>
      <c r="G65" s="24" t="s">
        <v>502</v>
      </c>
      <c r="H65" s="24" t="s">
        <v>497</v>
      </c>
      <c r="I65" s="23">
        <v>7</v>
      </c>
      <c r="J65" s="24" t="s">
        <v>505</v>
      </c>
      <c r="K65" s="23">
        <v>0</v>
      </c>
      <c r="L65" s="23">
        <v>3</v>
      </c>
      <c r="M65" s="23" t="s">
        <v>501</v>
      </c>
      <c r="N65" s="23" t="s">
        <v>502</v>
      </c>
      <c r="O65" s="27" t="s">
        <v>508</v>
      </c>
      <c r="P65" s="23" t="s">
        <v>443</v>
      </c>
      <c r="Q65" s="23" t="s">
        <v>528</v>
      </c>
      <c r="AB65" t="s">
        <v>714</v>
      </c>
    </row>
    <row r="66" spans="1:30" x14ac:dyDescent="0.25">
      <c r="A66" s="2" t="s">
        <v>197</v>
      </c>
      <c r="B66" s="2" t="s">
        <v>198</v>
      </c>
      <c r="C66" s="2" t="s">
        <v>199</v>
      </c>
      <c r="D66" s="2" t="s">
        <v>347</v>
      </c>
      <c r="E66" t="s">
        <v>406</v>
      </c>
      <c r="F66" s="24" t="s">
        <v>506</v>
      </c>
      <c r="G66" s="24" t="s">
        <v>498</v>
      </c>
      <c r="H66" s="24" t="s">
        <v>497</v>
      </c>
      <c r="I66" s="23">
        <v>4</v>
      </c>
      <c r="J66" s="24" t="s">
        <v>505</v>
      </c>
      <c r="K66" s="23">
        <v>0</v>
      </c>
      <c r="L66" s="23">
        <v>1</v>
      </c>
      <c r="M66" s="23">
        <v>2</v>
      </c>
      <c r="N66" s="23" t="s">
        <v>505</v>
      </c>
      <c r="O66" s="27" t="s">
        <v>508</v>
      </c>
      <c r="P66" s="23" t="s">
        <v>443</v>
      </c>
      <c r="Q66" s="23" t="s">
        <v>531</v>
      </c>
      <c r="R66" s="23"/>
      <c r="S66" s="23" t="s">
        <v>542</v>
      </c>
      <c r="T66"/>
      <c r="V66"/>
      <c r="W66"/>
      <c r="Y66" t="s">
        <v>621</v>
      </c>
      <c r="AB66" t="s">
        <v>714</v>
      </c>
    </row>
    <row r="67" spans="1:30" x14ac:dyDescent="0.25">
      <c r="A67" s="2" t="s">
        <v>173</v>
      </c>
      <c r="B67" s="2" t="s">
        <v>160</v>
      </c>
      <c r="C67" s="2" t="s">
        <v>174</v>
      </c>
      <c r="D67" s="2" t="s">
        <v>347</v>
      </c>
      <c r="E67" t="s">
        <v>406</v>
      </c>
      <c r="F67" s="24" t="s">
        <v>506</v>
      </c>
      <c r="G67" s="24" t="s">
        <v>507</v>
      </c>
      <c r="H67" s="24" t="s">
        <v>497</v>
      </c>
      <c r="I67" s="23">
        <v>4</v>
      </c>
      <c r="J67" s="24" t="s">
        <v>505</v>
      </c>
      <c r="K67" s="23">
        <v>0</v>
      </c>
      <c r="L67" s="23">
        <v>1</v>
      </c>
      <c r="M67" s="23">
        <v>2</v>
      </c>
      <c r="N67" s="23" t="s">
        <v>496</v>
      </c>
      <c r="O67" s="27" t="s">
        <v>508</v>
      </c>
      <c r="P67" s="23" t="s">
        <v>443</v>
      </c>
      <c r="Q67" s="23" t="s">
        <v>531</v>
      </c>
      <c r="R67" s="23" t="s">
        <v>540</v>
      </c>
      <c r="T67"/>
      <c r="V67"/>
      <c r="W67"/>
      <c r="AB67" t="s">
        <v>714</v>
      </c>
      <c r="AC67" t="s">
        <v>724</v>
      </c>
    </row>
    <row r="68" spans="1:30" x14ac:dyDescent="0.25">
      <c r="A68" s="2" t="s">
        <v>183</v>
      </c>
      <c r="B68" s="2" t="s">
        <v>73</v>
      </c>
      <c r="C68" s="2"/>
      <c r="D68" s="2" t="s">
        <v>347</v>
      </c>
      <c r="E68" t="s">
        <v>406</v>
      </c>
      <c r="F68" s="24" t="s">
        <v>506</v>
      </c>
      <c r="G68" s="24" t="s">
        <v>507</v>
      </c>
      <c r="H68" s="24" t="s">
        <v>497</v>
      </c>
      <c r="I68" s="23">
        <v>4</v>
      </c>
      <c r="J68" s="24" t="s">
        <v>505</v>
      </c>
      <c r="K68" s="23">
        <v>0</v>
      </c>
      <c r="L68" s="23">
        <v>1</v>
      </c>
      <c r="M68" s="23">
        <v>2</v>
      </c>
      <c r="N68" s="23" t="s">
        <v>496</v>
      </c>
      <c r="O68" s="27" t="s">
        <v>508</v>
      </c>
      <c r="P68" s="23" t="s">
        <v>609</v>
      </c>
      <c r="Q68" s="23" t="s">
        <v>529</v>
      </c>
      <c r="R68" s="23" t="s">
        <v>540</v>
      </c>
      <c r="T68"/>
      <c r="V68"/>
      <c r="W68"/>
      <c r="AB68" t="s">
        <v>714</v>
      </c>
    </row>
    <row r="69" spans="1:30" x14ac:dyDescent="0.25">
      <c r="A69" s="2" t="s">
        <v>645</v>
      </c>
      <c r="B69" s="2" t="s">
        <v>646</v>
      </c>
      <c r="C69" s="2" t="s">
        <v>647</v>
      </c>
      <c r="D69" s="2" t="s">
        <v>347</v>
      </c>
      <c r="E69" t="s">
        <v>406</v>
      </c>
      <c r="F69" s="24" t="s">
        <v>506</v>
      </c>
      <c r="G69" s="24" t="s">
        <v>507</v>
      </c>
      <c r="H69" s="24" t="s">
        <v>497</v>
      </c>
      <c r="I69" s="23">
        <v>4</v>
      </c>
      <c r="J69" s="24" t="s">
        <v>505</v>
      </c>
      <c r="K69" s="23">
        <v>0</v>
      </c>
      <c r="L69" s="23">
        <v>1</v>
      </c>
      <c r="M69" s="23">
        <v>2</v>
      </c>
      <c r="N69" s="23" t="s">
        <v>496</v>
      </c>
      <c r="O69" s="23" t="s">
        <v>508</v>
      </c>
      <c r="P69" s="23" t="s">
        <v>536</v>
      </c>
      <c r="Q69" s="23" t="s">
        <v>531</v>
      </c>
      <c r="R69" s="23" t="s">
        <v>540</v>
      </c>
      <c r="S69" s="23"/>
      <c r="X69" s="23"/>
      <c r="Y69" s="23"/>
      <c r="Z69" s="23"/>
      <c r="AA69" s="23"/>
      <c r="AB69" s="23"/>
    </row>
    <row r="70" spans="1:30" x14ac:dyDescent="0.25">
      <c r="A70" s="2" t="s">
        <v>664</v>
      </c>
      <c r="B70" s="2" t="s">
        <v>665</v>
      </c>
      <c r="C70" s="2" t="s">
        <v>666</v>
      </c>
      <c r="D70" s="2" t="s">
        <v>347</v>
      </c>
      <c r="E70" t="s">
        <v>406</v>
      </c>
      <c r="F70" s="24" t="s">
        <v>506</v>
      </c>
      <c r="G70" s="24" t="s">
        <v>507</v>
      </c>
      <c r="H70" s="24" t="s">
        <v>497</v>
      </c>
      <c r="I70" s="23">
        <v>4</v>
      </c>
      <c r="J70" s="24" t="s">
        <v>505</v>
      </c>
      <c r="K70" s="23">
        <v>0</v>
      </c>
      <c r="L70" s="23">
        <v>1</v>
      </c>
      <c r="M70" s="23">
        <v>2</v>
      </c>
      <c r="N70" s="23" t="s">
        <v>496</v>
      </c>
      <c r="O70" s="23" t="s">
        <v>508</v>
      </c>
      <c r="P70" s="23" t="s">
        <v>667</v>
      </c>
      <c r="Q70" s="23" t="s">
        <v>528</v>
      </c>
      <c r="R70" s="23"/>
      <c r="S70" s="23"/>
      <c r="X70" s="23"/>
      <c r="Y70" s="23"/>
      <c r="Z70" s="23"/>
      <c r="AA70" s="23"/>
      <c r="AB70" s="23"/>
    </row>
    <row r="71" spans="1:30" x14ac:dyDescent="0.25">
      <c r="A71" s="2" t="s">
        <v>668</v>
      </c>
      <c r="B71" s="2" t="s">
        <v>669</v>
      </c>
      <c r="C71" s="2" t="s">
        <v>666</v>
      </c>
      <c r="D71" s="2" t="s">
        <v>347</v>
      </c>
      <c r="E71" t="s">
        <v>406</v>
      </c>
      <c r="F71" s="24" t="s">
        <v>506</v>
      </c>
      <c r="G71" s="24" t="s">
        <v>498</v>
      </c>
      <c r="H71" s="24" t="s">
        <v>497</v>
      </c>
      <c r="I71" s="23">
        <v>4</v>
      </c>
      <c r="J71" s="24" t="s">
        <v>505</v>
      </c>
      <c r="K71" s="23">
        <v>0</v>
      </c>
      <c r="L71" s="23">
        <v>1</v>
      </c>
      <c r="M71" s="23">
        <v>2</v>
      </c>
      <c r="N71" s="23" t="s">
        <v>496</v>
      </c>
      <c r="O71" s="23" t="s">
        <v>508</v>
      </c>
      <c r="P71" s="23" t="s">
        <v>667</v>
      </c>
      <c r="Q71" s="23" t="s">
        <v>528</v>
      </c>
      <c r="R71" s="23"/>
      <c r="S71" s="23"/>
      <c r="X71" s="23"/>
      <c r="Y71" s="23"/>
      <c r="Z71" s="23"/>
      <c r="AA71" s="23"/>
      <c r="AB71" s="23"/>
    </row>
    <row r="72" spans="1:30" x14ac:dyDescent="0.25">
      <c r="A72" s="2" t="s">
        <v>682</v>
      </c>
      <c r="B72" s="2" t="s">
        <v>683</v>
      </c>
      <c r="C72" s="2" t="s">
        <v>684</v>
      </c>
      <c r="D72" s="2" t="s">
        <v>347</v>
      </c>
      <c r="E72" t="s">
        <v>406</v>
      </c>
      <c r="F72" s="24" t="s">
        <v>506</v>
      </c>
      <c r="G72" s="24" t="s">
        <v>501</v>
      </c>
      <c r="H72" s="24" t="s">
        <v>497</v>
      </c>
      <c r="I72" s="24" t="s">
        <v>498</v>
      </c>
      <c r="J72" s="24" t="s">
        <v>505</v>
      </c>
      <c r="K72" s="23">
        <v>0</v>
      </c>
      <c r="L72" s="23">
        <v>1</v>
      </c>
      <c r="M72" s="23">
        <v>2</v>
      </c>
      <c r="N72" s="23" t="s">
        <v>496</v>
      </c>
      <c r="O72" s="23" t="s">
        <v>508</v>
      </c>
      <c r="P72" s="23" t="s">
        <v>667</v>
      </c>
      <c r="Q72" s="23" t="s">
        <v>528</v>
      </c>
      <c r="R72" s="23"/>
      <c r="S72" s="23"/>
      <c r="X72" s="23"/>
      <c r="Y72" s="23"/>
      <c r="Z72" s="23"/>
      <c r="AA72" s="23"/>
      <c r="AB72" s="23"/>
    </row>
    <row r="73" spans="1:30" x14ac:dyDescent="0.25">
      <c r="A73" s="2" t="s">
        <v>687</v>
      </c>
      <c r="B73" s="2" t="s">
        <v>688</v>
      </c>
      <c r="C73" s="2" t="s">
        <v>666</v>
      </c>
      <c r="D73" s="2" t="s">
        <v>347</v>
      </c>
      <c r="E73" t="s">
        <v>406</v>
      </c>
      <c r="F73" s="24" t="s">
        <v>506</v>
      </c>
      <c r="G73" s="24" t="s">
        <v>507</v>
      </c>
      <c r="H73" s="24" t="s">
        <v>497</v>
      </c>
      <c r="I73" s="23">
        <v>4</v>
      </c>
      <c r="J73" s="24" t="s">
        <v>505</v>
      </c>
      <c r="K73" s="23">
        <v>0</v>
      </c>
      <c r="L73" s="23">
        <v>1</v>
      </c>
      <c r="M73" s="23">
        <v>2</v>
      </c>
      <c r="N73" s="23" t="s">
        <v>496</v>
      </c>
      <c r="O73" s="23" t="s">
        <v>508</v>
      </c>
      <c r="P73" s="23" t="s">
        <v>667</v>
      </c>
      <c r="Q73" s="23" t="s">
        <v>528</v>
      </c>
      <c r="R73" s="23"/>
      <c r="S73" s="23"/>
      <c r="X73" s="23"/>
      <c r="Y73" s="23"/>
      <c r="Z73" s="23"/>
      <c r="AA73" s="23"/>
      <c r="AB73" s="23"/>
    </row>
    <row r="74" spans="1:30" x14ac:dyDescent="0.25">
      <c r="A74" s="2" t="s">
        <v>692</v>
      </c>
      <c r="B74" s="2" t="s">
        <v>693</v>
      </c>
      <c r="C74" s="2" t="s">
        <v>666</v>
      </c>
      <c r="D74" s="2" t="s">
        <v>347</v>
      </c>
      <c r="E74" t="s">
        <v>406</v>
      </c>
      <c r="F74" s="24" t="s">
        <v>506</v>
      </c>
      <c r="G74" s="24" t="s">
        <v>507</v>
      </c>
      <c r="H74" s="24" t="s">
        <v>497</v>
      </c>
      <c r="I74" s="23">
        <v>4</v>
      </c>
      <c r="J74" s="24" t="s">
        <v>505</v>
      </c>
      <c r="K74" s="23">
        <v>0</v>
      </c>
      <c r="L74" s="23">
        <v>1</v>
      </c>
      <c r="M74" s="23">
        <v>7</v>
      </c>
      <c r="N74" s="23" t="s">
        <v>496</v>
      </c>
      <c r="O74" s="23" t="s">
        <v>508</v>
      </c>
      <c r="P74" s="23" t="s">
        <v>667</v>
      </c>
      <c r="Q74" s="23" t="s">
        <v>529</v>
      </c>
      <c r="R74" s="23"/>
      <c r="S74" s="23" t="s">
        <v>542</v>
      </c>
      <c r="X74" s="23"/>
      <c r="Y74" s="23" t="s">
        <v>694</v>
      </c>
      <c r="Z74" s="23"/>
      <c r="AA74" s="23"/>
      <c r="AB74" s="23"/>
    </row>
    <row r="75" spans="1:30" x14ac:dyDescent="0.25">
      <c r="A75" s="2" t="s">
        <v>695</v>
      </c>
      <c r="B75" s="2" t="s">
        <v>693</v>
      </c>
      <c r="C75" s="2" t="s">
        <v>696</v>
      </c>
      <c r="D75" s="2" t="s">
        <v>347</v>
      </c>
      <c r="E75" t="s">
        <v>406</v>
      </c>
      <c r="F75" s="24" t="s">
        <v>506</v>
      </c>
      <c r="G75" s="24" t="s">
        <v>507</v>
      </c>
      <c r="H75" s="24" t="s">
        <v>497</v>
      </c>
      <c r="I75" s="23">
        <v>4</v>
      </c>
      <c r="J75" s="24" t="s">
        <v>505</v>
      </c>
      <c r="K75" s="23">
        <v>0</v>
      </c>
      <c r="L75" s="23">
        <v>1</v>
      </c>
      <c r="M75" s="23">
        <v>9</v>
      </c>
      <c r="N75" s="23" t="s">
        <v>496</v>
      </c>
      <c r="O75" s="23" t="s">
        <v>508</v>
      </c>
      <c r="P75" s="23" t="s">
        <v>697</v>
      </c>
      <c r="Q75" s="23" t="s">
        <v>529</v>
      </c>
      <c r="R75" s="23"/>
      <c r="S75" s="23" t="s">
        <v>542</v>
      </c>
      <c r="W75" s="23" t="s">
        <v>498</v>
      </c>
      <c r="X75" s="23"/>
      <c r="Y75" s="23" t="s">
        <v>694</v>
      </c>
      <c r="Z75" s="23" t="s">
        <v>698</v>
      </c>
      <c r="AA75" s="23"/>
      <c r="AB75" s="23"/>
    </row>
    <row r="76" spans="1:30" x14ac:dyDescent="0.25">
      <c r="A76" s="2" t="s">
        <v>38</v>
      </c>
      <c r="B76" s="2" t="s">
        <v>24</v>
      </c>
      <c r="C76" s="2" t="s">
        <v>39</v>
      </c>
      <c r="D76" s="2" t="s">
        <v>347</v>
      </c>
      <c r="E76" t="s">
        <v>407</v>
      </c>
      <c r="F76" s="24" t="s">
        <v>496</v>
      </c>
      <c r="G76" s="24" t="s">
        <v>498</v>
      </c>
      <c r="H76" s="24" t="s">
        <v>497</v>
      </c>
      <c r="I76" s="23">
        <v>5</v>
      </c>
      <c r="J76" s="24" t="s">
        <v>509</v>
      </c>
      <c r="K76" s="24" t="s">
        <v>507</v>
      </c>
      <c r="L76" s="23">
        <v>1</v>
      </c>
      <c r="M76" s="23">
        <v>7</v>
      </c>
      <c r="N76" s="23" t="s">
        <v>496</v>
      </c>
      <c r="O76" s="27" t="s">
        <v>504</v>
      </c>
      <c r="P76" s="23" t="s">
        <v>534</v>
      </c>
      <c r="Q76" s="23" t="s">
        <v>529</v>
      </c>
      <c r="W76" s="23" t="s">
        <v>498</v>
      </c>
      <c r="AB76" t="s">
        <v>725</v>
      </c>
      <c r="AD76" s="64">
        <v>1910</v>
      </c>
    </row>
    <row r="77" spans="1:30" x14ac:dyDescent="0.25">
      <c r="A77" s="2" t="s">
        <v>45</v>
      </c>
      <c r="B77" s="2" t="s">
        <v>24</v>
      </c>
      <c r="C77" s="2" t="s">
        <v>46</v>
      </c>
      <c r="D77" s="2" t="s">
        <v>347</v>
      </c>
      <c r="E77" t="s">
        <v>407</v>
      </c>
      <c r="F77" s="24" t="s">
        <v>496</v>
      </c>
      <c r="G77" s="24" t="s">
        <v>499</v>
      </c>
      <c r="H77" s="24" t="s">
        <v>497</v>
      </c>
      <c r="I77" s="23">
        <v>5</v>
      </c>
      <c r="J77" s="24" t="s">
        <v>509</v>
      </c>
      <c r="K77" s="24" t="s">
        <v>507</v>
      </c>
      <c r="L77" s="23">
        <v>1</v>
      </c>
      <c r="M77" s="23">
        <v>7</v>
      </c>
      <c r="N77" s="23" t="s">
        <v>496</v>
      </c>
      <c r="O77" s="27" t="s">
        <v>504</v>
      </c>
      <c r="P77" s="23" t="s">
        <v>534</v>
      </c>
      <c r="Q77" s="23" t="s">
        <v>529</v>
      </c>
      <c r="W77" s="23" t="s">
        <v>498</v>
      </c>
      <c r="AB77" t="s">
        <v>725</v>
      </c>
      <c r="AD77" s="64">
        <v>1910</v>
      </c>
    </row>
    <row r="78" spans="1:30" x14ac:dyDescent="0.25">
      <c r="A78" s="2" t="s">
        <v>283</v>
      </c>
      <c r="B78" s="2" t="s">
        <v>28</v>
      </c>
      <c r="C78" s="2" t="s">
        <v>284</v>
      </c>
      <c r="D78" s="2" t="s">
        <v>347</v>
      </c>
      <c r="E78" t="s">
        <v>407</v>
      </c>
      <c r="F78" s="24" t="s">
        <v>500</v>
      </c>
      <c r="G78" s="24" t="s">
        <v>498</v>
      </c>
      <c r="H78" s="24" t="s">
        <v>497</v>
      </c>
      <c r="I78" s="23">
        <v>4</v>
      </c>
      <c r="J78" s="24" t="s">
        <v>509</v>
      </c>
      <c r="K78" s="23">
        <v>9</v>
      </c>
      <c r="L78" s="23">
        <v>1</v>
      </c>
      <c r="M78" s="23">
        <v>4</v>
      </c>
      <c r="N78" s="23" t="s">
        <v>502</v>
      </c>
      <c r="O78" s="27" t="s">
        <v>507</v>
      </c>
      <c r="P78" s="23" t="s">
        <v>533</v>
      </c>
      <c r="Q78" s="23" t="s">
        <v>529</v>
      </c>
      <c r="S78" s="23" t="s">
        <v>544</v>
      </c>
      <c r="AB78" t="s">
        <v>727</v>
      </c>
      <c r="AC78" t="s">
        <v>726</v>
      </c>
      <c r="AD78" s="64">
        <v>988</v>
      </c>
    </row>
    <row r="79" spans="1:30" x14ac:dyDescent="0.25">
      <c r="A79" s="2" t="s">
        <v>280</v>
      </c>
      <c r="B79" s="2" t="s">
        <v>281</v>
      </c>
      <c r="C79" s="2" t="s">
        <v>282</v>
      </c>
      <c r="D79" s="2" t="s">
        <v>347</v>
      </c>
      <c r="E79" t="s">
        <v>407</v>
      </c>
      <c r="F79" s="24" t="s">
        <v>500</v>
      </c>
      <c r="G79" s="24" t="s">
        <v>498</v>
      </c>
      <c r="H79" s="24" t="s">
        <v>497</v>
      </c>
      <c r="I79" s="23">
        <v>4</v>
      </c>
      <c r="J79" s="24" t="s">
        <v>509</v>
      </c>
      <c r="K79" s="23">
        <v>9</v>
      </c>
      <c r="L79" s="23">
        <v>1</v>
      </c>
      <c r="M79" s="23">
        <v>4</v>
      </c>
      <c r="N79" s="23" t="s">
        <v>502</v>
      </c>
      <c r="O79" s="27" t="s">
        <v>507</v>
      </c>
      <c r="P79" s="23" t="s">
        <v>533</v>
      </c>
      <c r="Q79" s="23" t="s">
        <v>528</v>
      </c>
      <c r="S79" s="23" t="s">
        <v>544</v>
      </c>
      <c r="AB79" t="s">
        <v>727</v>
      </c>
      <c r="AC79" t="s">
        <v>726</v>
      </c>
      <c r="AD79" s="64">
        <v>988</v>
      </c>
    </row>
    <row r="80" spans="1:30" x14ac:dyDescent="0.25">
      <c r="A80" s="2" t="s">
        <v>40</v>
      </c>
      <c r="B80" s="2" t="s">
        <v>24</v>
      </c>
      <c r="C80" s="2" t="s">
        <v>41</v>
      </c>
      <c r="D80" s="2" t="s">
        <v>347</v>
      </c>
      <c r="E80" t="s">
        <v>407</v>
      </c>
      <c r="F80" s="24" t="s">
        <v>500</v>
      </c>
      <c r="G80" s="24" t="s">
        <v>498</v>
      </c>
      <c r="H80" s="24" t="s">
        <v>497</v>
      </c>
      <c r="I80" s="23">
        <v>5</v>
      </c>
      <c r="J80" s="24" t="s">
        <v>509</v>
      </c>
      <c r="K80" s="24" t="s">
        <v>507</v>
      </c>
      <c r="L80" s="23">
        <v>1</v>
      </c>
      <c r="M80" s="23">
        <v>5</v>
      </c>
      <c r="N80" s="23" t="s">
        <v>502</v>
      </c>
      <c r="O80" s="27" t="s">
        <v>504</v>
      </c>
      <c r="P80" s="23" t="s">
        <v>534</v>
      </c>
      <c r="Q80" s="23" t="s">
        <v>529</v>
      </c>
      <c r="V80" s="23" t="s">
        <v>496</v>
      </c>
      <c r="W80" s="23" t="s">
        <v>498</v>
      </c>
      <c r="AD80" s="64">
        <v>1910</v>
      </c>
    </row>
    <row r="81" spans="1:30" x14ac:dyDescent="0.25">
      <c r="A81" s="2" t="s">
        <v>62</v>
      </c>
      <c r="B81" s="2" t="s">
        <v>24</v>
      </c>
      <c r="C81" s="2" t="s">
        <v>63</v>
      </c>
      <c r="D81" s="2" t="s">
        <v>347</v>
      </c>
      <c r="E81" t="s">
        <v>407</v>
      </c>
      <c r="F81" s="24" t="s">
        <v>500</v>
      </c>
      <c r="G81" s="24" t="s">
        <v>499</v>
      </c>
      <c r="H81" s="24" t="s">
        <v>497</v>
      </c>
      <c r="I81" s="23">
        <v>5</v>
      </c>
      <c r="J81" s="24" t="s">
        <v>509</v>
      </c>
      <c r="K81" s="24" t="s">
        <v>507</v>
      </c>
      <c r="L81" s="23">
        <v>1</v>
      </c>
      <c r="M81" s="23">
        <v>5</v>
      </c>
      <c r="N81" s="23" t="s">
        <v>502</v>
      </c>
      <c r="O81" s="27" t="s">
        <v>504</v>
      </c>
      <c r="P81" s="23" t="s">
        <v>534</v>
      </c>
      <c r="Q81" s="23" t="s">
        <v>529</v>
      </c>
      <c r="V81" s="23" t="s">
        <v>496</v>
      </c>
      <c r="W81" s="23" t="s">
        <v>498</v>
      </c>
      <c r="AD81" s="64">
        <v>2240</v>
      </c>
    </row>
    <row r="82" spans="1:30" x14ac:dyDescent="0.25">
      <c r="A82" s="2" t="s">
        <v>287</v>
      </c>
      <c r="B82" s="2" t="s">
        <v>28</v>
      </c>
      <c r="C82" s="2" t="s">
        <v>288</v>
      </c>
      <c r="D82" s="2" t="s">
        <v>347</v>
      </c>
      <c r="E82" t="s">
        <v>407</v>
      </c>
      <c r="F82" s="24" t="s">
        <v>506</v>
      </c>
      <c r="G82" s="24" t="s">
        <v>498</v>
      </c>
      <c r="H82" s="24" t="s">
        <v>497</v>
      </c>
      <c r="I82" s="23">
        <v>4</v>
      </c>
      <c r="J82" s="24" t="s">
        <v>509</v>
      </c>
      <c r="K82" s="23">
        <v>9</v>
      </c>
      <c r="L82" s="23">
        <v>1</v>
      </c>
      <c r="M82" s="23">
        <v>4</v>
      </c>
      <c r="N82" s="23" t="s">
        <v>502</v>
      </c>
      <c r="O82" s="27" t="s">
        <v>507</v>
      </c>
      <c r="P82" s="23" t="s">
        <v>535</v>
      </c>
      <c r="Q82" s="23"/>
      <c r="S82" s="23" t="s">
        <v>544</v>
      </c>
      <c r="AD82" s="64">
        <v>988</v>
      </c>
    </row>
    <row r="83" spans="1:30" x14ac:dyDescent="0.25">
      <c r="A83" s="2" t="s">
        <v>285</v>
      </c>
      <c r="B83" s="2" t="s">
        <v>28</v>
      </c>
      <c r="C83" s="2" t="s">
        <v>286</v>
      </c>
      <c r="D83" s="2" t="s">
        <v>347</v>
      </c>
      <c r="E83" t="s">
        <v>407</v>
      </c>
      <c r="F83" s="24" t="s">
        <v>506</v>
      </c>
      <c r="G83" s="24" t="s">
        <v>498</v>
      </c>
      <c r="H83" s="24" t="s">
        <v>497</v>
      </c>
      <c r="I83" s="23">
        <v>4</v>
      </c>
      <c r="J83" s="24" t="s">
        <v>509</v>
      </c>
      <c r="K83" s="23">
        <v>9</v>
      </c>
      <c r="L83" s="23">
        <v>1</v>
      </c>
      <c r="M83" s="23">
        <v>4</v>
      </c>
      <c r="N83" s="23" t="s">
        <v>502</v>
      </c>
      <c r="O83" s="27" t="s">
        <v>507</v>
      </c>
      <c r="P83" s="23" t="s">
        <v>535</v>
      </c>
      <c r="Q83" s="23"/>
      <c r="S83" s="23" t="s">
        <v>544</v>
      </c>
      <c r="AD83" s="64">
        <v>988</v>
      </c>
    </row>
    <row r="84" spans="1:30" x14ac:dyDescent="0.25">
      <c r="A84" s="2" t="s">
        <v>289</v>
      </c>
      <c r="B84" s="2" t="s">
        <v>28</v>
      </c>
      <c r="C84" s="2" t="s">
        <v>286</v>
      </c>
      <c r="D84" s="2" t="s">
        <v>347</v>
      </c>
      <c r="E84" t="s">
        <v>407</v>
      </c>
      <c r="F84" s="24" t="s">
        <v>506</v>
      </c>
      <c r="G84" s="24" t="s">
        <v>498</v>
      </c>
      <c r="H84" s="24" t="s">
        <v>497</v>
      </c>
      <c r="I84" s="23">
        <v>4</v>
      </c>
      <c r="J84" s="24" t="s">
        <v>509</v>
      </c>
      <c r="K84" s="23">
        <v>9</v>
      </c>
      <c r="L84" s="23">
        <v>1</v>
      </c>
      <c r="M84" s="23">
        <v>4</v>
      </c>
      <c r="N84" s="23" t="s">
        <v>502</v>
      </c>
      <c r="O84" s="27" t="s">
        <v>507</v>
      </c>
      <c r="P84" s="23" t="s">
        <v>535</v>
      </c>
      <c r="Q84" s="23" t="s">
        <v>528</v>
      </c>
      <c r="S84" s="23" t="s">
        <v>544</v>
      </c>
      <c r="AD84" s="64">
        <v>988</v>
      </c>
    </row>
    <row r="85" spans="1:30" x14ac:dyDescent="0.25">
      <c r="A85" s="2" t="s">
        <v>699</v>
      </c>
      <c r="B85" s="2" t="s">
        <v>700</v>
      </c>
      <c r="C85" s="2" t="s">
        <v>701</v>
      </c>
      <c r="D85" s="2" t="s">
        <v>347</v>
      </c>
      <c r="E85" t="s">
        <v>407</v>
      </c>
      <c r="F85" s="24" t="s">
        <v>500</v>
      </c>
      <c r="G85" s="24" t="s">
        <v>498</v>
      </c>
      <c r="H85" s="24" t="s">
        <v>497</v>
      </c>
      <c r="I85" s="23">
        <v>4</v>
      </c>
      <c r="J85" s="24" t="s">
        <v>509</v>
      </c>
      <c r="K85" s="23">
        <v>8</v>
      </c>
      <c r="L85" s="23">
        <v>1</v>
      </c>
      <c r="M85" s="23">
        <v>2</v>
      </c>
      <c r="N85" s="23" t="s">
        <v>502</v>
      </c>
      <c r="O85" s="23" t="s">
        <v>510</v>
      </c>
      <c r="P85" s="23" t="s">
        <v>533</v>
      </c>
      <c r="Q85" s="23" t="s">
        <v>531</v>
      </c>
      <c r="R85" s="23"/>
      <c r="S85" s="23" t="s">
        <v>551</v>
      </c>
      <c r="X85" s="23"/>
      <c r="Y85" s="23"/>
      <c r="Z85" s="23"/>
      <c r="AA85" s="23" t="s">
        <v>702</v>
      </c>
      <c r="AB85" s="23"/>
      <c r="AD85" s="64">
        <v>979</v>
      </c>
    </row>
    <row r="86" spans="1:30" x14ac:dyDescent="0.25">
      <c r="A86" s="2" t="s">
        <v>188</v>
      </c>
      <c r="B86" s="2" t="s">
        <v>189</v>
      </c>
      <c r="C86" s="2" t="s">
        <v>190</v>
      </c>
      <c r="D86" s="2" t="s">
        <v>347</v>
      </c>
      <c r="E86" t="s">
        <v>405</v>
      </c>
      <c r="F86" s="24" t="s">
        <v>496</v>
      </c>
      <c r="G86" s="24" t="s">
        <v>502</v>
      </c>
      <c r="H86" s="24" t="s">
        <v>497</v>
      </c>
      <c r="I86" s="23">
        <v>4</v>
      </c>
      <c r="J86" s="24" t="s">
        <v>505</v>
      </c>
      <c r="K86" s="23">
        <v>0</v>
      </c>
      <c r="L86" s="23">
        <v>1</v>
      </c>
      <c r="M86" s="23">
        <v>2</v>
      </c>
      <c r="N86" s="23" t="s">
        <v>505</v>
      </c>
      <c r="O86" s="27" t="s">
        <v>508</v>
      </c>
      <c r="P86" s="23" t="s">
        <v>536</v>
      </c>
      <c r="Q86" s="23" t="s">
        <v>529</v>
      </c>
      <c r="S86" s="23" t="s">
        <v>542</v>
      </c>
      <c r="T86"/>
      <c r="V86"/>
      <c r="W86"/>
      <c r="Y86" t="s">
        <v>624</v>
      </c>
      <c r="AD86" s="64" t="s">
        <v>714</v>
      </c>
    </row>
    <row r="87" spans="1:30" x14ac:dyDescent="0.25">
      <c r="A87" s="2" t="s">
        <v>103</v>
      </c>
      <c r="B87" s="2" t="s">
        <v>104</v>
      </c>
      <c r="C87" s="2" t="s">
        <v>105</v>
      </c>
      <c r="D87" s="2" t="s">
        <v>347</v>
      </c>
      <c r="E87" t="s">
        <v>405</v>
      </c>
      <c r="F87" s="24" t="s">
        <v>496</v>
      </c>
      <c r="G87" s="24" t="s">
        <v>501</v>
      </c>
      <c r="H87" s="24" t="s">
        <v>497</v>
      </c>
      <c r="I87" s="23">
        <v>4</v>
      </c>
      <c r="J87" s="24" t="s">
        <v>505</v>
      </c>
      <c r="K87" s="23">
        <v>0</v>
      </c>
      <c r="L87" s="23">
        <v>1</v>
      </c>
      <c r="M87" s="23">
        <v>2</v>
      </c>
      <c r="N87" s="23" t="s">
        <v>505</v>
      </c>
      <c r="O87" s="27" t="s">
        <v>500</v>
      </c>
      <c r="P87" s="23" t="s">
        <v>519</v>
      </c>
      <c r="Q87" s="23" t="s">
        <v>529</v>
      </c>
      <c r="T87"/>
      <c r="V87"/>
      <c r="W87"/>
      <c r="AD87" s="64" t="s">
        <v>714</v>
      </c>
    </row>
    <row r="88" spans="1:30" x14ac:dyDescent="0.25">
      <c r="A88" s="2" t="s">
        <v>135</v>
      </c>
      <c r="B88" s="2" t="s">
        <v>104</v>
      </c>
      <c r="C88" s="2" t="s">
        <v>105</v>
      </c>
      <c r="D88" s="2" t="s">
        <v>347</v>
      </c>
      <c r="E88" t="s">
        <v>405</v>
      </c>
      <c r="F88" s="24" t="s">
        <v>496</v>
      </c>
      <c r="G88" s="24" t="s">
        <v>502</v>
      </c>
      <c r="H88" s="24" t="s">
        <v>497</v>
      </c>
      <c r="I88" s="23">
        <v>4</v>
      </c>
      <c r="J88" s="24" t="s">
        <v>505</v>
      </c>
      <c r="K88" s="24" t="s">
        <v>503</v>
      </c>
      <c r="L88" s="24" t="s">
        <v>626</v>
      </c>
      <c r="M88" s="23">
        <v>2</v>
      </c>
      <c r="N88" s="23" t="s">
        <v>502</v>
      </c>
      <c r="O88" s="27" t="s">
        <v>505</v>
      </c>
      <c r="P88" s="23" t="s">
        <v>444</v>
      </c>
      <c r="Q88" s="23" t="s">
        <v>529</v>
      </c>
      <c r="T88"/>
      <c r="V88"/>
      <c r="W88"/>
      <c r="AD88" s="64" t="s">
        <v>714</v>
      </c>
    </row>
    <row r="89" spans="1:30" x14ac:dyDescent="0.25">
      <c r="A89" s="2" t="s">
        <v>305</v>
      </c>
      <c r="B89" s="2" t="s">
        <v>252</v>
      </c>
      <c r="C89" s="2" t="s">
        <v>306</v>
      </c>
      <c r="D89" s="2" t="s">
        <v>347</v>
      </c>
      <c r="E89" t="s">
        <v>405</v>
      </c>
      <c r="F89" s="24" t="s">
        <v>500</v>
      </c>
      <c r="G89" s="24" t="s">
        <v>507</v>
      </c>
      <c r="H89" s="24" t="s">
        <v>497</v>
      </c>
      <c r="I89" s="23">
        <v>4</v>
      </c>
      <c r="J89" s="24" t="s">
        <v>505</v>
      </c>
      <c r="K89" s="23">
        <v>0</v>
      </c>
      <c r="L89" s="23">
        <v>1</v>
      </c>
      <c r="M89" s="23">
        <v>2</v>
      </c>
      <c r="N89" s="23" t="s">
        <v>502</v>
      </c>
      <c r="O89" s="27" t="s">
        <v>508</v>
      </c>
      <c r="P89" s="23" t="s">
        <v>536</v>
      </c>
      <c r="Q89" s="23" t="s">
        <v>528</v>
      </c>
      <c r="S89" s="23" t="s">
        <v>542</v>
      </c>
      <c r="T89"/>
      <c r="V89"/>
      <c r="W89"/>
      <c r="AD89" s="64" t="s">
        <v>714</v>
      </c>
    </row>
    <row r="90" spans="1:30" x14ac:dyDescent="0.25">
      <c r="A90" s="2" t="s">
        <v>307</v>
      </c>
      <c r="B90" s="2" t="s">
        <v>252</v>
      </c>
      <c r="C90" s="2" t="s">
        <v>306</v>
      </c>
      <c r="D90" s="2" t="s">
        <v>347</v>
      </c>
      <c r="E90" t="s">
        <v>405</v>
      </c>
      <c r="F90" s="24" t="s">
        <v>500</v>
      </c>
      <c r="G90" s="24" t="s">
        <v>507</v>
      </c>
      <c r="H90" s="24" t="s">
        <v>497</v>
      </c>
      <c r="I90" s="23">
        <v>4</v>
      </c>
      <c r="J90" s="24" t="s">
        <v>505</v>
      </c>
      <c r="K90" s="23">
        <v>0</v>
      </c>
      <c r="L90" s="23">
        <v>1</v>
      </c>
      <c r="M90" s="23">
        <v>2</v>
      </c>
      <c r="N90" s="23" t="s">
        <v>502</v>
      </c>
      <c r="O90" s="27" t="s">
        <v>508</v>
      </c>
      <c r="P90" s="23" t="s">
        <v>536</v>
      </c>
      <c r="Q90" s="23" t="s">
        <v>528</v>
      </c>
      <c r="S90" s="23" t="s">
        <v>542</v>
      </c>
      <c r="T90"/>
      <c r="V90"/>
      <c r="W90"/>
      <c r="AD90" s="64" t="s">
        <v>714</v>
      </c>
    </row>
    <row r="91" spans="1:30" x14ac:dyDescent="0.25">
      <c r="A91" s="2" t="s">
        <v>141</v>
      </c>
      <c r="B91" s="2" t="s">
        <v>28</v>
      </c>
      <c r="C91" s="2" t="s">
        <v>142</v>
      </c>
      <c r="D91" s="2" t="s">
        <v>347</v>
      </c>
      <c r="E91" t="s">
        <v>405</v>
      </c>
      <c r="F91" s="24" t="s">
        <v>496</v>
      </c>
      <c r="G91" s="24" t="s">
        <v>507</v>
      </c>
      <c r="H91" s="24" t="s">
        <v>497</v>
      </c>
      <c r="I91" s="23">
        <v>4</v>
      </c>
      <c r="J91" s="24" t="s">
        <v>505</v>
      </c>
      <c r="K91" s="23">
        <v>0</v>
      </c>
      <c r="L91" s="23">
        <v>1</v>
      </c>
      <c r="M91" s="23">
        <v>2</v>
      </c>
      <c r="N91" s="23" t="s">
        <v>496</v>
      </c>
      <c r="O91" s="27" t="s">
        <v>508</v>
      </c>
      <c r="P91" s="23" t="s">
        <v>521</v>
      </c>
      <c r="T91"/>
      <c r="V91"/>
      <c r="W91"/>
      <c r="AD91" s="64" t="s">
        <v>714</v>
      </c>
    </row>
    <row r="92" spans="1:30" x14ac:dyDescent="0.25">
      <c r="A92" s="2" t="s">
        <v>153</v>
      </c>
      <c r="B92" s="2" t="s">
        <v>154</v>
      </c>
      <c r="C92" s="2" t="s">
        <v>155</v>
      </c>
      <c r="D92" s="2" t="s">
        <v>347</v>
      </c>
      <c r="E92" t="s">
        <v>405</v>
      </c>
      <c r="F92" s="24" t="s">
        <v>496</v>
      </c>
      <c r="G92" s="24" t="s">
        <v>498</v>
      </c>
      <c r="H92" s="24" t="s">
        <v>497</v>
      </c>
      <c r="I92" s="23">
        <v>4</v>
      </c>
      <c r="J92" s="24" t="s">
        <v>505</v>
      </c>
      <c r="K92" s="23">
        <v>0</v>
      </c>
      <c r="L92" s="23">
        <v>1</v>
      </c>
      <c r="M92" s="23">
        <v>2</v>
      </c>
      <c r="N92" s="23" t="s">
        <v>502</v>
      </c>
      <c r="O92" s="27" t="s">
        <v>505</v>
      </c>
      <c r="P92" s="23" t="s">
        <v>521</v>
      </c>
      <c r="Q92" s="23" t="s">
        <v>528</v>
      </c>
      <c r="AD92" s="64">
        <v>1420</v>
      </c>
    </row>
    <row r="93" spans="1:30" x14ac:dyDescent="0.25">
      <c r="A93" s="2" t="s">
        <v>191</v>
      </c>
      <c r="B93" s="2" t="s">
        <v>192</v>
      </c>
      <c r="C93" s="2" t="s">
        <v>193</v>
      </c>
      <c r="D93" s="2" t="s">
        <v>347</v>
      </c>
      <c r="E93" t="s">
        <v>405</v>
      </c>
      <c r="F93" s="24" t="s">
        <v>496</v>
      </c>
      <c r="G93" s="24" t="s">
        <v>501</v>
      </c>
      <c r="H93" s="24" t="s">
        <v>497</v>
      </c>
      <c r="I93" s="23">
        <v>4</v>
      </c>
      <c r="J93" s="24" t="s">
        <v>505</v>
      </c>
      <c r="K93" s="23">
        <v>0</v>
      </c>
      <c r="L93" s="23">
        <v>1</v>
      </c>
      <c r="M93" s="23">
        <v>2</v>
      </c>
      <c r="N93" s="23" t="s">
        <v>502</v>
      </c>
      <c r="O93" s="27" t="s">
        <v>508</v>
      </c>
      <c r="P93" s="23" t="s">
        <v>521</v>
      </c>
      <c r="Q93" s="23" t="s">
        <v>528</v>
      </c>
      <c r="S93" s="23"/>
      <c r="T93" s="23" t="s">
        <v>547</v>
      </c>
      <c r="AD93" s="64">
        <v>1409</v>
      </c>
    </row>
    <row r="94" spans="1:30" x14ac:dyDescent="0.25">
      <c r="A94" s="2" t="s">
        <v>251</v>
      </c>
      <c r="B94" s="2" t="s">
        <v>252</v>
      </c>
      <c r="C94" s="2" t="s">
        <v>253</v>
      </c>
      <c r="D94" s="2" t="s">
        <v>347</v>
      </c>
      <c r="E94" t="s">
        <v>405</v>
      </c>
      <c r="F94" s="24" t="s">
        <v>500</v>
      </c>
      <c r="G94" s="24" t="s">
        <v>507</v>
      </c>
      <c r="H94" s="24" t="s">
        <v>497</v>
      </c>
      <c r="I94" s="23">
        <v>4</v>
      </c>
      <c r="J94" s="24" t="s">
        <v>505</v>
      </c>
      <c r="K94" s="23">
        <v>0</v>
      </c>
      <c r="L94" s="23">
        <v>1</v>
      </c>
      <c r="M94" s="23">
        <v>2</v>
      </c>
      <c r="N94" s="23" t="s">
        <v>502</v>
      </c>
      <c r="O94" s="27" t="s">
        <v>508</v>
      </c>
      <c r="P94" s="23" t="s">
        <v>536</v>
      </c>
      <c r="Q94" s="23" t="s">
        <v>528</v>
      </c>
      <c r="S94" s="23" t="s">
        <v>504</v>
      </c>
      <c r="AD94" s="64">
        <v>1586</v>
      </c>
    </row>
    <row r="95" spans="1:30" x14ac:dyDescent="0.25">
      <c r="A95" s="2" t="s">
        <v>136</v>
      </c>
      <c r="B95" s="2" t="s">
        <v>137</v>
      </c>
      <c r="C95" s="2" t="s">
        <v>138</v>
      </c>
      <c r="D95" s="2" t="s">
        <v>347</v>
      </c>
      <c r="E95" t="s">
        <v>405</v>
      </c>
      <c r="F95" s="24" t="s">
        <v>500</v>
      </c>
      <c r="G95" s="24" t="s">
        <v>507</v>
      </c>
      <c r="H95" s="24" t="s">
        <v>497</v>
      </c>
      <c r="I95" s="23">
        <v>4</v>
      </c>
      <c r="J95" s="24" t="s">
        <v>505</v>
      </c>
      <c r="K95" s="23">
        <v>0</v>
      </c>
      <c r="L95" s="23">
        <v>1</v>
      </c>
      <c r="M95" s="23">
        <v>2</v>
      </c>
      <c r="N95" s="23" t="s">
        <v>502</v>
      </c>
      <c r="O95" s="27" t="s">
        <v>508</v>
      </c>
      <c r="P95" s="23" t="s">
        <v>537</v>
      </c>
      <c r="Q95" s="23" t="s">
        <v>529</v>
      </c>
      <c r="R95" s="23" t="s">
        <v>540</v>
      </c>
    </row>
    <row r="96" spans="1:30" x14ac:dyDescent="0.25">
      <c r="A96" s="2" t="s">
        <v>276</v>
      </c>
      <c r="B96" s="2" t="s">
        <v>252</v>
      </c>
      <c r="C96" s="2" t="s">
        <v>277</v>
      </c>
      <c r="D96" s="2" t="s">
        <v>347</v>
      </c>
      <c r="E96" t="s">
        <v>405</v>
      </c>
      <c r="F96" s="24" t="s">
        <v>500</v>
      </c>
      <c r="G96" s="24" t="s">
        <v>507</v>
      </c>
      <c r="H96" s="24" t="s">
        <v>497</v>
      </c>
      <c r="I96" s="23">
        <v>4</v>
      </c>
      <c r="J96" s="24" t="s">
        <v>505</v>
      </c>
      <c r="K96" s="23">
        <v>0</v>
      </c>
      <c r="L96" s="23">
        <v>1</v>
      </c>
      <c r="M96" s="23">
        <v>2</v>
      </c>
      <c r="N96" s="23" t="s">
        <v>502</v>
      </c>
      <c r="O96" s="27" t="s">
        <v>508</v>
      </c>
      <c r="P96" s="23" t="s">
        <v>521</v>
      </c>
      <c r="Q96" s="23" t="s">
        <v>528</v>
      </c>
      <c r="S96" s="23" t="s">
        <v>542</v>
      </c>
    </row>
    <row r="97" spans="1:28" x14ac:dyDescent="0.25">
      <c r="A97" s="2" t="s">
        <v>180</v>
      </c>
      <c r="B97" s="2" t="s">
        <v>181</v>
      </c>
      <c r="C97" s="2" t="s">
        <v>182</v>
      </c>
      <c r="D97" s="2" t="s">
        <v>347</v>
      </c>
      <c r="E97" t="s">
        <v>405</v>
      </c>
      <c r="F97" s="24" t="s">
        <v>500</v>
      </c>
      <c r="G97" s="24" t="s">
        <v>507</v>
      </c>
      <c r="H97" s="24" t="s">
        <v>497</v>
      </c>
      <c r="I97" s="23">
        <v>7</v>
      </c>
      <c r="J97" s="24" t="s">
        <v>505</v>
      </c>
      <c r="K97" s="23">
        <v>0</v>
      </c>
      <c r="L97" s="23">
        <v>1</v>
      </c>
      <c r="M97" s="23">
        <v>2</v>
      </c>
      <c r="N97" s="23" t="s">
        <v>502</v>
      </c>
      <c r="O97" s="27" t="s">
        <v>505</v>
      </c>
      <c r="P97" s="23" t="s">
        <v>519</v>
      </c>
      <c r="Q97" s="23" t="s">
        <v>529</v>
      </c>
    </row>
    <row r="98" spans="1:28" x14ac:dyDescent="0.25">
      <c r="A98" s="2" t="s">
        <v>176</v>
      </c>
      <c r="B98" s="2" t="s">
        <v>24</v>
      </c>
      <c r="C98" s="2" t="s">
        <v>177</v>
      </c>
      <c r="D98" s="2" t="s">
        <v>347</v>
      </c>
      <c r="E98" t="s">
        <v>405</v>
      </c>
      <c r="F98" s="24" t="s">
        <v>500</v>
      </c>
      <c r="G98" s="24" t="s">
        <v>501</v>
      </c>
      <c r="H98" s="24" t="s">
        <v>497</v>
      </c>
      <c r="I98" s="23">
        <v>4</v>
      </c>
      <c r="J98" s="24" t="s">
        <v>505</v>
      </c>
      <c r="K98" s="23">
        <v>0</v>
      </c>
      <c r="L98" s="23">
        <v>1</v>
      </c>
      <c r="M98" s="23">
        <v>9</v>
      </c>
      <c r="N98" s="23" t="s">
        <v>502</v>
      </c>
      <c r="O98" s="27" t="s">
        <v>508</v>
      </c>
      <c r="P98" s="23" t="s">
        <v>538</v>
      </c>
      <c r="Q98" s="23" t="s">
        <v>531</v>
      </c>
    </row>
    <row r="99" spans="1:28" x14ac:dyDescent="0.25">
      <c r="A99" s="2" t="s">
        <v>328</v>
      </c>
      <c r="B99" s="2" t="s">
        <v>252</v>
      </c>
      <c r="C99" s="2" t="s">
        <v>329</v>
      </c>
      <c r="D99" s="2" t="s">
        <v>347</v>
      </c>
      <c r="E99" t="s">
        <v>405</v>
      </c>
      <c r="F99" s="24" t="s">
        <v>506</v>
      </c>
      <c r="G99" s="24" t="s">
        <v>507</v>
      </c>
      <c r="H99" s="24" t="s">
        <v>497</v>
      </c>
      <c r="I99" s="23">
        <v>4</v>
      </c>
      <c r="J99" s="24" t="s">
        <v>505</v>
      </c>
      <c r="K99" s="23">
        <v>0</v>
      </c>
      <c r="L99" s="23">
        <v>1</v>
      </c>
      <c r="M99" s="23">
        <v>2</v>
      </c>
      <c r="N99" s="23" t="s">
        <v>502</v>
      </c>
      <c r="O99" s="27" t="s">
        <v>508</v>
      </c>
      <c r="Q99" s="23"/>
    </row>
    <row r="100" spans="1:28" x14ac:dyDescent="0.25">
      <c r="A100" s="2" t="s">
        <v>330</v>
      </c>
      <c r="B100" s="2" t="s">
        <v>252</v>
      </c>
      <c r="C100" s="2" t="s">
        <v>331</v>
      </c>
      <c r="D100" s="2" t="s">
        <v>347</v>
      </c>
      <c r="E100" t="s">
        <v>405</v>
      </c>
      <c r="F100" s="24" t="s">
        <v>506</v>
      </c>
      <c r="G100" s="24" t="s">
        <v>507</v>
      </c>
      <c r="H100" s="24" t="s">
        <v>497</v>
      </c>
      <c r="I100" s="23">
        <v>4</v>
      </c>
      <c r="J100" s="24" t="s">
        <v>505</v>
      </c>
      <c r="K100" s="23">
        <v>0</v>
      </c>
      <c r="L100" s="23">
        <v>1</v>
      </c>
      <c r="M100" s="23">
        <v>2</v>
      </c>
      <c r="N100" s="23" t="s">
        <v>502</v>
      </c>
      <c r="O100" s="27" t="s">
        <v>508</v>
      </c>
      <c r="Q100" s="23"/>
    </row>
    <row r="101" spans="1:28" x14ac:dyDescent="0.25">
      <c r="A101" s="2" t="s">
        <v>272</v>
      </c>
      <c r="B101" s="2" t="s">
        <v>28</v>
      </c>
      <c r="C101" s="2" t="s">
        <v>273</v>
      </c>
      <c r="D101" s="2" t="s">
        <v>347</v>
      </c>
      <c r="E101" t="s">
        <v>405</v>
      </c>
      <c r="F101" s="24" t="s">
        <v>506</v>
      </c>
      <c r="G101" s="24" t="s">
        <v>507</v>
      </c>
      <c r="H101" s="24" t="s">
        <v>497</v>
      </c>
      <c r="I101" s="23">
        <v>4</v>
      </c>
      <c r="J101" s="24" t="s">
        <v>505</v>
      </c>
      <c r="K101" s="23">
        <v>0</v>
      </c>
      <c r="L101" s="23">
        <v>1</v>
      </c>
      <c r="M101" s="23">
        <v>2</v>
      </c>
      <c r="N101" s="23" t="s">
        <v>502</v>
      </c>
      <c r="O101" s="27" t="s">
        <v>508</v>
      </c>
      <c r="P101" s="23" t="s">
        <v>521</v>
      </c>
      <c r="Q101" s="23" t="s">
        <v>528</v>
      </c>
      <c r="S101" s="23" t="s">
        <v>542</v>
      </c>
    </row>
    <row r="102" spans="1:28" x14ac:dyDescent="0.25">
      <c r="A102" s="2" t="s">
        <v>274</v>
      </c>
      <c r="B102" s="2" t="s">
        <v>24</v>
      </c>
      <c r="C102" s="2" t="s">
        <v>275</v>
      </c>
      <c r="D102" s="2" t="s">
        <v>347</v>
      </c>
      <c r="E102" t="s">
        <v>405</v>
      </c>
      <c r="F102" s="24" t="s">
        <v>506</v>
      </c>
      <c r="G102" s="24" t="s">
        <v>507</v>
      </c>
      <c r="H102" s="24" t="s">
        <v>497</v>
      </c>
      <c r="I102" s="23">
        <v>4</v>
      </c>
      <c r="J102" s="24" t="s">
        <v>505</v>
      </c>
      <c r="K102" s="23">
        <v>0</v>
      </c>
      <c r="L102" s="23">
        <v>1</v>
      </c>
      <c r="M102" s="23">
        <v>2</v>
      </c>
      <c r="N102" s="23" t="s">
        <v>502</v>
      </c>
      <c r="O102" s="27" t="s">
        <v>508</v>
      </c>
      <c r="P102" s="23" t="s">
        <v>521</v>
      </c>
      <c r="Q102" s="23" t="s">
        <v>528</v>
      </c>
      <c r="S102" s="23" t="s">
        <v>542</v>
      </c>
    </row>
    <row r="103" spans="1:28" x14ac:dyDescent="0.25">
      <c r="A103" s="2" t="s">
        <v>237</v>
      </c>
      <c r="B103" s="2" t="s">
        <v>192</v>
      </c>
      <c r="C103" s="2" t="s">
        <v>238</v>
      </c>
      <c r="D103" s="2" t="s">
        <v>347</v>
      </c>
      <c r="E103" t="s">
        <v>405</v>
      </c>
      <c r="F103" s="24" t="s">
        <v>506</v>
      </c>
      <c r="G103" s="24" t="s">
        <v>501</v>
      </c>
      <c r="H103" s="24" t="s">
        <v>497</v>
      </c>
      <c r="I103" s="23">
        <v>7</v>
      </c>
      <c r="J103" s="24" t="s">
        <v>505</v>
      </c>
      <c r="K103" s="23">
        <v>0</v>
      </c>
      <c r="L103" s="23">
        <v>1</v>
      </c>
      <c r="M103" s="23">
        <v>2</v>
      </c>
      <c r="N103" s="23" t="s">
        <v>496</v>
      </c>
      <c r="O103" s="27" t="s">
        <v>508</v>
      </c>
      <c r="P103" s="23" t="s">
        <v>538</v>
      </c>
      <c r="Q103" s="23" t="s">
        <v>531</v>
      </c>
    </row>
    <row r="104" spans="1:28" x14ac:dyDescent="0.25">
      <c r="A104" s="2" t="s">
        <v>662</v>
      </c>
      <c r="B104" s="2" t="s">
        <v>649</v>
      </c>
      <c r="C104" s="2" t="s">
        <v>663</v>
      </c>
      <c r="D104" s="2" t="s">
        <v>347</v>
      </c>
      <c r="E104" s="2" t="s">
        <v>405</v>
      </c>
      <c r="F104" s="24" t="s">
        <v>500</v>
      </c>
      <c r="G104" s="24" t="s">
        <v>501</v>
      </c>
      <c r="H104" s="24" t="s">
        <v>497</v>
      </c>
      <c r="I104" s="23">
        <v>4</v>
      </c>
      <c r="J104" s="24" t="s">
        <v>505</v>
      </c>
      <c r="K104" s="23">
        <v>0</v>
      </c>
      <c r="L104" s="23">
        <v>1</v>
      </c>
      <c r="M104" s="23">
        <v>7</v>
      </c>
      <c r="N104" s="23" t="s">
        <v>502</v>
      </c>
      <c r="O104" s="23" t="s">
        <v>508</v>
      </c>
      <c r="P104" s="23" t="s">
        <v>532</v>
      </c>
      <c r="Q104" s="23" t="s">
        <v>528</v>
      </c>
      <c r="R104" s="23"/>
      <c r="S104" s="23"/>
      <c r="X104" s="23" t="s">
        <v>620</v>
      </c>
      <c r="Y104" s="23"/>
      <c r="Z104" s="23"/>
      <c r="AA104" s="23"/>
      <c r="AB104" s="23"/>
    </row>
    <row r="105" spans="1:28" x14ac:dyDescent="0.25">
      <c r="A105" s="2" t="s">
        <v>260</v>
      </c>
      <c r="B105" s="2" t="s">
        <v>28</v>
      </c>
      <c r="C105" s="2" t="s">
        <v>261</v>
      </c>
      <c r="D105" s="2" t="s">
        <v>347</v>
      </c>
      <c r="E105" t="s">
        <v>409</v>
      </c>
      <c r="F105" s="24" t="s">
        <v>508</v>
      </c>
      <c r="G105" s="24" t="s">
        <v>501</v>
      </c>
      <c r="H105" s="24" t="s">
        <v>497</v>
      </c>
      <c r="I105" s="23">
        <v>4</v>
      </c>
      <c r="J105" s="24" t="s">
        <v>505</v>
      </c>
      <c r="K105" s="23">
        <v>0</v>
      </c>
      <c r="M105" s="23">
        <v>7</v>
      </c>
      <c r="N105" s="23" t="s">
        <v>502</v>
      </c>
      <c r="O105" s="27" t="s">
        <v>500</v>
      </c>
      <c r="P105" s="23" t="s">
        <v>539</v>
      </c>
      <c r="Q105" s="23" t="s">
        <v>531</v>
      </c>
    </row>
  </sheetData>
  <autoFilter ref="A1:XFB105">
    <sortState ref="A2:XFB105">
      <sortCondition ref="E1:E105"/>
    </sortState>
  </autoFilter>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2"/>
  <sheetViews>
    <sheetView workbookViewId="0">
      <selection activeCell="F34" sqref="F34"/>
    </sheetView>
  </sheetViews>
  <sheetFormatPr defaultRowHeight="15" x14ac:dyDescent="0.25"/>
  <cols>
    <col min="4" max="4" width="13.140625" bestFit="1" customWidth="1"/>
    <col min="5" max="5" width="23.140625" bestFit="1" customWidth="1"/>
    <col min="6" max="6" width="20.7109375" bestFit="1" customWidth="1"/>
    <col min="7" max="7" width="19.42578125" bestFit="1" customWidth="1"/>
    <col min="8" max="8" width="22" bestFit="1" customWidth="1"/>
    <col min="9" max="9" width="11" bestFit="1" customWidth="1"/>
    <col min="10" max="10" width="17.28515625" bestFit="1" customWidth="1"/>
    <col min="11" max="11" width="19.85546875" bestFit="1" customWidth="1"/>
    <col min="12" max="12" width="17" bestFit="1" customWidth="1"/>
    <col min="13" max="13" width="16.7109375" bestFit="1" customWidth="1"/>
    <col min="14" max="14" width="24.42578125" bestFit="1" customWidth="1"/>
    <col min="15" max="15" width="24.85546875" bestFit="1" customWidth="1"/>
    <col min="16" max="16" width="21.42578125" bestFit="1" customWidth="1"/>
    <col min="17" max="17" width="19.5703125" bestFit="1" customWidth="1"/>
    <col min="18" max="18" width="13.85546875" bestFit="1" customWidth="1"/>
    <col min="19" max="19" width="23" bestFit="1" customWidth="1"/>
  </cols>
  <sheetData>
    <row r="1" spans="1:20" s="60" customFormat="1" x14ac:dyDescent="0.25">
      <c r="B1" s="60" t="s">
        <v>360</v>
      </c>
      <c r="C1" s="60" t="s">
        <v>860</v>
      </c>
      <c r="D1" s="60" t="s">
        <v>366</v>
      </c>
      <c r="E1" s="60" t="s">
        <v>861</v>
      </c>
      <c r="F1" s="60" t="s">
        <v>368</v>
      </c>
      <c r="G1" s="60" t="s">
        <v>369</v>
      </c>
      <c r="H1" s="60" t="s">
        <v>862</v>
      </c>
      <c r="I1" s="60" t="s">
        <v>487</v>
      </c>
      <c r="J1" s="60" t="s">
        <v>371</v>
      </c>
      <c r="K1" s="60" t="s">
        <v>372</v>
      </c>
      <c r="L1" s="60" t="s">
        <v>863</v>
      </c>
      <c r="M1" s="60" t="s">
        <v>374</v>
      </c>
      <c r="N1" s="60" t="s">
        <v>869</v>
      </c>
      <c r="O1" s="60" t="s">
        <v>870</v>
      </c>
      <c r="P1" s="60" t="s">
        <v>871</v>
      </c>
      <c r="Q1" s="60" t="s">
        <v>872</v>
      </c>
      <c r="R1" s="60" t="s">
        <v>874</v>
      </c>
      <c r="S1" s="60" t="s">
        <v>875</v>
      </c>
      <c r="T1" s="60" t="s">
        <v>545</v>
      </c>
    </row>
    <row r="2" spans="1:20" x14ac:dyDescent="0.25">
      <c r="A2" t="s">
        <v>868</v>
      </c>
      <c r="B2" t="s">
        <v>716</v>
      </c>
      <c r="C2" t="s">
        <v>716</v>
      </c>
      <c r="D2" t="s">
        <v>859</v>
      </c>
      <c r="E2" t="s">
        <v>859</v>
      </c>
      <c r="F2" t="s">
        <v>716</v>
      </c>
      <c r="G2" t="s">
        <v>859</v>
      </c>
      <c r="H2" t="s">
        <v>859</v>
      </c>
      <c r="I2" t="s">
        <v>859</v>
      </c>
      <c r="J2" t="s">
        <v>716</v>
      </c>
      <c r="K2" t="s">
        <v>859</v>
      </c>
      <c r="L2" t="s">
        <v>716</v>
      </c>
      <c r="M2" t="s">
        <v>716</v>
      </c>
      <c r="T2" t="s">
        <v>716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J2"/>
  <sheetViews>
    <sheetView workbookViewId="0">
      <selection activeCell="D25" sqref="D25"/>
    </sheetView>
  </sheetViews>
  <sheetFormatPr defaultRowHeight="15" x14ac:dyDescent="0.25"/>
  <cols>
    <col min="1" max="1" width="6.7109375" bestFit="1" customWidth="1"/>
    <col min="2" max="2" width="13.140625" bestFit="1" customWidth="1"/>
    <col min="3" max="3" width="23.140625" bestFit="1" customWidth="1"/>
    <col min="4" max="4" width="20.7109375" bestFit="1" customWidth="1"/>
    <col min="5" max="5" width="19.42578125" bestFit="1" customWidth="1"/>
    <col min="6" max="6" width="22" bestFit="1" customWidth="1"/>
    <col min="7" max="7" width="11" bestFit="1" customWidth="1"/>
    <col min="8" max="8" width="19.85546875" bestFit="1" customWidth="1"/>
    <col min="9" max="9" width="17" bestFit="1" customWidth="1"/>
    <col min="10" max="10" width="16.7109375" bestFit="1" customWidth="1"/>
  </cols>
  <sheetData>
    <row r="1" spans="1:10" s="60" customFormat="1" x14ac:dyDescent="0.25">
      <c r="A1" s="60" t="s">
        <v>360</v>
      </c>
      <c r="B1" s="60" t="s">
        <v>366</v>
      </c>
      <c r="C1" s="60" t="s">
        <v>861</v>
      </c>
      <c r="D1" s="60" t="s">
        <v>368</v>
      </c>
      <c r="E1" s="60" t="s">
        <v>369</v>
      </c>
      <c r="F1" s="60" t="s">
        <v>862</v>
      </c>
      <c r="G1" s="60" t="s">
        <v>487</v>
      </c>
      <c r="H1" s="60" t="s">
        <v>372</v>
      </c>
      <c r="I1" s="60" t="s">
        <v>373</v>
      </c>
      <c r="J1" s="60" t="s">
        <v>374</v>
      </c>
    </row>
    <row r="2" spans="1:10" x14ac:dyDescent="0.25">
      <c r="A2" t="s">
        <v>716</v>
      </c>
      <c r="B2" t="s">
        <v>859</v>
      </c>
      <c r="C2" t="s">
        <v>859</v>
      </c>
      <c r="D2" t="s">
        <v>859</v>
      </c>
      <c r="E2" t="s">
        <v>859</v>
      </c>
      <c r="F2" t="s">
        <v>859</v>
      </c>
      <c r="G2" t="s">
        <v>859</v>
      </c>
      <c r="H2" t="s">
        <v>859</v>
      </c>
      <c r="I2" t="s">
        <v>859</v>
      </c>
      <c r="J2" t="s">
        <v>859</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2"/>
  <sheetViews>
    <sheetView workbookViewId="0">
      <selection activeCell="G26" sqref="G26"/>
    </sheetView>
  </sheetViews>
  <sheetFormatPr defaultRowHeight="15" x14ac:dyDescent="0.25"/>
  <cols>
    <col min="2" max="2" width="13.140625" bestFit="1" customWidth="1"/>
    <col min="4" max="4" width="19.85546875" bestFit="1" customWidth="1"/>
    <col min="5" max="5" width="16.28515625" bestFit="1" customWidth="1"/>
    <col min="6" max="6" width="16.7109375" bestFit="1" customWidth="1"/>
  </cols>
  <sheetData>
    <row r="1" spans="1:6" s="60" customFormat="1" x14ac:dyDescent="0.25">
      <c r="A1" s="60" t="s">
        <v>360</v>
      </c>
      <c r="B1" s="60" t="s">
        <v>366</v>
      </c>
      <c r="C1" s="60" t="s">
        <v>866</v>
      </c>
      <c r="D1" s="60" t="s">
        <v>372</v>
      </c>
      <c r="E1" s="60" t="s">
        <v>373</v>
      </c>
      <c r="F1" s="60" t="s">
        <v>374</v>
      </c>
    </row>
    <row r="2" spans="1:6" x14ac:dyDescent="0.25">
      <c r="A2" t="s">
        <v>716</v>
      </c>
      <c r="B2" t="s">
        <v>859</v>
      </c>
      <c r="C2" t="s">
        <v>714</v>
      </c>
      <c r="D2" t="s">
        <v>859</v>
      </c>
      <c r="E2" t="s">
        <v>859</v>
      </c>
      <c r="F2" t="s">
        <v>876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48"/>
  <sheetViews>
    <sheetView zoomScaleNormal="100" workbookViewId="0">
      <selection activeCell="A22" sqref="A22"/>
    </sheetView>
  </sheetViews>
  <sheetFormatPr defaultRowHeight="15" x14ac:dyDescent="0.25"/>
  <cols>
    <col min="1" max="1" width="60.5703125" style="72" customWidth="1"/>
    <col min="2" max="2" width="29.42578125" customWidth="1"/>
    <col min="3" max="3" width="18.7109375" customWidth="1"/>
    <col min="4" max="4" width="20.140625" bestFit="1" customWidth="1"/>
    <col min="5" max="5" width="38.28515625" customWidth="1"/>
    <col min="6" max="6" width="6.42578125" bestFit="1" customWidth="1"/>
    <col min="7" max="7" width="27" customWidth="1"/>
    <col min="8" max="8" width="6.42578125" bestFit="1" customWidth="1"/>
  </cols>
  <sheetData>
    <row r="1" spans="1:7" x14ac:dyDescent="0.25">
      <c r="A1" s="75" t="s">
        <v>814</v>
      </c>
      <c r="B1" s="60" t="s">
        <v>819</v>
      </c>
      <c r="C1" s="60" t="s">
        <v>817</v>
      </c>
      <c r="D1" s="60" t="s">
        <v>820</v>
      </c>
      <c r="G1" s="4" t="s">
        <v>826</v>
      </c>
    </row>
    <row r="2" spans="1:7" x14ac:dyDescent="0.25">
      <c r="A2" s="72" t="s">
        <v>818</v>
      </c>
      <c r="B2" t="s">
        <v>507</v>
      </c>
      <c r="G2" t="s">
        <v>827</v>
      </c>
    </row>
    <row r="3" spans="1:7" x14ac:dyDescent="0.25">
      <c r="A3" s="72" t="s">
        <v>822</v>
      </c>
      <c r="B3" t="s">
        <v>501</v>
      </c>
      <c r="G3" t="s">
        <v>828</v>
      </c>
    </row>
    <row r="4" spans="1:7" x14ac:dyDescent="0.25">
      <c r="A4" s="72" t="s">
        <v>823</v>
      </c>
      <c r="B4" t="s">
        <v>501</v>
      </c>
      <c r="G4" t="s">
        <v>829</v>
      </c>
    </row>
    <row r="5" spans="1:7" x14ac:dyDescent="0.25">
      <c r="A5" s="72" t="s">
        <v>824</v>
      </c>
      <c r="B5" t="s">
        <v>501</v>
      </c>
      <c r="G5" t="s">
        <v>832</v>
      </c>
    </row>
    <row r="6" spans="1:7" x14ac:dyDescent="0.25">
      <c r="A6" s="72" t="s">
        <v>825</v>
      </c>
      <c r="B6" t="s">
        <v>501</v>
      </c>
      <c r="G6" t="s">
        <v>830</v>
      </c>
    </row>
    <row r="7" spans="1:7" x14ac:dyDescent="0.25">
      <c r="A7" s="72" t="s">
        <v>838</v>
      </c>
    </row>
    <row r="8" spans="1:7" x14ac:dyDescent="0.25">
      <c r="A8" s="72" t="s">
        <v>840</v>
      </c>
      <c r="B8" t="s">
        <v>501</v>
      </c>
      <c r="D8" t="s">
        <v>821</v>
      </c>
    </row>
    <row r="9" spans="1:7" x14ac:dyDescent="0.25">
      <c r="A9" s="25" t="s">
        <v>837</v>
      </c>
      <c r="G9" t="s">
        <v>831</v>
      </c>
    </row>
    <row r="10" spans="1:7" ht="45" x14ac:dyDescent="0.25">
      <c r="A10" s="74" t="s">
        <v>855</v>
      </c>
      <c r="B10" t="s">
        <v>501</v>
      </c>
    </row>
    <row r="11" spans="1:7" x14ac:dyDescent="0.25">
      <c r="A11" s="74"/>
    </row>
    <row r="12" spans="1:7" x14ac:dyDescent="0.25">
      <c r="A12" s="74"/>
    </row>
    <row r="13" spans="1:7" x14ac:dyDescent="0.25">
      <c r="A13" s="74"/>
    </row>
    <row r="16" spans="1:7" x14ac:dyDescent="0.25">
      <c r="A16" s="75" t="s">
        <v>815</v>
      </c>
      <c r="B16" s="60" t="s">
        <v>819</v>
      </c>
      <c r="C16" s="60" t="s">
        <v>817</v>
      </c>
      <c r="D16" s="60" t="s">
        <v>820</v>
      </c>
    </row>
    <row r="17" spans="1:4" x14ac:dyDescent="0.25">
      <c r="A17" s="72" t="s">
        <v>834</v>
      </c>
    </row>
    <row r="18" spans="1:4" x14ac:dyDescent="0.25">
      <c r="A18" s="72" t="s">
        <v>835</v>
      </c>
    </row>
    <row r="19" spans="1:4" x14ac:dyDescent="0.25">
      <c r="A19" s="72" t="s">
        <v>836</v>
      </c>
    </row>
    <row r="21" spans="1:4" x14ac:dyDescent="0.25">
      <c r="A21" s="25" t="s">
        <v>837</v>
      </c>
    </row>
    <row r="22" spans="1:4" ht="30" x14ac:dyDescent="0.25">
      <c r="A22" s="72" t="s">
        <v>842</v>
      </c>
    </row>
    <row r="23" spans="1:4" ht="30" x14ac:dyDescent="0.25">
      <c r="A23" s="72" t="s">
        <v>843</v>
      </c>
      <c r="D23" t="s">
        <v>856</v>
      </c>
    </row>
    <row r="24" spans="1:4" ht="30" x14ac:dyDescent="0.25">
      <c r="A24" s="72" t="s">
        <v>844</v>
      </c>
      <c r="D24" t="s">
        <v>857</v>
      </c>
    </row>
    <row r="25" spans="1:4" ht="30" x14ac:dyDescent="0.25">
      <c r="A25" s="72" t="s">
        <v>845</v>
      </c>
      <c r="D25" t="s">
        <v>858</v>
      </c>
    </row>
    <row r="26" spans="1:4" ht="30" x14ac:dyDescent="0.25">
      <c r="A26" s="72" t="s">
        <v>846</v>
      </c>
    </row>
    <row r="27" spans="1:4" ht="30" x14ac:dyDescent="0.25">
      <c r="A27" s="72" t="s">
        <v>847</v>
      </c>
    </row>
    <row r="28" spans="1:4" ht="30" x14ac:dyDescent="0.25">
      <c r="A28" s="74" t="s">
        <v>848</v>
      </c>
    </row>
    <row r="30" spans="1:4" x14ac:dyDescent="0.25">
      <c r="A30" s="72" t="s">
        <v>853</v>
      </c>
    </row>
    <row r="31" spans="1:4" x14ac:dyDescent="0.25">
      <c r="A31" s="72" t="s">
        <v>854</v>
      </c>
    </row>
    <row r="34" spans="1:4" x14ac:dyDescent="0.25">
      <c r="A34" s="75" t="s">
        <v>816</v>
      </c>
      <c r="B34" s="60" t="s">
        <v>819</v>
      </c>
      <c r="C34" s="60" t="s">
        <v>817</v>
      </c>
      <c r="D34" s="60" t="s">
        <v>820</v>
      </c>
    </row>
    <row r="35" spans="1:4" x14ac:dyDescent="0.25">
      <c r="A35" s="72" t="s">
        <v>833</v>
      </c>
    </row>
    <row r="36" spans="1:4" x14ac:dyDescent="0.25">
      <c r="A36" s="72" t="s">
        <v>849</v>
      </c>
    </row>
    <row r="37" spans="1:4" x14ac:dyDescent="0.25">
      <c r="A37" s="72" t="s">
        <v>851</v>
      </c>
    </row>
    <row r="39" spans="1:4" x14ac:dyDescent="0.25">
      <c r="A39" s="25" t="s">
        <v>837</v>
      </c>
    </row>
    <row r="40" spans="1:4" x14ac:dyDescent="0.25">
      <c r="A40" s="72" t="s">
        <v>839</v>
      </c>
      <c r="B40" t="s">
        <v>501</v>
      </c>
    </row>
    <row r="41" spans="1:4" ht="30" x14ac:dyDescent="0.25">
      <c r="A41" s="72" t="s">
        <v>841</v>
      </c>
      <c r="B41" t="s">
        <v>501</v>
      </c>
    </row>
    <row r="46" spans="1:4" x14ac:dyDescent="0.25">
      <c r="A46" s="76" t="s">
        <v>850</v>
      </c>
    </row>
    <row r="47" spans="1:4" x14ac:dyDescent="0.25">
      <c r="A47" s="72" t="s">
        <v>852</v>
      </c>
    </row>
    <row r="48" spans="1:4" x14ac:dyDescent="0.25">
      <c r="A48" s="72" t="s">
        <v>859</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0"/>
  <sheetViews>
    <sheetView workbookViewId="0">
      <selection activeCell="A6" sqref="A6:B8"/>
    </sheetView>
  </sheetViews>
  <sheetFormatPr defaultRowHeight="15" x14ac:dyDescent="0.25"/>
  <cols>
    <col min="1" max="1" width="13.140625" bestFit="1" customWidth="1"/>
    <col min="2" max="2" width="15" bestFit="1" customWidth="1"/>
  </cols>
  <sheetData>
    <row r="1" spans="1:2" x14ac:dyDescent="0.25">
      <c r="A1" s="61" t="s">
        <v>728</v>
      </c>
      <c r="B1" t="s">
        <v>731</v>
      </c>
    </row>
    <row r="2" spans="1:2" x14ac:dyDescent="0.25">
      <c r="A2" s="5" t="s">
        <v>402</v>
      </c>
      <c r="B2" s="62">
        <v>14</v>
      </c>
    </row>
    <row r="3" spans="1:2" x14ac:dyDescent="0.25">
      <c r="A3" s="5" t="s">
        <v>403</v>
      </c>
      <c r="B3" s="62">
        <v>2</v>
      </c>
    </row>
    <row r="4" spans="1:2" x14ac:dyDescent="0.25">
      <c r="A4" s="5" t="s">
        <v>404</v>
      </c>
      <c r="B4" s="62">
        <v>24</v>
      </c>
    </row>
    <row r="5" spans="1:2" x14ac:dyDescent="0.25">
      <c r="A5" s="5" t="s">
        <v>406</v>
      </c>
      <c r="B5" s="62">
        <v>34</v>
      </c>
    </row>
    <row r="6" spans="1:2" x14ac:dyDescent="0.25">
      <c r="A6" s="5" t="s">
        <v>407</v>
      </c>
      <c r="B6" s="62">
        <v>10</v>
      </c>
    </row>
    <row r="7" spans="1:2" x14ac:dyDescent="0.25">
      <c r="A7" s="5" t="s">
        <v>405</v>
      </c>
      <c r="B7" s="62">
        <v>19</v>
      </c>
    </row>
    <row r="8" spans="1:2" x14ac:dyDescent="0.25">
      <c r="A8" s="5" t="s">
        <v>409</v>
      </c>
      <c r="B8" s="62">
        <v>1</v>
      </c>
    </row>
    <row r="9" spans="1:2" x14ac:dyDescent="0.25">
      <c r="A9" s="5" t="s">
        <v>729</v>
      </c>
      <c r="B9" s="62"/>
    </row>
    <row r="10" spans="1:2" x14ac:dyDescent="0.25">
      <c r="A10" s="5" t="s">
        <v>730</v>
      </c>
      <c r="B10" s="62">
        <v>104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1:K187"/>
  <sheetViews>
    <sheetView workbookViewId="0">
      <selection activeCell="B93" sqref="B93"/>
    </sheetView>
  </sheetViews>
  <sheetFormatPr defaultRowHeight="15" x14ac:dyDescent="0.25"/>
  <cols>
    <col min="1" max="1" width="15.85546875" customWidth="1"/>
    <col min="2" max="2" width="37" customWidth="1"/>
    <col min="3" max="3" width="35" customWidth="1"/>
    <col min="4" max="4" width="19.7109375" customWidth="1"/>
    <col min="5" max="5" width="22.7109375" customWidth="1"/>
    <col min="6" max="6" width="32.42578125" customWidth="1"/>
  </cols>
  <sheetData>
    <row r="1" spans="1:11" x14ac:dyDescent="0.25">
      <c r="A1" s="1" t="s">
        <v>0</v>
      </c>
      <c r="B1" s="1" t="s">
        <v>1</v>
      </c>
      <c r="C1" s="25" t="s">
        <v>2</v>
      </c>
      <c r="D1" s="25" t="s">
        <v>346</v>
      </c>
      <c r="E1" s="25" t="s">
        <v>360</v>
      </c>
      <c r="F1" s="25" t="s">
        <v>767</v>
      </c>
    </row>
    <row r="2" spans="1:11" x14ac:dyDescent="0.25">
      <c r="A2" s="2" t="s">
        <v>75</v>
      </c>
      <c r="B2" s="2" t="s">
        <v>76</v>
      </c>
      <c r="C2" s="2" t="s">
        <v>77</v>
      </c>
      <c r="D2" s="2" t="s">
        <v>349</v>
      </c>
      <c r="E2" t="s">
        <v>399</v>
      </c>
      <c r="F2" t="s">
        <v>768</v>
      </c>
    </row>
    <row r="3" spans="1:11" x14ac:dyDescent="0.25">
      <c r="A3" s="2" t="s">
        <v>17</v>
      </c>
      <c r="B3" s="2" t="s">
        <v>18</v>
      </c>
      <c r="C3" s="2" t="s">
        <v>19</v>
      </c>
      <c r="D3" s="2" t="s">
        <v>349</v>
      </c>
      <c r="E3" t="s">
        <v>399</v>
      </c>
      <c r="F3" t="s">
        <v>769</v>
      </c>
    </row>
    <row r="4" spans="1:11" x14ac:dyDescent="0.25">
      <c r="A4" s="2" t="s">
        <v>101</v>
      </c>
      <c r="B4" s="2" t="s">
        <v>102</v>
      </c>
      <c r="C4" s="2" t="s">
        <v>96</v>
      </c>
      <c r="D4" s="2" t="s">
        <v>349</v>
      </c>
      <c r="E4" t="s">
        <v>399</v>
      </c>
      <c r="F4" s="2" t="s">
        <v>714</v>
      </c>
    </row>
    <row r="5" spans="1:11" x14ac:dyDescent="0.25">
      <c r="A5" s="2" t="s">
        <v>123</v>
      </c>
      <c r="B5" s="2" t="s">
        <v>124</v>
      </c>
      <c r="C5" s="2"/>
      <c r="D5" s="2" t="s">
        <v>349</v>
      </c>
      <c r="E5" t="s">
        <v>399</v>
      </c>
      <c r="F5" t="s">
        <v>768</v>
      </c>
    </row>
    <row r="6" spans="1:11" x14ac:dyDescent="0.25">
      <c r="A6" s="2" t="s">
        <v>308</v>
      </c>
      <c r="B6" s="2" t="s">
        <v>255</v>
      </c>
      <c r="C6" s="2" t="s">
        <v>309</v>
      </c>
      <c r="D6" s="2" t="s">
        <v>349</v>
      </c>
      <c r="E6" t="s">
        <v>400</v>
      </c>
      <c r="F6" s="2" t="s">
        <v>714</v>
      </c>
    </row>
    <row r="7" spans="1:11" x14ac:dyDescent="0.25">
      <c r="A7" s="2" t="s">
        <v>310</v>
      </c>
      <c r="B7" s="2" t="s">
        <v>255</v>
      </c>
      <c r="C7" s="2" t="s">
        <v>309</v>
      </c>
      <c r="D7" s="2" t="s">
        <v>349</v>
      </c>
      <c r="E7" t="s">
        <v>400</v>
      </c>
      <c r="F7" s="2" t="s">
        <v>714</v>
      </c>
      <c r="K7" s="134"/>
    </row>
    <row r="8" spans="1:11" x14ac:dyDescent="0.25">
      <c r="A8" s="2" t="s">
        <v>254</v>
      </c>
      <c r="B8" s="2" t="s">
        <v>255</v>
      </c>
      <c r="C8" s="2" t="s">
        <v>256</v>
      </c>
      <c r="D8" s="2" t="s">
        <v>349</v>
      </c>
      <c r="E8" t="s">
        <v>400</v>
      </c>
      <c r="F8" s="2" t="s">
        <v>714</v>
      </c>
    </row>
    <row r="9" spans="1:11" x14ac:dyDescent="0.25">
      <c r="A9" s="2" t="s">
        <v>278</v>
      </c>
      <c r="B9" s="2" t="s">
        <v>255</v>
      </c>
      <c r="C9" s="2" t="s">
        <v>279</v>
      </c>
      <c r="D9" s="2" t="s">
        <v>349</v>
      </c>
      <c r="E9" t="s">
        <v>400</v>
      </c>
      <c r="F9" s="2" t="s">
        <v>714</v>
      </c>
    </row>
    <row r="10" spans="1:11" x14ac:dyDescent="0.25">
      <c r="A10" s="2" t="s">
        <v>170</v>
      </c>
      <c r="B10" s="2" t="s">
        <v>171</v>
      </c>
      <c r="C10" s="2" t="s">
        <v>172</v>
      </c>
      <c r="D10" s="2" t="s">
        <v>349</v>
      </c>
      <c r="E10" t="s">
        <v>400</v>
      </c>
      <c r="F10" s="2" t="s">
        <v>714</v>
      </c>
    </row>
    <row r="11" spans="1:11" x14ac:dyDescent="0.25">
      <c r="A11" s="2" t="s">
        <v>332</v>
      </c>
      <c r="B11" s="2" t="s">
        <v>76</v>
      </c>
      <c r="C11" s="2" t="s">
        <v>333</v>
      </c>
      <c r="D11" s="2" t="s">
        <v>349</v>
      </c>
      <c r="E11" t="s">
        <v>400</v>
      </c>
      <c r="F11" s="2" t="s">
        <v>714</v>
      </c>
    </row>
    <row r="12" spans="1:11" x14ac:dyDescent="0.25">
      <c r="A12" s="2" t="s">
        <v>184</v>
      </c>
      <c r="B12" s="2" t="s">
        <v>185</v>
      </c>
      <c r="C12" s="2"/>
      <c r="D12" s="2" t="s">
        <v>349</v>
      </c>
      <c r="E12" t="s">
        <v>400</v>
      </c>
      <c r="F12" t="s">
        <v>773</v>
      </c>
    </row>
    <row r="13" spans="1:11" x14ac:dyDescent="0.25">
      <c r="A13" s="2" t="s">
        <v>186</v>
      </c>
      <c r="B13" s="2" t="s">
        <v>185</v>
      </c>
      <c r="C13" s="2"/>
      <c r="D13" s="2" t="s">
        <v>349</v>
      </c>
      <c r="E13" t="s">
        <v>400</v>
      </c>
      <c r="F13" t="s">
        <v>773</v>
      </c>
    </row>
    <row r="14" spans="1:11" hidden="1" x14ac:dyDescent="0.25">
      <c r="A14" s="2" t="s">
        <v>30</v>
      </c>
      <c r="B14" s="45" t="s">
        <v>28</v>
      </c>
      <c r="C14" s="45" t="s">
        <v>29</v>
      </c>
      <c r="D14" s="45" t="s">
        <v>347</v>
      </c>
      <c r="E14" s="5" t="s">
        <v>402</v>
      </c>
    </row>
    <row r="15" spans="1:11" hidden="1" x14ac:dyDescent="0.25">
      <c r="A15" s="2" t="s">
        <v>113</v>
      </c>
      <c r="B15" s="45" t="s">
        <v>28</v>
      </c>
      <c r="C15" s="45" t="s">
        <v>114</v>
      </c>
      <c r="D15" s="45" t="s">
        <v>347</v>
      </c>
      <c r="E15" s="5" t="s">
        <v>402</v>
      </c>
    </row>
    <row r="16" spans="1:11" hidden="1" x14ac:dyDescent="0.25">
      <c r="A16" s="2" t="s">
        <v>81</v>
      </c>
      <c r="B16" s="2" t="s">
        <v>28</v>
      </c>
      <c r="C16" s="2" t="s">
        <v>82</v>
      </c>
      <c r="D16" s="2" t="s">
        <v>347</v>
      </c>
      <c r="E16" t="s">
        <v>402</v>
      </c>
    </row>
    <row r="17" spans="1:5" hidden="1" x14ac:dyDescent="0.25">
      <c r="A17" s="2" t="s">
        <v>31</v>
      </c>
      <c r="B17" s="2" t="s">
        <v>28</v>
      </c>
      <c r="C17" s="2" t="s">
        <v>32</v>
      </c>
      <c r="D17" s="2" t="s">
        <v>347</v>
      </c>
      <c r="E17" t="s">
        <v>402</v>
      </c>
    </row>
    <row r="18" spans="1:5" hidden="1" x14ac:dyDescent="0.25">
      <c r="A18" s="2" t="s">
        <v>83</v>
      </c>
      <c r="B18" s="2" t="s">
        <v>84</v>
      </c>
      <c r="C18" s="2" t="s">
        <v>85</v>
      </c>
      <c r="D18" s="2" t="s">
        <v>347</v>
      </c>
      <c r="E18" t="s">
        <v>402</v>
      </c>
    </row>
    <row r="19" spans="1:5" hidden="1" x14ac:dyDescent="0.25">
      <c r="A19" s="2" t="s">
        <v>70</v>
      </c>
      <c r="B19" s="2" t="s">
        <v>68</v>
      </c>
      <c r="C19" s="2" t="s">
        <v>71</v>
      </c>
      <c r="D19" s="2" t="s">
        <v>347</v>
      </c>
      <c r="E19" t="s">
        <v>402</v>
      </c>
    </row>
    <row r="20" spans="1:5" hidden="1" x14ac:dyDescent="0.25">
      <c r="A20" s="2" t="s">
        <v>91</v>
      </c>
      <c r="B20" s="2" t="s">
        <v>24</v>
      </c>
      <c r="C20" s="2" t="s">
        <v>92</v>
      </c>
      <c r="D20" s="2" t="s">
        <v>347</v>
      </c>
      <c r="E20" t="s">
        <v>402</v>
      </c>
    </row>
    <row r="21" spans="1:5" hidden="1" x14ac:dyDescent="0.25">
      <c r="A21" s="2" t="s">
        <v>148</v>
      </c>
      <c r="B21" s="2" t="s">
        <v>149</v>
      </c>
      <c r="C21" s="2" t="s">
        <v>150</v>
      </c>
      <c r="D21" s="2" t="s">
        <v>347</v>
      </c>
      <c r="E21" t="s">
        <v>402</v>
      </c>
    </row>
    <row r="22" spans="1:5" hidden="1" x14ac:dyDescent="0.25">
      <c r="A22" s="2" t="s">
        <v>268</v>
      </c>
      <c r="B22" s="2" t="s">
        <v>263</v>
      </c>
      <c r="C22" s="2" t="s">
        <v>269</v>
      </c>
      <c r="D22" s="2" t="s">
        <v>347</v>
      </c>
      <c r="E22" t="s">
        <v>402</v>
      </c>
    </row>
    <row r="23" spans="1:5" hidden="1" x14ac:dyDescent="0.25">
      <c r="A23" s="2" t="s">
        <v>262</v>
      </c>
      <c r="B23" s="2" t="s">
        <v>263</v>
      </c>
      <c r="C23" s="2" t="s">
        <v>264</v>
      </c>
      <c r="D23" s="2" t="s">
        <v>347</v>
      </c>
      <c r="E23" t="s">
        <v>402</v>
      </c>
    </row>
    <row r="24" spans="1:5" hidden="1" x14ac:dyDescent="0.25">
      <c r="A24" s="2" t="s">
        <v>65</v>
      </c>
      <c r="B24" s="2" t="s">
        <v>28</v>
      </c>
      <c r="C24" s="2" t="s">
        <v>66</v>
      </c>
      <c r="D24" s="2" t="s">
        <v>347</v>
      </c>
      <c r="E24" t="s">
        <v>402</v>
      </c>
    </row>
    <row r="25" spans="1:5" hidden="1" x14ac:dyDescent="0.25">
      <c r="A25" s="2" t="s">
        <v>118</v>
      </c>
      <c r="B25" s="2" t="s">
        <v>28</v>
      </c>
      <c r="C25" s="2" t="s">
        <v>119</v>
      </c>
      <c r="D25" s="2" t="s">
        <v>347</v>
      </c>
      <c r="E25" t="s">
        <v>402</v>
      </c>
    </row>
    <row r="26" spans="1:5" hidden="1" x14ac:dyDescent="0.25">
      <c r="A26" s="2" t="s">
        <v>67</v>
      </c>
      <c r="B26" s="2" t="s">
        <v>68</v>
      </c>
      <c r="C26" s="2" t="s">
        <v>69</v>
      </c>
      <c r="D26" s="2" t="s">
        <v>347</v>
      </c>
      <c r="E26" s="4" t="s">
        <v>402</v>
      </c>
    </row>
    <row r="27" spans="1:5" hidden="1" x14ac:dyDescent="0.25">
      <c r="A27" s="2" t="s">
        <v>95</v>
      </c>
      <c r="B27" s="2" t="s">
        <v>4</v>
      </c>
      <c r="C27" s="2" t="s">
        <v>96</v>
      </c>
      <c r="D27" s="2" t="s">
        <v>347</v>
      </c>
      <c r="E27" t="s">
        <v>402</v>
      </c>
    </row>
    <row r="28" spans="1:5" hidden="1" x14ac:dyDescent="0.25">
      <c r="A28" s="2" t="s">
        <v>235</v>
      </c>
      <c r="B28" s="2" t="s">
        <v>24</v>
      </c>
      <c r="C28" s="2" t="s">
        <v>236</v>
      </c>
      <c r="D28" s="2" t="s">
        <v>347</v>
      </c>
      <c r="E28" t="s">
        <v>403</v>
      </c>
    </row>
    <row r="29" spans="1:5" hidden="1" x14ac:dyDescent="0.25">
      <c r="A29" s="2" t="s">
        <v>200</v>
      </c>
      <c r="B29" s="2" t="s">
        <v>24</v>
      </c>
      <c r="C29" s="2" t="s">
        <v>201</v>
      </c>
      <c r="D29" s="2" t="s">
        <v>347</v>
      </c>
      <c r="E29" t="s">
        <v>403</v>
      </c>
    </row>
    <row r="30" spans="1:5" hidden="1" x14ac:dyDescent="0.25">
      <c r="A30" s="2" t="s">
        <v>20</v>
      </c>
      <c r="B30" s="2" t="s">
        <v>21</v>
      </c>
      <c r="C30" s="2" t="s">
        <v>22</v>
      </c>
      <c r="D30" s="2" t="s">
        <v>347</v>
      </c>
      <c r="E30" s="4" t="s">
        <v>404</v>
      </c>
    </row>
    <row r="31" spans="1:5" hidden="1" x14ac:dyDescent="0.25">
      <c r="A31" s="2" t="s">
        <v>23</v>
      </c>
      <c r="B31" s="2" t="s">
        <v>24</v>
      </c>
      <c r="C31" s="2" t="s">
        <v>25</v>
      </c>
      <c r="D31" s="2" t="s">
        <v>347</v>
      </c>
      <c r="E31" t="s">
        <v>404</v>
      </c>
    </row>
    <row r="32" spans="1:5" hidden="1" x14ac:dyDescent="0.25">
      <c r="A32" s="2" t="s">
        <v>86</v>
      </c>
      <c r="B32" s="2" t="s">
        <v>87</v>
      </c>
      <c r="C32" s="2" t="s">
        <v>88</v>
      </c>
      <c r="D32" s="2" t="s">
        <v>347</v>
      </c>
      <c r="E32" t="s">
        <v>404</v>
      </c>
    </row>
    <row r="33" spans="1:5" hidden="1" x14ac:dyDescent="0.25">
      <c r="A33" s="2" t="s">
        <v>27</v>
      </c>
      <c r="B33" s="2" t="s">
        <v>28</v>
      </c>
      <c r="C33" s="2" t="s">
        <v>29</v>
      </c>
      <c r="D33" s="2" t="s">
        <v>347</v>
      </c>
      <c r="E33" t="s">
        <v>404</v>
      </c>
    </row>
    <row r="34" spans="1:5" hidden="1" x14ac:dyDescent="0.25">
      <c r="A34" s="2" t="s">
        <v>9</v>
      </c>
      <c r="B34" s="2" t="s">
        <v>7</v>
      </c>
      <c r="C34" s="2" t="s">
        <v>10</v>
      </c>
      <c r="D34" s="2" t="s">
        <v>347</v>
      </c>
      <c r="E34" t="s">
        <v>404</v>
      </c>
    </row>
    <row r="35" spans="1:5" hidden="1" x14ac:dyDescent="0.25">
      <c r="A35" s="2" t="s">
        <v>98</v>
      </c>
      <c r="B35" s="2" t="s">
        <v>7</v>
      </c>
      <c r="C35" s="2" t="s">
        <v>99</v>
      </c>
      <c r="D35" s="2" t="s">
        <v>347</v>
      </c>
      <c r="E35" t="s">
        <v>404</v>
      </c>
    </row>
    <row r="36" spans="1:5" hidden="1" x14ac:dyDescent="0.25">
      <c r="A36" s="2" t="s">
        <v>3</v>
      </c>
      <c r="B36" s="2" t="s">
        <v>4</v>
      </c>
      <c r="C36" s="2" t="s">
        <v>5</v>
      </c>
      <c r="D36" s="2" t="s">
        <v>347</v>
      </c>
      <c r="E36" t="s">
        <v>404</v>
      </c>
    </row>
    <row r="37" spans="1:5" hidden="1" x14ac:dyDescent="0.25">
      <c r="A37" s="2" t="s">
        <v>72</v>
      </c>
      <c r="B37" s="2" t="s">
        <v>73</v>
      </c>
      <c r="C37" s="2" t="s">
        <v>74</v>
      </c>
      <c r="D37" s="2" t="s">
        <v>347</v>
      </c>
      <c r="E37" t="s">
        <v>404</v>
      </c>
    </row>
    <row r="38" spans="1:5" hidden="1" x14ac:dyDescent="0.25">
      <c r="A38" s="2" t="s">
        <v>133</v>
      </c>
      <c r="B38" s="2" t="s">
        <v>28</v>
      </c>
      <c r="C38" s="2" t="s">
        <v>134</v>
      </c>
      <c r="D38" s="2" t="s">
        <v>347</v>
      </c>
      <c r="E38" t="s">
        <v>404</v>
      </c>
    </row>
    <row r="39" spans="1:5" hidden="1" x14ac:dyDescent="0.25">
      <c r="A39" s="2" t="s">
        <v>108</v>
      </c>
      <c r="B39" s="2" t="s">
        <v>109</v>
      </c>
      <c r="C39" s="2" t="s">
        <v>110</v>
      </c>
      <c r="D39" s="2" t="s">
        <v>347</v>
      </c>
      <c r="E39" t="s">
        <v>404</v>
      </c>
    </row>
    <row r="40" spans="1:5" hidden="1" x14ac:dyDescent="0.25">
      <c r="A40" s="2" t="s">
        <v>131</v>
      </c>
      <c r="B40" s="2" t="s">
        <v>126</v>
      </c>
      <c r="C40" s="2" t="s">
        <v>132</v>
      </c>
      <c r="D40" s="2" t="s">
        <v>347</v>
      </c>
      <c r="E40" t="s">
        <v>404</v>
      </c>
    </row>
    <row r="41" spans="1:5" hidden="1" x14ac:dyDescent="0.25">
      <c r="A41" s="2" t="s">
        <v>214</v>
      </c>
      <c r="B41" s="2" t="s">
        <v>206</v>
      </c>
      <c r="C41" s="2" t="s">
        <v>215</v>
      </c>
      <c r="D41" s="2" t="s">
        <v>347</v>
      </c>
      <c r="E41" t="s">
        <v>404</v>
      </c>
    </row>
    <row r="42" spans="1:5" hidden="1" x14ac:dyDescent="0.25">
      <c r="A42" s="2" t="s">
        <v>111</v>
      </c>
      <c r="B42" s="2" t="s">
        <v>28</v>
      </c>
      <c r="C42" s="2" t="s">
        <v>112</v>
      </c>
      <c r="D42" s="2" t="s">
        <v>347</v>
      </c>
      <c r="E42" t="s">
        <v>404</v>
      </c>
    </row>
    <row r="43" spans="1:5" hidden="1" x14ac:dyDescent="0.25">
      <c r="A43" s="2" t="s">
        <v>6</v>
      </c>
      <c r="B43" s="2" t="s">
        <v>7</v>
      </c>
      <c r="C43" s="2" t="s">
        <v>8</v>
      </c>
      <c r="D43" s="2" t="s">
        <v>347</v>
      </c>
      <c r="E43" t="s">
        <v>404</v>
      </c>
    </row>
    <row r="44" spans="1:5" hidden="1" x14ac:dyDescent="0.25">
      <c r="A44" s="2" t="s">
        <v>178</v>
      </c>
      <c r="B44" s="2" t="s">
        <v>28</v>
      </c>
      <c r="C44" s="2" t="s">
        <v>179</v>
      </c>
      <c r="D44" s="2" t="s">
        <v>347</v>
      </c>
      <c r="E44" t="s">
        <v>404</v>
      </c>
    </row>
    <row r="45" spans="1:5" hidden="1" x14ac:dyDescent="0.25">
      <c r="A45" s="2" t="s">
        <v>93</v>
      </c>
      <c r="B45" s="2" t="s">
        <v>84</v>
      </c>
      <c r="C45" s="2" t="s">
        <v>94</v>
      </c>
      <c r="D45" s="2" t="s">
        <v>347</v>
      </c>
      <c r="E45" t="s">
        <v>404</v>
      </c>
    </row>
    <row r="46" spans="1:5" hidden="1" x14ac:dyDescent="0.25">
      <c r="A46" s="2" t="s">
        <v>125</v>
      </c>
      <c r="B46" s="2" t="s">
        <v>126</v>
      </c>
      <c r="C46" s="2" t="s">
        <v>127</v>
      </c>
      <c r="D46" s="2" t="s">
        <v>347</v>
      </c>
      <c r="E46" t="s">
        <v>404</v>
      </c>
    </row>
    <row r="47" spans="1:5" hidden="1" x14ac:dyDescent="0.25">
      <c r="A47" s="2" t="s">
        <v>139</v>
      </c>
      <c r="B47" s="2" t="s">
        <v>104</v>
      </c>
      <c r="C47" s="2" t="s">
        <v>140</v>
      </c>
      <c r="D47" s="2" t="s">
        <v>347</v>
      </c>
      <c r="E47" t="s">
        <v>404</v>
      </c>
    </row>
    <row r="48" spans="1:5" hidden="1" x14ac:dyDescent="0.25">
      <c r="A48" s="2" t="s">
        <v>151</v>
      </c>
      <c r="B48" s="2" t="s">
        <v>28</v>
      </c>
      <c r="C48" s="2" t="s">
        <v>152</v>
      </c>
      <c r="D48" s="2" t="s">
        <v>347</v>
      </c>
      <c r="E48" t="s">
        <v>404</v>
      </c>
    </row>
    <row r="49" spans="1:5" hidden="1" x14ac:dyDescent="0.25">
      <c r="A49" s="2" t="s">
        <v>106</v>
      </c>
      <c r="B49" s="2" t="s">
        <v>104</v>
      </c>
      <c r="C49" s="2" t="s">
        <v>107</v>
      </c>
      <c r="D49" s="2" t="s">
        <v>347</v>
      </c>
      <c r="E49" t="s">
        <v>404</v>
      </c>
    </row>
    <row r="50" spans="1:5" hidden="1" x14ac:dyDescent="0.25">
      <c r="A50" s="2" t="s">
        <v>26</v>
      </c>
      <c r="B50" s="2" t="s">
        <v>24</v>
      </c>
      <c r="C50" s="2"/>
      <c r="D50" s="2" t="s">
        <v>347</v>
      </c>
      <c r="E50" s="2" t="s">
        <v>404</v>
      </c>
    </row>
    <row r="51" spans="1:5" hidden="1" x14ac:dyDescent="0.25">
      <c r="A51" s="2" t="s">
        <v>628</v>
      </c>
      <c r="B51" s="2" t="s">
        <v>629</v>
      </c>
      <c r="C51" s="2" t="s">
        <v>630</v>
      </c>
      <c r="D51" s="2" t="s">
        <v>347</v>
      </c>
      <c r="E51" s="2" t="s">
        <v>404</v>
      </c>
    </row>
    <row r="52" spans="1:5" hidden="1" x14ac:dyDescent="0.25">
      <c r="A52" s="2" t="s">
        <v>648</v>
      </c>
      <c r="B52" s="2" t="s">
        <v>649</v>
      </c>
      <c r="C52" s="2" t="s">
        <v>650</v>
      </c>
      <c r="D52" s="2" t="s">
        <v>347</v>
      </c>
      <c r="E52" s="2" t="s">
        <v>404</v>
      </c>
    </row>
    <row r="53" spans="1:5" hidden="1" x14ac:dyDescent="0.25">
      <c r="A53" s="2" t="s">
        <v>655</v>
      </c>
      <c r="B53" s="2" t="s">
        <v>656</v>
      </c>
      <c r="C53" s="2" t="s">
        <v>657</v>
      </c>
      <c r="D53" s="2" t="s">
        <v>347</v>
      </c>
      <c r="E53" t="s">
        <v>404</v>
      </c>
    </row>
    <row r="54" spans="1:5" hidden="1" x14ac:dyDescent="0.25">
      <c r="A54" s="2" t="s">
        <v>325</v>
      </c>
      <c r="B54" s="2" t="s">
        <v>326</v>
      </c>
      <c r="C54" s="2" t="s">
        <v>327</v>
      </c>
      <c r="D54" s="2" t="s">
        <v>347</v>
      </c>
      <c r="E54" t="s">
        <v>406</v>
      </c>
    </row>
    <row r="55" spans="1:5" hidden="1" x14ac:dyDescent="0.25">
      <c r="A55" s="2" t="s">
        <v>168</v>
      </c>
      <c r="B55" s="2" t="s">
        <v>160</v>
      </c>
      <c r="C55" s="2" t="s">
        <v>169</v>
      </c>
      <c r="D55" s="2" t="s">
        <v>347</v>
      </c>
      <c r="E55" t="s">
        <v>406</v>
      </c>
    </row>
    <row r="56" spans="1:5" hidden="1" x14ac:dyDescent="0.25">
      <c r="A56" s="2" t="s">
        <v>159</v>
      </c>
      <c r="B56" s="2" t="s">
        <v>160</v>
      </c>
      <c r="C56" s="2" t="s">
        <v>161</v>
      </c>
      <c r="D56" s="2" t="s">
        <v>347</v>
      </c>
      <c r="E56" t="s">
        <v>406</v>
      </c>
    </row>
    <row r="57" spans="1:5" hidden="1" x14ac:dyDescent="0.25">
      <c r="A57" s="2" t="s">
        <v>216</v>
      </c>
      <c r="B57" s="2" t="s">
        <v>154</v>
      </c>
      <c r="C57" s="2" t="s">
        <v>217</v>
      </c>
      <c r="D57" s="2" t="s">
        <v>347</v>
      </c>
      <c r="E57" t="s">
        <v>406</v>
      </c>
    </row>
    <row r="58" spans="1:5" hidden="1" x14ac:dyDescent="0.25">
      <c r="A58" s="2" t="s">
        <v>218</v>
      </c>
      <c r="B58" s="2" t="s">
        <v>206</v>
      </c>
      <c r="C58" s="2" t="s">
        <v>219</v>
      </c>
      <c r="D58" s="2" t="s">
        <v>347</v>
      </c>
      <c r="E58" t="s">
        <v>406</v>
      </c>
    </row>
    <row r="59" spans="1:5" hidden="1" x14ac:dyDescent="0.25">
      <c r="A59" s="2" t="s">
        <v>248</v>
      </c>
      <c r="B59" s="2" t="s">
        <v>206</v>
      </c>
      <c r="C59" s="2" t="s">
        <v>249</v>
      </c>
      <c r="D59" s="2" t="s">
        <v>347</v>
      </c>
      <c r="E59" t="s">
        <v>406</v>
      </c>
    </row>
    <row r="60" spans="1:5" hidden="1" x14ac:dyDescent="0.25">
      <c r="A60" s="2" t="s">
        <v>212</v>
      </c>
      <c r="B60" s="2" t="s">
        <v>206</v>
      </c>
      <c r="C60" s="2" t="s">
        <v>213</v>
      </c>
      <c r="D60" s="2" t="s">
        <v>347</v>
      </c>
      <c r="E60" t="s">
        <v>406</v>
      </c>
    </row>
    <row r="61" spans="1:5" hidden="1" x14ac:dyDescent="0.25">
      <c r="A61" s="2" t="s">
        <v>338</v>
      </c>
      <c r="B61" s="2" t="s">
        <v>28</v>
      </c>
      <c r="C61" s="2" t="s">
        <v>339</v>
      </c>
      <c r="D61" s="2" t="s">
        <v>347</v>
      </c>
      <c r="E61" t="s">
        <v>406</v>
      </c>
    </row>
    <row r="62" spans="1:5" hidden="1" x14ac:dyDescent="0.25">
      <c r="A62" s="2" t="s">
        <v>322</v>
      </c>
      <c r="B62" s="2" t="s">
        <v>24</v>
      </c>
      <c r="C62" s="2" t="s">
        <v>323</v>
      </c>
      <c r="D62" s="2" t="s">
        <v>347</v>
      </c>
      <c r="E62" t="s">
        <v>406</v>
      </c>
    </row>
    <row r="63" spans="1:5" hidden="1" x14ac:dyDescent="0.25">
      <c r="A63" s="2" t="s">
        <v>324</v>
      </c>
      <c r="B63" s="2" t="s">
        <v>24</v>
      </c>
      <c r="C63" s="2" t="s">
        <v>323</v>
      </c>
      <c r="D63" s="2" t="s">
        <v>347</v>
      </c>
      <c r="E63" t="s">
        <v>406</v>
      </c>
    </row>
    <row r="64" spans="1:5" hidden="1" x14ac:dyDescent="0.25">
      <c r="A64" s="2" t="s">
        <v>220</v>
      </c>
      <c r="B64" s="2" t="s">
        <v>206</v>
      </c>
      <c r="C64" s="2" t="s">
        <v>221</v>
      </c>
      <c r="D64" s="2" t="s">
        <v>347</v>
      </c>
      <c r="E64" t="s">
        <v>406</v>
      </c>
    </row>
    <row r="65" spans="1:5" hidden="1" x14ac:dyDescent="0.25">
      <c r="A65" s="2" t="s">
        <v>242</v>
      </c>
      <c r="B65" s="2" t="s">
        <v>206</v>
      </c>
      <c r="C65" s="2" t="s">
        <v>243</v>
      </c>
      <c r="D65" s="2" t="s">
        <v>347</v>
      </c>
      <c r="E65" t="s">
        <v>406</v>
      </c>
    </row>
    <row r="66" spans="1:5" hidden="1" x14ac:dyDescent="0.25">
      <c r="A66" s="2" t="s">
        <v>250</v>
      </c>
      <c r="B66" s="2" t="s">
        <v>206</v>
      </c>
      <c r="C66" s="2" t="s">
        <v>243</v>
      </c>
      <c r="D66" s="2" t="s">
        <v>347</v>
      </c>
      <c r="E66" t="s">
        <v>406</v>
      </c>
    </row>
    <row r="67" spans="1:5" hidden="1" x14ac:dyDescent="0.25">
      <c r="A67" s="2" t="s">
        <v>205</v>
      </c>
      <c r="B67" s="2" t="s">
        <v>206</v>
      </c>
      <c r="C67" s="2" t="s">
        <v>207</v>
      </c>
      <c r="D67" s="2" t="s">
        <v>347</v>
      </c>
      <c r="E67" t="s">
        <v>406</v>
      </c>
    </row>
    <row r="68" spans="1:5" hidden="1" x14ac:dyDescent="0.25">
      <c r="A68" s="2" t="s">
        <v>211</v>
      </c>
      <c r="B68" s="2" t="s">
        <v>206</v>
      </c>
      <c r="C68" s="2" t="s">
        <v>207</v>
      </c>
      <c r="D68" s="2" t="s">
        <v>347</v>
      </c>
      <c r="E68" t="s">
        <v>406</v>
      </c>
    </row>
    <row r="69" spans="1:5" hidden="1" x14ac:dyDescent="0.25">
      <c r="A69" s="2" t="s">
        <v>334</v>
      </c>
      <c r="B69" s="2" t="s">
        <v>28</v>
      </c>
      <c r="C69" s="2" t="s">
        <v>335</v>
      </c>
      <c r="D69" s="2" t="s">
        <v>347</v>
      </c>
      <c r="E69" t="s">
        <v>406</v>
      </c>
    </row>
    <row r="70" spans="1:5" hidden="1" x14ac:dyDescent="0.25">
      <c r="A70" s="2" t="s">
        <v>340</v>
      </c>
      <c r="B70" s="2" t="s">
        <v>28</v>
      </c>
      <c r="C70" s="2" t="s">
        <v>335</v>
      </c>
      <c r="D70" s="2" t="s">
        <v>347</v>
      </c>
      <c r="E70" t="s">
        <v>406</v>
      </c>
    </row>
    <row r="71" spans="1:5" hidden="1" x14ac:dyDescent="0.25">
      <c r="A71" s="2" t="s">
        <v>319</v>
      </c>
      <c r="B71" s="2" t="s">
        <v>24</v>
      </c>
      <c r="C71" s="2" t="s">
        <v>320</v>
      </c>
      <c r="D71" s="2" t="s">
        <v>347</v>
      </c>
      <c r="E71" t="s">
        <v>406</v>
      </c>
    </row>
    <row r="72" spans="1:5" hidden="1" x14ac:dyDescent="0.25">
      <c r="A72" s="2" t="s">
        <v>321</v>
      </c>
      <c r="B72" s="2" t="s">
        <v>24</v>
      </c>
      <c r="C72" s="2" t="s">
        <v>320</v>
      </c>
      <c r="D72" s="2" t="s">
        <v>347</v>
      </c>
      <c r="E72" t="s">
        <v>406</v>
      </c>
    </row>
    <row r="73" spans="1:5" hidden="1" x14ac:dyDescent="0.25">
      <c r="A73" s="2" t="s">
        <v>222</v>
      </c>
      <c r="B73" s="2" t="s">
        <v>206</v>
      </c>
      <c r="C73" s="2" t="s">
        <v>223</v>
      </c>
      <c r="D73" s="2" t="s">
        <v>347</v>
      </c>
      <c r="E73" t="s">
        <v>406</v>
      </c>
    </row>
    <row r="74" spans="1:5" hidden="1" x14ac:dyDescent="0.25">
      <c r="A74" s="2" t="s">
        <v>244</v>
      </c>
      <c r="B74" s="2" t="s">
        <v>206</v>
      </c>
      <c r="C74" s="2" t="s">
        <v>245</v>
      </c>
      <c r="D74" s="2" t="s">
        <v>347</v>
      </c>
      <c r="E74" t="s">
        <v>406</v>
      </c>
    </row>
    <row r="75" spans="1:5" hidden="1" x14ac:dyDescent="0.25">
      <c r="A75" s="2" t="s">
        <v>336</v>
      </c>
      <c r="B75" s="2" t="s">
        <v>28</v>
      </c>
      <c r="C75" s="2" t="s">
        <v>337</v>
      </c>
      <c r="D75" s="2" t="s">
        <v>347</v>
      </c>
      <c r="E75" t="s">
        <v>406</v>
      </c>
    </row>
    <row r="76" spans="1:5" hidden="1" x14ac:dyDescent="0.25">
      <c r="A76" s="2" t="s">
        <v>345</v>
      </c>
      <c r="B76" s="2" t="s">
        <v>28</v>
      </c>
      <c r="C76" s="2" t="s">
        <v>337</v>
      </c>
      <c r="D76" s="2" t="s">
        <v>347</v>
      </c>
      <c r="E76" t="s">
        <v>406</v>
      </c>
    </row>
    <row r="77" spans="1:5" hidden="1" x14ac:dyDescent="0.25">
      <c r="A77" s="2" t="s">
        <v>246</v>
      </c>
      <c r="B77" s="2" t="s">
        <v>206</v>
      </c>
      <c r="C77" s="2" t="s">
        <v>247</v>
      </c>
      <c r="D77" s="2" t="s">
        <v>347</v>
      </c>
      <c r="E77" t="s">
        <v>406</v>
      </c>
    </row>
    <row r="78" spans="1:5" hidden="1" x14ac:dyDescent="0.25">
      <c r="A78" s="2" t="s">
        <v>197</v>
      </c>
      <c r="B78" s="2" t="s">
        <v>198</v>
      </c>
      <c r="C78" s="2" t="s">
        <v>199</v>
      </c>
      <c r="D78" s="2" t="s">
        <v>347</v>
      </c>
      <c r="E78" t="s">
        <v>406</v>
      </c>
    </row>
    <row r="79" spans="1:5" hidden="1" x14ac:dyDescent="0.25">
      <c r="A79" s="2" t="s">
        <v>173</v>
      </c>
      <c r="B79" s="2" t="s">
        <v>160</v>
      </c>
      <c r="C79" s="2" t="s">
        <v>174</v>
      </c>
      <c r="D79" s="2" t="s">
        <v>347</v>
      </c>
      <c r="E79" t="s">
        <v>406</v>
      </c>
    </row>
    <row r="80" spans="1:5" hidden="1" x14ac:dyDescent="0.25">
      <c r="A80" s="2" t="s">
        <v>183</v>
      </c>
      <c r="B80" s="2" t="s">
        <v>73</v>
      </c>
      <c r="C80" s="2"/>
      <c r="D80" s="2" t="s">
        <v>347</v>
      </c>
      <c r="E80" t="s">
        <v>406</v>
      </c>
    </row>
    <row r="81" spans="1:6" hidden="1" x14ac:dyDescent="0.25">
      <c r="A81" s="2" t="s">
        <v>645</v>
      </c>
      <c r="B81" s="2" t="s">
        <v>646</v>
      </c>
      <c r="C81" s="2" t="s">
        <v>647</v>
      </c>
      <c r="D81" s="2" t="s">
        <v>347</v>
      </c>
      <c r="E81" t="s">
        <v>406</v>
      </c>
    </row>
    <row r="82" spans="1:6" hidden="1" x14ac:dyDescent="0.25">
      <c r="A82" s="2" t="s">
        <v>664</v>
      </c>
      <c r="B82" s="2" t="s">
        <v>665</v>
      </c>
      <c r="C82" s="2" t="s">
        <v>666</v>
      </c>
      <c r="D82" s="2" t="s">
        <v>347</v>
      </c>
      <c r="E82" t="s">
        <v>406</v>
      </c>
    </row>
    <row r="83" spans="1:6" hidden="1" x14ac:dyDescent="0.25">
      <c r="A83" s="2" t="s">
        <v>668</v>
      </c>
      <c r="B83" s="2" t="s">
        <v>669</v>
      </c>
      <c r="C83" s="2" t="s">
        <v>666</v>
      </c>
      <c r="D83" s="2" t="s">
        <v>347</v>
      </c>
      <c r="E83" t="s">
        <v>406</v>
      </c>
    </row>
    <row r="84" spans="1:6" hidden="1" x14ac:dyDescent="0.25">
      <c r="A84" s="2" t="s">
        <v>682</v>
      </c>
      <c r="B84" s="2" t="s">
        <v>683</v>
      </c>
      <c r="C84" s="2" t="s">
        <v>684</v>
      </c>
      <c r="D84" s="2" t="s">
        <v>347</v>
      </c>
      <c r="E84" t="s">
        <v>406</v>
      </c>
    </row>
    <row r="85" spans="1:6" hidden="1" x14ac:dyDescent="0.25">
      <c r="A85" s="2" t="s">
        <v>687</v>
      </c>
      <c r="B85" s="2" t="s">
        <v>688</v>
      </c>
      <c r="C85" s="2" t="s">
        <v>666</v>
      </c>
      <c r="D85" s="2" t="s">
        <v>347</v>
      </c>
      <c r="E85" t="s">
        <v>406</v>
      </c>
    </row>
    <row r="86" spans="1:6" hidden="1" x14ac:dyDescent="0.25">
      <c r="A86" s="2" t="s">
        <v>692</v>
      </c>
      <c r="B86" s="2" t="s">
        <v>693</v>
      </c>
      <c r="C86" s="2" t="s">
        <v>666</v>
      </c>
      <c r="D86" s="2" t="s">
        <v>347</v>
      </c>
      <c r="E86" t="s">
        <v>406</v>
      </c>
    </row>
    <row r="87" spans="1:6" hidden="1" x14ac:dyDescent="0.25">
      <c r="A87" s="2" t="s">
        <v>695</v>
      </c>
      <c r="B87" s="2" t="s">
        <v>693</v>
      </c>
      <c r="C87" s="2" t="s">
        <v>696</v>
      </c>
      <c r="D87" s="2" t="s">
        <v>347</v>
      </c>
      <c r="E87" t="s">
        <v>406</v>
      </c>
    </row>
    <row r="88" spans="1:6" x14ac:dyDescent="0.25">
      <c r="A88" s="2" t="s">
        <v>156</v>
      </c>
      <c r="B88" s="2" t="s">
        <v>157</v>
      </c>
      <c r="C88" s="2" t="s">
        <v>158</v>
      </c>
      <c r="D88" s="2" t="s">
        <v>349</v>
      </c>
      <c r="E88" t="s">
        <v>401</v>
      </c>
      <c r="F88" s="2" t="s">
        <v>714</v>
      </c>
    </row>
    <row r="89" spans="1:6" x14ac:dyDescent="0.25">
      <c r="A89" s="2" t="s">
        <v>55</v>
      </c>
      <c r="B89" s="2" t="s">
        <v>43</v>
      </c>
      <c r="C89" s="2" t="s">
        <v>56</v>
      </c>
      <c r="D89" s="2" t="s">
        <v>349</v>
      </c>
      <c r="E89" t="s">
        <v>401</v>
      </c>
      <c r="F89" t="s">
        <v>770</v>
      </c>
    </row>
    <row r="90" spans="1:6" x14ac:dyDescent="0.25">
      <c r="A90" s="2" t="s">
        <v>49</v>
      </c>
      <c r="B90" s="2" t="s">
        <v>43</v>
      </c>
      <c r="C90" s="2" t="s">
        <v>50</v>
      </c>
      <c r="D90" s="2" t="s">
        <v>349</v>
      </c>
      <c r="E90" t="s">
        <v>401</v>
      </c>
      <c r="F90" t="s">
        <v>770</v>
      </c>
    </row>
    <row r="91" spans="1:6" x14ac:dyDescent="0.25">
      <c r="A91" s="2" t="s">
        <v>318</v>
      </c>
      <c r="B91" s="2" t="s">
        <v>300</v>
      </c>
      <c r="C91" s="2" t="s">
        <v>298</v>
      </c>
      <c r="D91" s="2" t="s">
        <v>349</v>
      </c>
      <c r="E91" t="s">
        <v>401</v>
      </c>
      <c r="F91" t="s">
        <v>771</v>
      </c>
    </row>
    <row r="92" spans="1:6" x14ac:dyDescent="0.25">
      <c r="A92" s="2" t="s">
        <v>302</v>
      </c>
      <c r="B92" s="2" t="s">
        <v>300</v>
      </c>
      <c r="C92" s="2" t="s">
        <v>303</v>
      </c>
      <c r="D92" s="2" t="s">
        <v>349</v>
      </c>
      <c r="E92" t="s">
        <v>401</v>
      </c>
      <c r="F92" t="s">
        <v>771</v>
      </c>
    </row>
    <row r="93" spans="1:6" x14ac:dyDescent="0.25">
      <c r="A93" s="2" t="s">
        <v>42</v>
      </c>
      <c r="B93" s="2" t="s">
        <v>43</v>
      </c>
      <c r="C93" s="2" t="s">
        <v>44</v>
      </c>
      <c r="D93" s="2" t="s">
        <v>349</v>
      </c>
      <c r="E93" t="s">
        <v>401</v>
      </c>
      <c r="F93" t="s">
        <v>770</v>
      </c>
    </row>
    <row r="94" spans="1:6" x14ac:dyDescent="0.25">
      <c r="A94" s="2" t="s">
        <v>53</v>
      </c>
      <c r="B94" s="2" t="s">
        <v>43</v>
      </c>
      <c r="C94" s="2" t="s">
        <v>54</v>
      </c>
      <c r="D94" s="2" t="s">
        <v>349</v>
      </c>
      <c r="E94" t="s">
        <v>401</v>
      </c>
      <c r="F94" t="s">
        <v>770</v>
      </c>
    </row>
    <row r="95" spans="1:6" x14ac:dyDescent="0.25">
      <c r="A95" s="2" t="s">
        <v>299</v>
      </c>
      <c r="B95" s="2" t="s">
        <v>300</v>
      </c>
      <c r="C95" s="2" t="s">
        <v>301</v>
      </c>
      <c r="D95" s="2" t="s">
        <v>349</v>
      </c>
      <c r="E95" t="s">
        <v>401</v>
      </c>
      <c r="F95" s="72" t="s">
        <v>771</v>
      </c>
    </row>
    <row r="96" spans="1:6" x14ac:dyDescent="0.25">
      <c r="A96" s="2" t="s">
        <v>304</v>
      </c>
      <c r="B96" s="2" t="s">
        <v>300</v>
      </c>
      <c r="C96" s="2" t="s">
        <v>301</v>
      </c>
      <c r="D96" s="2" t="s">
        <v>349</v>
      </c>
      <c r="E96" t="s">
        <v>401</v>
      </c>
      <c r="F96" s="2" t="s">
        <v>771</v>
      </c>
    </row>
    <row r="97" spans="1:6" x14ac:dyDescent="0.25">
      <c r="A97" s="2" t="s">
        <v>51</v>
      </c>
      <c r="B97" s="2" t="s">
        <v>43</v>
      </c>
      <c r="C97" s="2" t="s">
        <v>52</v>
      </c>
      <c r="D97" s="2" t="s">
        <v>349</v>
      </c>
      <c r="E97" t="s">
        <v>401</v>
      </c>
      <c r="F97" t="s">
        <v>770</v>
      </c>
    </row>
    <row r="98" spans="1:6" x14ac:dyDescent="0.25">
      <c r="A98" s="2" t="s">
        <v>47</v>
      </c>
      <c r="B98" s="2" t="s">
        <v>43</v>
      </c>
      <c r="C98" s="2" t="s">
        <v>48</v>
      </c>
      <c r="D98" s="2" t="s">
        <v>349</v>
      </c>
      <c r="E98" t="s">
        <v>401</v>
      </c>
      <c r="F98" t="s">
        <v>770</v>
      </c>
    </row>
    <row r="99" spans="1:6" x14ac:dyDescent="0.25">
      <c r="A99" s="2" t="s">
        <v>175</v>
      </c>
      <c r="B99" s="2" t="s">
        <v>171</v>
      </c>
      <c r="C99" s="2" t="s">
        <v>174</v>
      </c>
      <c r="D99" s="2" t="s">
        <v>349</v>
      </c>
      <c r="E99" t="s">
        <v>401</v>
      </c>
      <c r="F99" t="s">
        <v>772</v>
      </c>
    </row>
    <row r="100" spans="1:6" x14ac:dyDescent="0.25">
      <c r="A100" s="2" t="s">
        <v>296</v>
      </c>
      <c r="B100" s="2" t="s">
        <v>297</v>
      </c>
      <c r="C100" s="2" t="s">
        <v>298</v>
      </c>
      <c r="D100" s="2" t="s">
        <v>350</v>
      </c>
      <c r="E100" t="s">
        <v>401</v>
      </c>
      <c r="F100" t="s">
        <v>771</v>
      </c>
    </row>
    <row r="101" spans="1:6" x14ac:dyDescent="0.25">
      <c r="A101" s="2" t="s">
        <v>290</v>
      </c>
      <c r="B101" s="2" t="s">
        <v>291</v>
      </c>
      <c r="C101" s="2" t="s">
        <v>292</v>
      </c>
      <c r="D101" s="2" t="s">
        <v>350</v>
      </c>
      <c r="E101" t="s">
        <v>401</v>
      </c>
      <c r="F101" t="s">
        <v>771</v>
      </c>
    </row>
    <row r="102" spans="1:6" x14ac:dyDescent="0.25">
      <c r="A102" s="2" t="s">
        <v>293</v>
      </c>
      <c r="B102" s="2" t="s">
        <v>291</v>
      </c>
      <c r="C102" s="2" t="s">
        <v>292</v>
      </c>
      <c r="D102" s="2" t="s">
        <v>350</v>
      </c>
      <c r="E102" t="s">
        <v>401</v>
      </c>
      <c r="F102" t="s">
        <v>776</v>
      </c>
    </row>
    <row r="103" spans="1:6" x14ac:dyDescent="0.25">
      <c r="A103" s="2" t="s">
        <v>294</v>
      </c>
      <c r="B103" s="2" t="s">
        <v>291</v>
      </c>
      <c r="C103" s="2" t="s">
        <v>292</v>
      </c>
      <c r="D103" s="2" t="s">
        <v>350</v>
      </c>
      <c r="E103" t="s">
        <v>401</v>
      </c>
      <c r="F103" t="s">
        <v>776</v>
      </c>
    </row>
    <row r="104" spans="1:6" x14ac:dyDescent="0.25">
      <c r="A104" s="2" t="s">
        <v>295</v>
      </c>
      <c r="B104" s="2" t="s">
        <v>291</v>
      </c>
      <c r="C104" s="2" t="s">
        <v>292</v>
      </c>
      <c r="D104" s="2" t="s">
        <v>350</v>
      </c>
      <c r="E104" t="s">
        <v>401</v>
      </c>
      <c r="F104" t="s">
        <v>776</v>
      </c>
    </row>
    <row r="105" spans="1:6" hidden="1" x14ac:dyDescent="0.25">
      <c r="A105" s="2" t="s">
        <v>38</v>
      </c>
      <c r="B105" s="2" t="s">
        <v>24</v>
      </c>
      <c r="C105" s="2" t="s">
        <v>39</v>
      </c>
      <c r="D105" s="2" t="s">
        <v>347</v>
      </c>
      <c r="E105" t="s">
        <v>407</v>
      </c>
    </row>
    <row r="106" spans="1:6" hidden="1" x14ac:dyDescent="0.25">
      <c r="A106" s="2" t="s">
        <v>45</v>
      </c>
      <c r="B106" s="2" t="s">
        <v>24</v>
      </c>
      <c r="C106" s="2" t="s">
        <v>46</v>
      </c>
      <c r="D106" s="2" t="s">
        <v>347</v>
      </c>
      <c r="E106" t="s">
        <v>407</v>
      </c>
    </row>
    <row r="107" spans="1:6" hidden="1" x14ac:dyDescent="0.25">
      <c r="A107" s="2" t="s">
        <v>283</v>
      </c>
      <c r="B107" s="2" t="s">
        <v>28</v>
      </c>
      <c r="C107" s="2" t="s">
        <v>284</v>
      </c>
      <c r="D107" s="2" t="s">
        <v>347</v>
      </c>
      <c r="E107" t="s">
        <v>407</v>
      </c>
    </row>
    <row r="108" spans="1:6" hidden="1" x14ac:dyDescent="0.25">
      <c r="A108" s="2" t="s">
        <v>280</v>
      </c>
      <c r="B108" s="2" t="s">
        <v>281</v>
      </c>
      <c r="C108" s="2" t="s">
        <v>282</v>
      </c>
      <c r="D108" s="2" t="s">
        <v>347</v>
      </c>
      <c r="E108" t="s">
        <v>407</v>
      </c>
    </row>
    <row r="109" spans="1:6" hidden="1" x14ac:dyDescent="0.25">
      <c r="A109" s="2" t="s">
        <v>40</v>
      </c>
      <c r="B109" s="2" t="s">
        <v>24</v>
      </c>
      <c r="C109" s="2" t="s">
        <v>41</v>
      </c>
      <c r="D109" s="2" t="s">
        <v>347</v>
      </c>
      <c r="E109" t="s">
        <v>407</v>
      </c>
    </row>
    <row r="110" spans="1:6" hidden="1" x14ac:dyDescent="0.25">
      <c r="A110" s="2" t="s">
        <v>62</v>
      </c>
      <c r="B110" s="2" t="s">
        <v>24</v>
      </c>
      <c r="C110" s="2" t="s">
        <v>63</v>
      </c>
      <c r="D110" s="2" t="s">
        <v>347</v>
      </c>
      <c r="E110" t="s">
        <v>407</v>
      </c>
    </row>
    <row r="111" spans="1:6" hidden="1" x14ac:dyDescent="0.25">
      <c r="A111" s="2" t="s">
        <v>287</v>
      </c>
      <c r="B111" s="2" t="s">
        <v>28</v>
      </c>
      <c r="C111" s="2" t="s">
        <v>288</v>
      </c>
      <c r="D111" s="2" t="s">
        <v>347</v>
      </c>
      <c r="E111" t="s">
        <v>407</v>
      </c>
    </row>
    <row r="112" spans="1:6" hidden="1" x14ac:dyDescent="0.25">
      <c r="A112" s="2" t="s">
        <v>285</v>
      </c>
      <c r="B112" s="2" t="s">
        <v>28</v>
      </c>
      <c r="C112" s="2" t="s">
        <v>286</v>
      </c>
      <c r="D112" s="2" t="s">
        <v>347</v>
      </c>
      <c r="E112" t="s">
        <v>407</v>
      </c>
    </row>
    <row r="113" spans="1:5" hidden="1" x14ac:dyDescent="0.25">
      <c r="A113" s="2" t="s">
        <v>289</v>
      </c>
      <c r="B113" s="2" t="s">
        <v>28</v>
      </c>
      <c r="C113" s="2" t="s">
        <v>286</v>
      </c>
      <c r="D113" s="2" t="s">
        <v>347</v>
      </c>
      <c r="E113" t="s">
        <v>407</v>
      </c>
    </row>
    <row r="114" spans="1:5" hidden="1" x14ac:dyDescent="0.25">
      <c r="A114" s="2" t="s">
        <v>699</v>
      </c>
      <c r="B114" s="2" t="s">
        <v>700</v>
      </c>
      <c r="C114" s="2" t="s">
        <v>701</v>
      </c>
      <c r="D114" s="2" t="s">
        <v>347</v>
      </c>
      <c r="E114" t="s">
        <v>407</v>
      </c>
    </row>
    <row r="115" spans="1:5" hidden="1" x14ac:dyDescent="0.25">
      <c r="A115" s="2" t="s">
        <v>188</v>
      </c>
      <c r="B115" s="2" t="s">
        <v>189</v>
      </c>
      <c r="C115" s="2" t="s">
        <v>190</v>
      </c>
      <c r="D115" s="2" t="s">
        <v>347</v>
      </c>
      <c r="E115" t="s">
        <v>405</v>
      </c>
    </row>
    <row r="116" spans="1:5" hidden="1" x14ac:dyDescent="0.25">
      <c r="A116" s="2" t="s">
        <v>103</v>
      </c>
      <c r="B116" s="2" t="s">
        <v>104</v>
      </c>
      <c r="C116" s="2" t="s">
        <v>105</v>
      </c>
      <c r="D116" s="2" t="s">
        <v>347</v>
      </c>
      <c r="E116" t="s">
        <v>405</v>
      </c>
    </row>
    <row r="117" spans="1:5" hidden="1" x14ac:dyDescent="0.25">
      <c r="A117" s="2" t="s">
        <v>135</v>
      </c>
      <c r="B117" s="2" t="s">
        <v>104</v>
      </c>
      <c r="C117" s="2" t="s">
        <v>105</v>
      </c>
      <c r="D117" s="2" t="s">
        <v>347</v>
      </c>
      <c r="E117" t="s">
        <v>405</v>
      </c>
    </row>
    <row r="118" spans="1:5" hidden="1" x14ac:dyDescent="0.25">
      <c r="A118" s="2" t="s">
        <v>305</v>
      </c>
      <c r="B118" s="2" t="s">
        <v>252</v>
      </c>
      <c r="C118" s="2" t="s">
        <v>306</v>
      </c>
      <c r="D118" s="2" t="s">
        <v>347</v>
      </c>
      <c r="E118" t="s">
        <v>405</v>
      </c>
    </row>
    <row r="119" spans="1:5" hidden="1" x14ac:dyDescent="0.25">
      <c r="A119" s="2" t="s">
        <v>307</v>
      </c>
      <c r="B119" s="2" t="s">
        <v>252</v>
      </c>
      <c r="C119" s="2" t="s">
        <v>306</v>
      </c>
      <c r="D119" s="2" t="s">
        <v>347</v>
      </c>
      <c r="E119" t="s">
        <v>405</v>
      </c>
    </row>
    <row r="120" spans="1:5" hidden="1" x14ac:dyDescent="0.25">
      <c r="A120" s="2" t="s">
        <v>141</v>
      </c>
      <c r="B120" s="2" t="s">
        <v>28</v>
      </c>
      <c r="C120" s="2" t="s">
        <v>142</v>
      </c>
      <c r="D120" s="2" t="s">
        <v>347</v>
      </c>
      <c r="E120" t="s">
        <v>405</v>
      </c>
    </row>
    <row r="121" spans="1:5" hidden="1" x14ac:dyDescent="0.25">
      <c r="A121" s="2" t="s">
        <v>153</v>
      </c>
      <c r="B121" s="2" t="s">
        <v>154</v>
      </c>
      <c r="C121" s="2" t="s">
        <v>155</v>
      </c>
      <c r="D121" s="2" t="s">
        <v>347</v>
      </c>
      <c r="E121" t="s">
        <v>405</v>
      </c>
    </row>
    <row r="122" spans="1:5" hidden="1" x14ac:dyDescent="0.25">
      <c r="A122" s="2" t="s">
        <v>191</v>
      </c>
      <c r="B122" s="2" t="s">
        <v>192</v>
      </c>
      <c r="C122" s="2" t="s">
        <v>193</v>
      </c>
      <c r="D122" s="2" t="s">
        <v>347</v>
      </c>
      <c r="E122" t="s">
        <v>405</v>
      </c>
    </row>
    <row r="123" spans="1:5" hidden="1" x14ac:dyDescent="0.25">
      <c r="A123" s="2" t="s">
        <v>251</v>
      </c>
      <c r="B123" s="2" t="s">
        <v>252</v>
      </c>
      <c r="C123" s="2" t="s">
        <v>253</v>
      </c>
      <c r="D123" s="2" t="s">
        <v>347</v>
      </c>
      <c r="E123" t="s">
        <v>405</v>
      </c>
    </row>
    <row r="124" spans="1:5" hidden="1" x14ac:dyDescent="0.25">
      <c r="A124" s="2" t="s">
        <v>136</v>
      </c>
      <c r="B124" s="2" t="s">
        <v>137</v>
      </c>
      <c r="C124" s="2" t="s">
        <v>138</v>
      </c>
      <c r="D124" s="2" t="s">
        <v>347</v>
      </c>
      <c r="E124" t="s">
        <v>405</v>
      </c>
    </row>
    <row r="125" spans="1:5" hidden="1" x14ac:dyDescent="0.25">
      <c r="A125" s="2" t="s">
        <v>276</v>
      </c>
      <c r="B125" s="2" t="s">
        <v>252</v>
      </c>
      <c r="C125" s="2" t="s">
        <v>277</v>
      </c>
      <c r="D125" s="2" t="s">
        <v>347</v>
      </c>
      <c r="E125" t="s">
        <v>405</v>
      </c>
    </row>
    <row r="126" spans="1:5" hidden="1" x14ac:dyDescent="0.25">
      <c r="A126" s="2" t="s">
        <v>180</v>
      </c>
      <c r="B126" s="2" t="s">
        <v>181</v>
      </c>
      <c r="C126" s="2" t="s">
        <v>182</v>
      </c>
      <c r="D126" s="2" t="s">
        <v>347</v>
      </c>
      <c r="E126" t="s">
        <v>405</v>
      </c>
    </row>
    <row r="127" spans="1:5" hidden="1" x14ac:dyDescent="0.25">
      <c r="A127" s="2" t="s">
        <v>176</v>
      </c>
      <c r="B127" s="2" t="s">
        <v>24</v>
      </c>
      <c r="C127" s="2" t="s">
        <v>177</v>
      </c>
      <c r="D127" s="2" t="s">
        <v>347</v>
      </c>
      <c r="E127" t="s">
        <v>405</v>
      </c>
    </row>
    <row r="128" spans="1:5" hidden="1" x14ac:dyDescent="0.25">
      <c r="A128" s="2" t="s">
        <v>328</v>
      </c>
      <c r="B128" s="2" t="s">
        <v>252</v>
      </c>
      <c r="C128" s="2" t="s">
        <v>329</v>
      </c>
      <c r="D128" s="2" t="s">
        <v>347</v>
      </c>
      <c r="E128" t="s">
        <v>405</v>
      </c>
    </row>
    <row r="129" spans="1:6" hidden="1" x14ac:dyDescent="0.25">
      <c r="A129" s="2" t="s">
        <v>330</v>
      </c>
      <c r="B129" s="2" t="s">
        <v>252</v>
      </c>
      <c r="C129" s="2" t="s">
        <v>331</v>
      </c>
      <c r="D129" s="2" t="s">
        <v>347</v>
      </c>
      <c r="E129" t="s">
        <v>405</v>
      </c>
    </row>
    <row r="130" spans="1:6" hidden="1" x14ac:dyDescent="0.25">
      <c r="A130" s="2" t="s">
        <v>272</v>
      </c>
      <c r="B130" s="2" t="s">
        <v>28</v>
      </c>
      <c r="C130" s="2" t="s">
        <v>273</v>
      </c>
      <c r="D130" s="2" t="s">
        <v>347</v>
      </c>
      <c r="E130" t="s">
        <v>405</v>
      </c>
    </row>
    <row r="131" spans="1:6" hidden="1" x14ac:dyDescent="0.25">
      <c r="A131" s="2" t="s">
        <v>274</v>
      </c>
      <c r="B131" s="2" t="s">
        <v>24</v>
      </c>
      <c r="C131" s="2" t="s">
        <v>275</v>
      </c>
      <c r="D131" s="2" t="s">
        <v>347</v>
      </c>
      <c r="E131" t="s">
        <v>405</v>
      </c>
    </row>
    <row r="132" spans="1:6" hidden="1" x14ac:dyDescent="0.25">
      <c r="A132" s="2" t="s">
        <v>237</v>
      </c>
      <c r="B132" s="2" t="s">
        <v>192</v>
      </c>
      <c r="C132" s="2" t="s">
        <v>238</v>
      </c>
      <c r="D132" s="2" t="s">
        <v>347</v>
      </c>
      <c r="E132" t="s">
        <v>405</v>
      </c>
    </row>
    <row r="133" spans="1:6" hidden="1" x14ac:dyDescent="0.25">
      <c r="A133" s="2" t="s">
        <v>662</v>
      </c>
      <c r="B133" s="2" t="s">
        <v>649</v>
      </c>
      <c r="C133" s="2" t="s">
        <v>663</v>
      </c>
      <c r="D133" s="2" t="s">
        <v>347</v>
      </c>
      <c r="E133" s="2" t="s">
        <v>405</v>
      </c>
    </row>
    <row r="134" spans="1:6" hidden="1" x14ac:dyDescent="0.25">
      <c r="A134" s="2" t="s">
        <v>260</v>
      </c>
      <c r="B134" s="2" t="s">
        <v>28</v>
      </c>
      <c r="C134" s="2" t="s">
        <v>261</v>
      </c>
      <c r="D134" s="2" t="s">
        <v>347</v>
      </c>
      <c r="E134" t="s">
        <v>409</v>
      </c>
    </row>
    <row r="135" spans="1:6" hidden="1" x14ac:dyDescent="0.25">
      <c r="A135" s="2" t="s">
        <v>165</v>
      </c>
      <c r="B135" s="2" t="s">
        <v>166</v>
      </c>
      <c r="C135" s="2" t="s">
        <v>167</v>
      </c>
      <c r="D135" s="2" t="s">
        <v>396</v>
      </c>
      <c r="E135" s="2" t="s">
        <v>414</v>
      </c>
    </row>
    <row r="136" spans="1:6" hidden="1" x14ac:dyDescent="0.25">
      <c r="A136" s="2" t="s">
        <v>227</v>
      </c>
      <c r="B136" s="2" t="s">
        <v>228</v>
      </c>
      <c r="C136" s="2" t="s">
        <v>229</v>
      </c>
      <c r="D136" s="2" t="s">
        <v>396</v>
      </c>
      <c r="E136" s="2" t="s">
        <v>414</v>
      </c>
    </row>
    <row r="137" spans="1:6" hidden="1" x14ac:dyDescent="0.25">
      <c r="A137" s="2" t="s">
        <v>230</v>
      </c>
      <c r="B137" s="2" t="s">
        <v>231</v>
      </c>
      <c r="C137" s="2" t="s">
        <v>232</v>
      </c>
      <c r="D137" s="2" t="s">
        <v>396</v>
      </c>
      <c r="E137" s="2" t="s">
        <v>414</v>
      </c>
    </row>
    <row r="138" spans="1:6" hidden="1" x14ac:dyDescent="0.25">
      <c r="A138" s="2" t="s">
        <v>60</v>
      </c>
      <c r="B138" s="2" t="s">
        <v>58</v>
      </c>
      <c r="C138" s="2" t="s">
        <v>61</v>
      </c>
      <c r="D138" s="3" t="s">
        <v>397</v>
      </c>
      <c r="E138" t="s">
        <v>412</v>
      </c>
    </row>
    <row r="139" spans="1:6" hidden="1" x14ac:dyDescent="0.25">
      <c r="A139" s="2" t="s">
        <v>57</v>
      </c>
      <c r="B139" s="2" t="s">
        <v>58</v>
      </c>
      <c r="C139" s="2" t="s">
        <v>59</v>
      </c>
      <c r="D139" s="3" t="s">
        <v>397</v>
      </c>
      <c r="E139" t="s">
        <v>412</v>
      </c>
    </row>
    <row r="140" spans="1:6" x14ac:dyDescent="0.25">
      <c r="A140" s="2" t="s">
        <v>143</v>
      </c>
      <c r="B140" s="2" t="s">
        <v>144</v>
      </c>
      <c r="C140" s="2"/>
      <c r="D140" s="2" t="s">
        <v>350</v>
      </c>
      <c r="E140" s="2" t="s">
        <v>413</v>
      </c>
      <c r="F140" s="2" t="s">
        <v>714</v>
      </c>
    </row>
    <row r="141" spans="1:6" hidden="1" x14ac:dyDescent="0.25">
      <c r="A141" s="2" t="s">
        <v>128</v>
      </c>
      <c r="B141" s="2" t="s">
        <v>129</v>
      </c>
      <c r="C141" s="2" t="s">
        <v>130</v>
      </c>
      <c r="D141" s="2" t="s">
        <v>348</v>
      </c>
      <c r="E141" t="s">
        <v>408</v>
      </c>
    </row>
    <row r="142" spans="1:6" hidden="1" x14ac:dyDescent="0.25">
      <c r="A142" s="2" t="s">
        <v>97</v>
      </c>
      <c r="B142" s="2" t="s">
        <v>34</v>
      </c>
      <c r="C142" s="2" t="s">
        <v>96</v>
      </c>
      <c r="D142" s="2" t="s">
        <v>348</v>
      </c>
      <c r="E142" t="s">
        <v>408</v>
      </c>
    </row>
    <row r="143" spans="1:6" hidden="1" x14ac:dyDescent="0.25">
      <c r="A143" s="2" t="s">
        <v>115</v>
      </c>
      <c r="B143" s="2" t="s">
        <v>116</v>
      </c>
      <c r="C143" s="2" t="s">
        <v>117</v>
      </c>
      <c r="D143" s="2" t="s">
        <v>348</v>
      </c>
      <c r="E143" t="s">
        <v>408</v>
      </c>
    </row>
    <row r="144" spans="1:6" hidden="1" x14ac:dyDescent="0.25">
      <c r="A144" s="2" t="s">
        <v>36</v>
      </c>
      <c r="B144" s="2" t="s">
        <v>34</v>
      </c>
      <c r="C144" s="2" t="s">
        <v>37</v>
      </c>
      <c r="D144" s="2" t="s">
        <v>348</v>
      </c>
      <c r="E144" t="s">
        <v>408</v>
      </c>
    </row>
    <row r="145" spans="1:5" hidden="1" x14ac:dyDescent="0.25">
      <c r="A145" s="2" t="s">
        <v>64</v>
      </c>
      <c r="B145" s="2" t="s">
        <v>34</v>
      </c>
      <c r="C145" s="2" t="s">
        <v>37</v>
      </c>
      <c r="D145" s="2" t="s">
        <v>348</v>
      </c>
      <c r="E145" t="s">
        <v>408</v>
      </c>
    </row>
    <row r="146" spans="1:5" hidden="1" x14ac:dyDescent="0.25">
      <c r="A146" s="2" t="s">
        <v>78</v>
      </c>
      <c r="B146" s="2" t="s">
        <v>79</v>
      </c>
      <c r="C146" s="2" t="s">
        <v>80</v>
      </c>
      <c r="D146" s="2" t="s">
        <v>348</v>
      </c>
      <c r="E146" t="s">
        <v>408</v>
      </c>
    </row>
    <row r="147" spans="1:5" hidden="1" x14ac:dyDescent="0.25">
      <c r="A147" s="2" t="s">
        <v>100</v>
      </c>
      <c r="B147" s="2" t="s">
        <v>34</v>
      </c>
      <c r="C147" s="2" t="s">
        <v>80</v>
      </c>
      <c r="D147" s="2" t="s">
        <v>348</v>
      </c>
      <c r="E147" t="s">
        <v>408</v>
      </c>
    </row>
    <row r="148" spans="1:5" hidden="1" x14ac:dyDescent="0.25">
      <c r="A148" s="2" t="s">
        <v>145</v>
      </c>
      <c r="B148" s="2" t="s">
        <v>146</v>
      </c>
      <c r="C148" s="2" t="s">
        <v>147</v>
      </c>
      <c r="D148" s="2" t="s">
        <v>348</v>
      </c>
      <c r="E148" t="s">
        <v>408</v>
      </c>
    </row>
    <row r="149" spans="1:5" hidden="1" x14ac:dyDescent="0.25">
      <c r="A149" s="2" t="s">
        <v>194</v>
      </c>
      <c r="B149" s="2" t="s">
        <v>195</v>
      </c>
      <c r="C149" s="2" t="s">
        <v>196</v>
      </c>
      <c r="D149" s="2" t="s">
        <v>348</v>
      </c>
      <c r="E149" t="s">
        <v>408</v>
      </c>
    </row>
    <row r="150" spans="1:5" hidden="1" x14ac:dyDescent="0.25">
      <c r="A150" s="2" t="s">
        <v>208</v>
      </c>
      <c r="B150" s="2" t="s">
        <v>209</v>
      </c>
      <c r="C150" s="2" t="s">
        <v>210</v>
      </c>
      <c r="D150" s="2" t="s">
        <v>348</v>
      </c>
      <c r="E150" t="s">
        <v>408</v>
      </c>
    </row>
    <row r="151" spans="1:5" hidden="1" x14ac:dyDescent="0.25">
      <c r="A151" s="2" t="s">
        <v>343</v>
      </c>
      <c r="B151" s="2" t="s">
        <v>34</v>
      </c>
      <c r="C151" s="2" t="s">
        <v>344</v>
      </c>
      <c r="D151" s="2" t="s">
        <v>348</v>
      </c>
      <c r="E151" t="s">
        <v>408</v>
      </c>
    </row>
    <row r="152" spans="1:5" hidden="1" x14ac:dyDescent="0.25">
      <c r="A152" s="2" t="s">
        <v>341</v>
      </c>
      <c r="B152" s="2" t="s">
        <v>34</v>
      </c>
      <c r="C152" s="2" t="s">
        <v>342</v>
      </c>
      <c r="D152" s="2" t="s">
        <v>348</v>
      </c>
      <c r="E152" t="s">
        <v>408</v>
      </c>
    </row>
    <row r="153" spans="1:5" hidden="1" x14ac:dyDescent="0.25">
      <c r="A153" s="2" t="s">
        <v>224</v>
      </c>
      <c r="B153" s="2" t="s">
        <v>209</v>
      </c>
      <c r="C153" s="2" t="s">
        <v>225</v>
      </c>
      <c r="D153" s="2" t="s">
        <v>348</v>
      </c>
      <c r="E153" t="s">
        <v>408</v>
      </c>
    </row>
    <row r="154" spans="1:5" hidden="1" x14ac:dyDescent="0.25">
      <c r="A154" s="2" t="s">
        <v>226</v>
      </c>
      <c r="B154" s="2" t="s">
        <v>209</v>
      </c>
      <c r="C154" s="2" t="s">
        <v>225</v>
      </c>
      <c r="D154" s="2" t="s">
        <v>348</v>
      </c>
      <c r="E154" t="s">
        <v>408</v>
      </c>
    </row>
    <row r="155" spans="1:5" hidden="1" x14ac:dyDescent="0.25">
      <c r="A155" s="2" t="s">
        <v>162</v>
      </c>
      <c r="B155" s="2" t="s">
        <v>163</v>
      </c>
      <c r="C155" s="2" t="s">
        <v>164</v>
      </c>
      <c r="D155" s="2" t="s">
        <v>348</v>
      </c>
      <c r="E155" t="s">
        <v>408</v>
      </c>
    </row>
    <row r="156" spans="1:5" hidden="1" x14ac:dyDescent="0.25">
      <c r="A156" s="2" t="s">
        <v>270</v>
      </c>
      <c r="B156" s="2" t="s">
        <v>266</v>
      </c>
      <c r="C156" s="2" t="s">
        <v>271</v>
      </c>
      <c r="D156" s="2" t="s">
        <v>348</v>
      </c>
      <c r="E156" t="s">
        <v>411</v>
      </c>
    </row>
    <row r="157" spans="1:5" hidden="1" x14ac:dyDescent="0.25">
      <c r="A157" s="2" t="s">
        <v>265</v>
      </c>
      <c r="B157" s="2" t="s">
        <v>266</v>
      </c>
      <c r="C157" s="2" t="s">
        <v>267</v>
      </c>
      <c r="D157" s="2" t="s">
        <v>348</v>
      </c>
      <c r="E157" t="s">
        <v>411</v>
      </c>
    </row>
    <row r="158" spans="1:5" hidden="1" x14ac:dyDescent="0.25">
      <c r="A158" s="2" t="s">
        <v>311</v>
      </c>
      <c r="B158" s="2" t="s">
        <v>258</v>
      </c>
      <c r="C158" s="2" t="s">
        <v>312</v>
      </c>
      <c r="D158" s="2" t="s">
        <v>348</v>
      </c>
      <c r="E158" t="s">
        <v>410</v>
      </c>
    </row>
    <row r="159" spans="1:5" hidden="1" x14ac:dyDescent="0.25">
      <c r="A159" s="2" t="s">
        <v>313</v>
      </c>
      <c r="B159" s="2" t="s">
        <v>258</v>
      </c>
      <c r="C159" s="2" t="s">
        <v>312</v>
      </c>
      <c r="D159" s="2" t="s">
        <v>348</v>
      </c>
      <c r="E159" t="s">
        <v>410</v>
      </c>
    </row>
    <row r="160" spans="1:5" hidden="1" x14ac:dyDescent="0.25">
      <c r="A160" s="2" t="s">
        <v>202</v>
      </c>
      <c r="B160" s="2" t="s">
        <v>203</v>
      </c>
      <c r="C160" s="2" t="s">
        <v>204</v>
      </c>
      <c r="D160" s="2" t="s">
        <v>348</v>
      </c>
      <c r="E160" s="2" t="s">
        <v>410</v>
      </c>
    </row>
    <row r="161" spans="1:6" hidden="1" x14ac:dyDescent="0.25">
      <c r="A161" s="2" t="s">
        <v>239</v>
      </c>
      <c r="B161" s="2" t="s">
        <v>240</v>
      </c>
      <c r="C161" s="2" t="s">
        <v>241</v>
      </c>
      <c r="D161" s="2" t="s">
        <v>348</v>
      </c>
      <c r="E161" t="s">
        <v>410</v>
      </c>
    </row>
    <row r="162" spans="1:6" hidden="1" x14ac:dyDescent="0.25">
      <c r="A162" s="3" t="s">
        <v>89</v>
      </c>
      <c r="B162" s="3" t="s">
        <v>34</v>
      </c>
      <c r="C162" s="3" t="s">
        <v>90</v>
      </c>
      <c r="D162" s="3" t="s">
        <v>348</v>
      </c>
      <c r="E162" t="s">
        <v>410</v>
      </c>
    </row>
    <row r="163" spans="1:6" hidden="1" x14ac:dyDescent="0.25">
      <c r="A163" s="2" t="s">
        <v>314</v>
      </c>
      <c r="B163" s="2" t="s">
        <v>258</v>
      </c>
      <c r="C163" s="2" t="s">
        <v>315</v>
      </c>
      <c r="D163" s="2" t="s">
        <v>348</v>
      </c>
      <c r="E163" t="s">
        <v>410</v>
      </c>
    </row>
    <row r="164" spans="1:6" hidden="1" x14ac:dyDescent="0.25">
      <c r="A164" s="2" t="s">
        <v>316</v>
      </c>
      <c r="B164" s="2" t="s">
        <v>258</v>
      </c>
      <c r="C164" s="2" t="s">
        <v>317</v>
      </c>
      <c r="D164" s="2" t="s">
        <v>348</v>
      </c>
      <c r="E164" t="s">
        <v>410</v>
      </c>
    </row>
    <row r="165" spans="1:6" hidden="1" x14ac:dyDescent="0.25">
      <c r="A165" s="2" t="s">
        <v>14</v>
      </c>
      <c r="B165" s="2" t="s">
        <v>15</v>
      </c>
      <c r="C165" s="2" t="s">
        <v>16</v>
      </c>
      <c r="D165" s="2" t="s">
        <v>348</v>
      </c>
      <c r="E165" t="s">
        <v>410</v>
      </c>
    </row>
    <row r="166" spans="1:6" hidden="1" x14ac:dyDescent="0.25">
      <c r="A166" s="2" t="s">
        <v>33</v>
      </c>
      <c r="B166" s="2" t="s">
        <v>34</v>
      </c>
      <c r="C166" s="2" t="s">
        <v>35</v>
      </c>
      <c r="D166" s="2" t="s">
        <v>348</v>
      </c>
      <c r="E166" t="s">
        <v>410</v>
      </c>
    </row>
    <row r="167" spans="1:6" hidden="1" x14ac:dyDescent="0.25">
      <c r="A167" s="2" t="s">
        <v>257</v>
      </c>
      <c r="B167" s="2" t="s">
        <v>258</v>
      </c>
      <c r="C167" s="2" t="s">
        <v>259</v>
      </c>
      <c r="D167" s="2" t="s">
        <v>348</v>
      </c>
      <c r="E167" t="s">
        <v>410</v>
      </c>
    </row>
    <row r="168" spans="1:6" hidden="1" x14ac:dyDescent="0.25">
      <c r="A168" s="2" t="s">
        <v>11</v>
      </c>
      <c r="B168" s="2" t="s">
        <v>12</v>
      </c>
      <c r="C168" s="2" t="s">
        <v>13</v>
      </c>
      <c r="D168" s="2" t="s">
        <v>348</v>
      </c>
      <c r="E168" t="s">
        <v>410</v>
      </c>
    </row>
    <row r="169" spans="1:6" hidden="1" x14ac:dyDescent="0.25">
      <c r="A169" s="2" t="s">
        <v>120</v>
      </c>
      <c r="B169" s="2" t="s">
        <v>121</v>
      </c>
      <c r="C169" s="2" t="s">
        <v>122</v>
      </c>
      <c r="D169" s="2" t="s">
        <v>348</v>
      </c>
      <c r="E169" t="s">
        <v>410</v>
      </c>
    </row>
    <row r="170" spans="1:6" hidden="1" x14ac:dyDescent="0.25">
      <c r="A170" s="2" t="s">
        <v>233</v>
      </c>
      <c r="B170" s="2" t="s">
        <v>34</v>
      </c>
      <c r="C170" s="2" t="s">
        <v>234</v>
      </c>
      <c r="D170" s="2" t="s">
        <v>348</v>
      </c>
      <c r="E170" t="s">
        <v>410</v>
      </c>
    </row>
    <row r="171" spans="1:6" hidden="1" x14ac:dyDescent="0.25">
      <c r="A171" s="2" t="s">
        <v>187</v>
      </c>
      <c r="B171" s="2" t="s">
        <v>79</v>
      </c>
      <c r="C171" s="2"/>
      <c r="D171" s="2" t="s">
        <v>348</v>
      </c>
      <c r="E171" t="s">
        <v>410</v>
      </c>
    </row>
    <row r="172" spans="1:6" x14ac:dyDescent="0.25">
      <c r="A172" s="2" t="s">
        <v>637</v>
      </c>
      <c r="B172" s="2" t="s">
        <v>638</v>
      </c>
      <c r="C172" s="2" t="s">
        <v>639</v>
      </c>
      <c r="D172" s="2" t="s">
        <v>349</v>
      </c>
      <c r="F172" t="s">
        <v>774</v>
      </c>
    </row>
    <row r="173" spans="1:6" x14ac:dyDescent="0.25">
      <c r="A173" s="2" t="s">
        <v>659</v>
      </c>
      <c r="B173" s="2" t="s">
        <v>660</v>
      </c>
      <c r="C173" s="2" t="s">
        <v>661</v>
      </c>
      <c r="D173" s="2" t="s">
        <v>349</v>
      </c>
      <c r="F173" t="s">
        <v>770</v>
      </c>
    </row>
    <row r="174" spans="1:6" x14ac:dyDescent="0.25">
      <c r="A174" s="2" t="s">
        <v>670</v>
      </c>
      <c r="B174" s="2" t="s">
        <v>671</v>
      </c>
      <c r="C174" s="2" t="s">
        <v>672</v>
      </c>
      <c r="D174" s="2" t="s">
        <v>349</v>
      </c>
      <c r="F174" t="s">
        <v>775</v>
      </c>
    </row>
    <row r="175" spans="1:6" x14ac:dyDescent="0.25">
      <c r="A175" s="2" t="s">
        <v>689</v>
      </c>
      <c r="B175" s="2" t="s">
        <v>690</v>
      </c>
      <c r="C175" s="2" t="s">
        <v>691</v>
      </c>
      <c r="D175" s="2" t="s">
        <v>349</v>
      </c>
      <c r="F175" t="s">
        <v>775</v>
      </c>
    </row>
    <row r="176" spans="1:6" x14ac:dyDescent="0.25">
      <c r="A176" s="2" t="s">
        <v>673</v>
      </c>
      <c r="B176" s="2" t="s">
        <v>674</v>
      </c>
      <c r="C176" s="2" t="s">
        <v>633</v>
      </c>
      <c r="D176" s="2" t="s">
        <v>350</v>
      </c>
      <c r="F176" t="s">
        <v>777</v>
      </c>
    </row>
    <row r="177" spans="1:6" x14ac:dyDescent="0.25">
      <c r="A177" s="2" t="s">
        <v>685</v>
      </c>
      <c r="B177" s="2" t="s">
        <v>674</v>
      </c>
      <c r="C177" s="2" t="s">
        <v>686</v>
      </c>
      <c r="D177" s="2" t="s">
        <v>350</v>
      </c>
      <c r="F177" t="s">
        <v>777</v>
      </c>
    </row>
    <row r="178" spans="1:6" hidden="1" x14ac:dyDescent="0.25">
      <c r="A178" s="2" t="s">
        <v>640</v>
      </c>
      <c r="B178" s="2" t="s">
        <v>641</v>
      </c>
      <c r="C178" s="2" t="s">
        <v>633</v>
      </c>
      <c r="D178" s="2" t="s">
        <v>642</v>
      </c>
    </row>
    <row r="179" spans="1:6" hidden="1" x14ac:dyDescent="0.25">
      <c r="A179" s="2" t="s">
        <v>643</v>
      </c>
      <c r="B179" s="2" t="s">
        <v>644</v>
      </c>
      <c r="C179" s="2" t="s">
        <v>633</v>
      </c>
      <c r="D179" s="2" t="s">
        <v>642</v>
      </c>
    </row>
    <row r="180" spans="1:6" hidden="1" x14ac:dyDescent="0.25">
      <c r="A180" s="2" t="s">
        <v>651</v>
      </c>
      <c r="B180" s="2" t="s">
        <v>644</v>
      </c>
      <c r="C180" s="2" t="s">
        <v>633</v>
      </c>
      <c r="D180" s="2" t="s">
        <v>642</v>
      </c>
    </row>
    <row r="181" spans="1:6" hidden="1" x14ac:dyDescent="0.25">
      <c r="A181" s="2" t="s">
        <v>677</v>
      </c>
      <c r="B181" s="2" t="s">
        <v>678</v>
      </c>
      <c r="C181" s="2" t="s">
        <v>679</v>
      </c>
      <c r="D181" s="2" t="s">
        <v>642</v>
      </c>
    </row>
    <row r="182" spans="1:6" hidden="1" x14ac:dyDescent="0.25">
      <c r="A182" s="2" t="s">
        <v>680</v>
      </c>
      <c r="B182" s="2" t="s">
        <v>678</v>
      </c>
      <c r="C182" s="2" t="s">
        <v>681</v>
      </c>
      <c r="D182" s="2" t="s">
        <v>642</v>
      </c>
    </row>
    <row r="183" spans="1:6" hidden="1" x14ac:dyDescent="0.25">
      <c r="A183" s="2" t="s">
        <v>631</v>
      </c>
      <c r="B183" s="2" t="s">
        <v>632</v>
      </c>
      <c r="C183" s="2" t="s">
        <v>633</v>
      </c>
      <c r="D183" s="2" t="s">
        <v>348</v>
      </c>
    </row>
    <row r="184" spans="1:6" hidden="1" x14ac:dyDescent="0.25">
      <c r="A184" s="2" t="s">
        <v>634</v>
      </c>
      <c r="B184" s="2" t="s">
        <v>635</v>
      </c>
      <c r="C184" s="2" t="s">
        <v>636</v>
      </c>
      <c r="D184" s="2" t="s">
        <v>348</v>
      </c>
    </row>
    <row r="185" spans="1:6" hidden="1" x14ac:dyDescent="0.25">
      <c r="A185" s="2" t="s">
        <v>652</v>
      </c>
      <c r="B185" s="2" t="s">
        <v>653</v>
      </c>
      <c r="C185" s="2" t="s">
        <v>654</v>
      </c>
      <c r="D185" s="2" t="s">
        <v>348</v>
      </c>
    </row>
    <row r="186" spans="1:6" hidden="1" x14ac:dyDescent="0.25">
      <c r="A186" s="2" t="s">
        <v>675</v>
      </c>
      <c r="B186" s="2" t="s">
        <v>676</v>
      </c>
      <c r="C186" s="2" t="s">
        <v>633</v>
      </c>
      <c r="D186" s="2" t="s">
        <v>348</v>
      </c>
    </row>
    <row r="187" spans="1:6" hidden="1" x14ac:dyDescent="0.25">
      <c r="A187" s="2" t="s">
        <v>703</v>
      </c>
      <c r="B187" s="2" t="s">
        <v>704</v>
      </c>
      <c r="C187" s="2" t="s">
        <v>705</v>
      </c>
      <c r="D187" s="2" t="s">
        <v>348</v>
      </c>
    </row>
  </sheetData>
  <autoFilter ref="A1:F187">
    <filterColumn colId="3">
      <filters>
        <filter val="Differential Pressure"/>
        <filter val="Flow"/>
      </filters>
    </filterColumn>
    <sortState ref="A2:F187">
      <sortCondition ref="E1"/>
    </sortState>
  </autoFilter>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C18"/>
  <sheetViews>
    <sheetView workbookViewId="0">
      <selection activeCell="B3" sqref="B3:B8"/>
    </sheetView>
  </sheetViews>
  <sheetFormatPr defaultRowHeight="15" x14ac:dyDescent="0.25"/>
  <cols>
    <col min="2" max="2" width="68.28515625" bestFit="1" customWidth="1"/>
    <col min="3" max="3" width="43.5703125" bestFit="1" customWidth="1"/>
  </cols>
  <sheetData>
    <row r="2" spans="2:3" x14ac:dyDescent="0.25">
      <c r="B2" s="1" t="s">
        <v>351</v>
      </c>
    </row>
    <row r="3" spans="2:3" x14ac:dyDescent="0.25">
      <c r="B3" t="s">
        <v>352</v>
      </c>
      <c r="C3" t="s">
        <v>353</v>
      </c>
    </row>
    <row r="4" spans="2:3" x14ac:dyDescent="0.25">
      <c r="B4" t="s">
        <v>354</v>
      </c>
    </row>
    <row r="5" spans="2:3" x14ac:dyDescent="0.25">
      <c r="B5" t="s">
        <v>356</v>
      </c>
      <c r="C5" t="s">
        <v>355</v>
      </c>
    </row>
    <row r="6" spans="2:3" x14ac:dyDescent="0.25">
      <c r="B6" t="s">
        <v>357</v>
      </c>
    </row>
    <row r="7" spans="2:3" x14ac:dyDescent="0.25">
      <c r="B7" t="s">
        <v>358</v>
      </c>
    </row>
    <row r="8" spans="2:3" x14ac:dyDescent="0.25">
      <c r="B8" t="s">
        <v>359</v>
      </c>
    </row>
    <row r="16" spans="2:3" x14ac:dyDescent="0.25">
      <c r="B16" t="s">
        <v>448</v>
      </c>
    </row>
    <row r="18" spans="2:2" x14ac:dyDescent="0.25">
      <c r="B18" t="s">
        <v>709</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97"/>
  <sheetViews>
    <sheetView zoomScale="85" zoomScaleNormal="85" workbookViewId="0">
      <pane ySplit="2" topLeftCell="A3" activePane="bottomLeft" state="frozen"/>
      <selection pane="bottomLeft" activeCell="T14" sqref="T14"/>
    </sheetView>
  </sheetViews>
  <sheetFormatPr defaultRowHeight="15" x14ac:dyDescent="0.25"/>
  <cols>
    <col min="1" max="1" width="39.140625" style="8" customWidth="1"/>
    <col min="2" max="2" width="25.140625" style="7" customWidth="1"/>
    <col min="3" max="3" width="25.140625" style="7" bestFit="1" customWidth="1"/>
    <col min="4" max="4" width="25.140625" style="7" hidden="1" customWidth="1"/>
    <col min="5" max="10" width="9.140625" style="7" hidden="1" customWidth="1"/>
    <col min="11" max="12" width="25.140625" style="7" bestFit="1" customWidth="1"/>
    <col min="13" max="13" width="25.140625" style="7" hidden="1" customWidth="1"/>
    <col min="14" max="14" width="9.140625" style="7" hidden="1" customWidth="1"/>
    <col min="15" max="15" width="25.140625" style="7" hidden="1" customWidth="1"/>
    <col min="16" max="16384" width="9.140625" style="8"/>
  </cols>
  <sheetData>
    <row r="1" spans="1:15" x14ac:dyDescent="0.25">
      <c r="A1" s="6" t="s">
        <v>362</v>
      </c>
      <c r="B1" s="7" t="s">
        <v>395</v>
      </c>
    </row>
    <row r="2" spans="1:15" ht="16.5" thickBot="1" x14ac:dyDescent="0.3">
      <c r="A2" s="8" t="s">
        <v>360</v>
      </c>
      <c r="B2" s="21" t="s">
        <v>402</v>
      </c>
      <c r="C2" s="21" t="s">
        <v>403</v>
      </c>
      <c r="D2" s="21" t="s">
        <v>407</v>
      </c>
      <c r="E2" s="22" t="s">
        <v>415</v>
      </c>
      <c r="F2" s="22" t="s">
        <v>416</v>
      </c>
      <c r="G2" s="22" t="s">
        <v>417</v>
      </c>
      <c r="H2" s="22" t="s">
        <v>418</v>
      </c>
      <c r="I2" s="22" t="s">
        <v>419</v>
      </c>
      <c r="J2" s="22" t="s">
        <v>420</v>
      </c>
      <c r="K2" s="21" t="s">
        <v>404</v>
      </c>
      <c r="L2" s="21" t="s">
        <v>406</v>
      </c>
      <c r="M2" s="21" t="s">
        <v>405</v>
      </c>
      <c r="N2" s="22" t="s">
        <v>421</v>
      </c>
      <c r="O2" s="21" t="s">
        <v>409</v>
      </c>
    </row>
    <row r="3" spans="1:15" s="9" customFormat="1" x14ac:dyDescent="0.25">
      <c r="A3" s="28" t="s">
        <v>437</v>
      </c>
      <c r="B3" s="29" t="s">
        <v>433</v>
      </c>
      <c r="C3" s="29" t="s">
        <v>433</v>
      </c>
      <c r="D3" s="29" t="s">
        <v>433</v>
      </c>
      <c r="E3" s="29"/>
      <c r="F3" s="29"/>
      <c r="G3" s="29"/>
      <c r="H3" s="29"/>
      <c r="I3" s="29"/>
      <c r="J3" s="29"/>
      <c r="K3" s="29" t="s">
        <v>432</v>
      </c>
      <c r="L3" s="29" t="s">
        <v>432</v>
      </c>
      <c r="M3" s="29" t="s">
        <v>432</v>
      </c>
      <c r="N3" s="29"/>
      <c r="O3" s="30" t="s">
        <v>436</v>
      </c>
    </row>
    <row r="4" spans="1:15" x14ac:dyDescent="0.25">
      <c r="A4" s="31" t="s">
        <v>398</v>
      </c>
      <c r="B4" s="32">
        <v>6.4999999999999997E-4</v>
      </c>
      <c r="C4" s="32">
        <v>5.5000000000000003E-4</v>
      </c>
      <c r="D4" s="32">
        <v>4.0000000000000002E-4</v>
      </c>
      <c r="E4" s="32"/>
      <c r="F4" s="32"/>
      <c r="G4" s="32"/>
      <c r="H4" s="32"/>
      <c r="I4" s="32"/>
      <c r="J4" s="32"/>
      <c r="K4" s="32">
        <v>2E-3</v>
      </c>
      <c r="L4" s="32">
        <v>5.5000000000000003E-4</v>
      </c>
      <c r="M4" s="32">
        <v>4.0000000000000002E-4</v>
      </c>
      <c r="N4" s="32"/>
      <c r="O4" s="33">
        <v>4.0000000000000002E-4</v>
      </c>
    </row>
    <row r="5" spans="1:15" x14ac:dyDescent="0.25">
      <c r="A5" s="31" t="s">
        <v>423</v>
      </c>
      <c r="B5" s="34">
        <v>1E-3</v>
      </c>
      <c r="C5" s="34">
        <v>1E-3</v>
      </c>
      <c r="D5" s="34">
        <v>1E-3</v>
      </c>
      <c r="E5" s="35"/>
      <c r="F5" s="35"/>
      <c r="G5" s="35"/>
      <c r="H5" s="35"/>
      <c r="I5" s="35"/>
      <c r="J5" s="35"/>
      <c r="K5" s="34">
        <v>1E-3</v>
      </c>
      <c r="L5" s="34">
        <v>1E-3</v>
      </c>
      <c r="M5" s="34">
        <v>1E-3</v>
      </c>
      <c r="N5" s="35"/>
      <c r="O5" s="36">
        <v>1E-3</v>
      </c>
    </row>
    <row r="6" spans="1:15" x14ac:dyDescent="0.25">
      <c r="A6" s="31" t="s">
        <v>422</v>
      </c>
      <c r="B6" s="35" t="s">
        <v>424</v>
      </c>
      <c r="C6" s="35" t="s">
        <v>429</v>
      </c>
      <c r="D6" s="35" t="s">
        <v>429</v>
      </c>
      <c r="E6" s="35"/>
      <c r="F6" s="35"/>
      <c r="G6" s="35"/>
      <c r="H6" s="35"/>
      <c r="I6" s="35"/>
      <c r="J6" s="35"/>
      <c r="K6" s="35" t="s">
        <v>431</v>
      </c>
      <c r="L6" s="35" t="s">
        <v>434</v>
      </c>
      <c r="M6" s="35" t="s">
        <v>435</v>
      </c>
      <c r="N6" s="35"/>
      <c r="O6" s="37" t="s">
        <v>435</v>
      </c>
    </row>
    <row r="7" spans="1:15" x14ac:dyDescent="0.25">
      <c r="A7" s="31" t="s">
        <v>361</v>
      </c>
      <c r="B7" s="35" t="s">
        <v>425</v>
      </c>
      <c r="C7" s="35" t="s">
        <v>425</v>
      </c>
      <c r="D7" s="35" t="s">
        <v>425</v>
      </c>
      <c r="E7" s="35"/>
      <c r="F7" s="35"/>
      <c r="G7" s="35"/>
      <c r="H7" s="35"/>
      <c r="I7" s="35"/>
      <c r="J7" s="35"/>
      <c r="K7" s="35" t="s">
        <v>425</v>
      </c>
      <c r="L7" s="35" t="s">
        <v>425</v>
      </c>
      <c r="M7" s="35" t="s">
        <v>425</v>
      </c>
      <c r="N7" s="35"/>
      <c r="O7" s="37" t="s">
        <v>425</v>
      </c>
    </row>
    <row r="8" spans="1:15" ht="45" x14ac:dyDescent="0.25">
      <c r="A8" s="31" t="s">
        <v>363</v>
      </c>
      <c r="B8" s="35" t="s">
        <v>426</v>
      </c>
      <c r="C8" s="35" t="s">
        <v>426</v>
      </c>
      <c r="D8" s="35" t="s">
        <v>426</v>
      </c>
      <c r="E8" s="35"/>
      <c r="F8" s="35"/>
      <c r="G8" s="35"/>
      <c r="H8" s="35"/>
      <c r="I8" s="35"/>
      <c r="J8" s="35"/>
      <c r="K8" s="35" t="s">
        <v>426</v>
      </c>
      <c r="L8" s="35" t="s">
        <v>426</v>
      </c>
      <c r="M8" s="35" t="s">
        <v>426</v>
      </c>
      <c r="N8" s="35"/>
      <c r="O8" s="37" t="s">
        <v>426</v>
      </c>
    </row>
    <row r="9" spans="1:15" x14ac:dyDescent="0.25">
      <c r="A9" s="31" t="s">
        <v>364</v>
      </c>
      <c r="B9" s="35" t="s">
        <v>427</v>
      </c>
      <c r="C9" s="35" t="s">
        <v>430</v>
      </c>
      <c r="D9" s="38" t="s">
        <v>430</v>
      </c>
      <c r="E9" s="35"/>
      <c r="F9" s="35"/>
      <c r="G9" s="35"/>
      <c r="H9" s="35"/>
      <c r="I9" s="35"/>
      <c r="J9" s="35"/>
      <c r="K9" s="38" t="s">
        <v>427</v>
      </c>
      <c r="L9" s="38" t="s">
        <v>430</v>
      </c>
      <c r="M9" s="38" t="s">
        <v>430</v>
      </c>
      <c r="N9" s="35"/>
      <c r="O9" s="39" t="s">
        <v>438</v>
      </c>
    </row>
    <row r="10" spans="1:15" ht="15.75" thickBot="1" x14ac:dyDescent="0.3">
      <c r="A10" s="40" t="s">
        <v>365</v>
      </c>
      <c r="B10" s="41" t="s">
        <v>428</v>
      </c>
      <c r="C10" s="41" t="s">
        <v>428</v>
      </c>
      <c r="D10" s="41" t="s">
        <v>428</v>
      </c>
      <c r="E10" s="41"/>
      <c r="F10" s="41"/>
      <c r="G10" s="41"/>
      <c r="H10" s="41"/>
      <c r="I10" s="41"/>
      <c r="J10" s="41"/>
      <c r="K10" s="41" t="s">
        <v>428</v>
      </c>
      <c r="L10" s="41" t="s">
        <v>428</v>
      </c>
      <c r="M10" s="41" t="s">
        <v>428</v>
      </c>
      <c r="N10" s="41"/>
      <c r="O10" s="42" t="s">
        <v>428</v>
      </c>
    </row>
    <row r="11" spans="1:15" ht="15.75" thickBot="1" x14ac:dyDescent="0.3">
      <c r="A11" s="10" t="s">
        <v>370</v>
      </c>
    </row>
    <row r="12" spans="1:15" ht="45" x14ac:dyDescent="0.25">
      <c r="A12" s="142" t="s">
        <v>366</v>
      </c>
      <c r="B12" s="11" t="s">
        <v>445</v>
      </c>
      <c r="C12" s="11" t="s">
        <v>445</v>
      </c>
      <c r="D12" s="54" t="s">
        <v>445</v>
      </c>
      <c r="E12" s="11"/>
      <c r="F12" s="11"/>
      <c r="G12" s="11"/>
      <c r="H12" s="11"/>
      <c r="I12" s="11"/>
      <c r="J12" s="11"/>
      <c r="K12" s="11" t="s">
        <v>445</v>
      </c>
      <c r="L12" s="11" t="s">
        <v>445</v>
      </c>
      <c r="M12" s="11" t="s">
        <v>445</v>
      </c>
      <c r="N12" s="11"/>
      <c r="O12" s="12" t="s">
        <v>442</v>
      </c>
    </row>
    <row r="13" spans="1:15" ht="75" x14ac:dyDescent="0.25">
      <c r="A13" s="143"/>
      <c r="B13" s="47" t="s">
        <v>439</v>
      </c>
      <c r="C13" s="14" t="s">
        <v>440</v>
      </c>
      <c r="D13" s="47" t="s">
        <v>439</v>
      </c>
      <c r="E13" s="13"/>
      <c r="F13" s="13"/>
      <c r="G13" s="13"/>
      <c r="H13" s="13"/>
      <c r="I13" s="13"/>
      <c r="J13" s="13"/>
      <c r="K13" s="47" t="s">
        <v>454</v>
      </c>
      <c r="L13" s="58" t="s">
        <v>440</v>
      </c>
      <c r="M13" s="47" t="s">
        <v>439</v>
      </c>
      <c r="N13" s="13"/>
      <c r="O13" s="15"/>
    </row>
    <row r="14" spans="1:15" ht="75" x14ac:dyDescent="0.25">
      <c r="A14" s="143"/>
      <c r="B14" s="47" t="s">
        <v>441</v>
      </c>
      <c r="C14" s="47" t="s">
        <v>441</v>
      </c>
      <c r="D14" s="58" t="s">
        <v>440</v>
      </c>
      <c r="E14" s="13"/>
      <c r="F14" s="13"/>
      <c r="G14" s="13"/>
      <c r="H14" s="13"/>
      <c r="I14" s="13"/>
      <c r="J14" s="13"/>
      <c r="K14" s="47" t="s">
        <v>441</v>
      </c>
      <c r="L14" s="46" t="s">
        <v>441</v>
      </c>
      <c r="M14" s="58" t="s">
        <v>440</v>
      </c>
      <c r="N14" s="13"/>
      <c r="O14" s="15"/>
    </row>
    <row r="15" spans="1:15" ht="60" x14ac:dyDescent="0.25">
      <c r="A15" s="143"/>
      <c r="B15" s="13" t="s">
        <v>446</v>
      </c>
      <c r="C15" s="13" t="s">
        <v>446</v>
      </c>
      <c r="D15" s="47" t="s">
        <v>441</v>
      </c>
      <c r="E15" s="13"/>
      <c r="F15" s="13"/>
      <c r="G15" s="13"/>
      <c r="H15" s="13"/>
      <c r="I15" s="13"/>
      <c r="J15" s="13"/>
      <c r="K15" s="13" t="s">
        <v>446</v>
      </c>
      <c r="L15" s="13" t="s">
        <v>446</v>
      </c>
      <c r="M15" s="47" t="s">
        <v>441</v>
      </c>
      <c r="N15" s="13"/>
      <c r="O15" s="15"/>
    </row>
    <row r="16" spans="1:15" ht="60.75" thickBot="1" x14ac:dyDescent="0.3">
      <c r="A16" s="144"/>
      <c r="B16" s="16"/>
      <c r="C16" s="17" t="s">
        <v>447</v>
      </c>
      <c r="D16" s="51" t="s">
        <v>446</v>
      </c>
      <c r="E16" s="16"/>
      <c r="F16" s="16"/>
      <c r="G16" s="16"/>
      <c r="H16" s="16"/>
      <c r="I16" s="16"/>
      <c r="J16" s="16"/>
      <c r="K16" s="16"/>
      <c r="L16" s="17" t="s">
        <v>447</v>
      </c>
      <c r="M16" s="16" t="s">
        <v>446</v>
      </c>
      <c r="N16" s="16"/>
      <c r="O16" s="18"/>
    </row>
    <row r="17" spans="1:15" x14ac:dyDescent="0.25">
      <c r="A17" s="142" t="s">
        <v>367</v>
      </c>
      <c r="B17" s="48" t="s">
        <v>449</v>
      </c>
      <c r="C17" s="48" t="s">
        <v>451</v>
      </c>
      <c r="D17" s="48" t="s">
        <v>451</v>
      </c>
      <c r="E17" s="11"/>
      <c r="F17" s="11"/>
      <c r="G17" s="11"/>
      <c r="H17" s="11"/>
      <c r="I17" s="11"/>
      <c r="J17" s="11"/>
      <c r="K17" s="53" t="s">
        <v>455</v>
      </c>
      <c r="L17" s="53" t="s">
        <v>455</v>
      </c>
      <c r="M17" s="53" t="s">
        <v>455</v>
      </c>
      <c r="N17" s="11"/>
      <c r="O17" s="12"/>
    </row>
    <row r="18" spans="1:15" x14ac:dyDescent="0.25">
      <c r="A18" s="143"/>
      <c r="B18" s="13" t="s">
        <v>450</v>
      </c>
      <c r="C18" s="19" t="s">
        <v>452</v>
      </c>
      <c r="D18" s="52" t="s">
        <v>452</v>
      </c>
      <c r="E18" s="13"/>
      <c r="F18" s="13"/>
      <c r="G18" s="13"/>
      <c r="H18" s="13"/>
      <c r="I18" s="13"/>
      <c r="J18" s="13"/>
      <c r="K18" s="52" t="s">
        <v>456</v>
      </c>
      <c r="L18" s="52" t="s">
        <v>456</v>
      </c>
      <c r="M18" s="52" t="s">
        <v>456</v>
      </c>
      <c r="N18" s="13"/>
      <c r="O18" s="15"/>
    </row>
    <row r="19" spans="1:15" x14ac:dyDescent="0.25">
      <c r="A19" s="143"/>
      <c r="B19" s="13"/>
      <c r="C19" s="19" t="s">
        <v>453</v>
      </c>
      <c r="D19" s="56" t="s">
        <v>453</v>
      </c>
      <c r="E19" s="13"/>
      <c r="F19" s="13"/>
      <c r="G19" s="13"/>
      <c r="H19" s="13"/>
      <c r="I19" s="13"/>
      <c r="J19" s="13"/>
      <c r="K19" s="19" t="s">
        <v>457</v>
      </c>
      <c r="L19" s="52" t="s">
        <v>457</v>
      </c>
      <c r="M19" s="52" t="s">
        <v>457</v>
      </c>
      <c r="N19" s="13"/>
      <c r="O19" s="15"/>
    </row>
    <row r="20" spans="1:15" ht="15.75" thickBot="1" x14ac:dyDescent="0.3">
      <c r="A20" s="144"/>
      <c r="B20" s="16"/>
      <c r="C20" s="16"/>
      <c r="D20" s="51"/>
      <c r="E20" s="16"/>
      <c r="F20" s="16"/>
      <c r="G20" s="16"/>
      <c r="H20" s="16"/>
      <c r="I20" s="16"/>
      <c r="J20" s="16"/>
      <c r="K20" s="20" t="s">
        <v>458</v>
      </c>
      <c r="L20" s="59" t="s">
        <v>458</v>
      </c>
      <c r="M20" s="59" t="s">
        <v>458</v>
      </c>
      <c r="N20" s="16"/>
      <c r="O20" s="18"/>
    </row>
    <row r="21" spans="1:15" ht="105" x14ac:dyDescent="0.25">
      <c r="A21" s="142" t="s">
        <v>368</v>
      </c>
      <c r="B21" s="48" t="s">
        <v>459</v>
      </c>
      <c r="C21" s="48" t="s">
        <v>466</v>
      </c>
      <c r="D21" s="48" t="s">
        <v>466</v>
      </c>
      <c r="E21" s="11"/>
      <c r="F21" s="11"/>
      <c r="G21" s="11"/>
      <c r="H21" s="11"/>
      <c r="I21" s="11"/>
      <c r="J21" s="11"/>
      <c r="K21" s="48" t="s">
        <v>474</v>
      </c>
      <c r="L21" s="48" t="s">
        <v>474</v>
      </c>
      <c r="M21" s="48" t="s">
        <v>474</v>
      </c>
      <c r="N21" s="11"/>
      <c r="O21" s="12"/>
    </row>
    <row r="22" spans="1:15" ht="105" x14ac:dyDescent="0.25">
      <c r="A22" s="143"/>
      <c r="B22" s="13" t="s">
        <v>460</v>
      </c>
      <c r="C22" s="13" t="s">
        <v>467</v>
      </c>
      <c r="D22" s="50" t="s">
        <v>467</v>
      </c>
      <c r="E22" s="13"/>
      <c r="F22" s="13"/>
      <c r="G22" s="13"/>
      <c r="H22" s="13"/>
      <c r="I22" s="13"/>
      <c r="J22" s="13"/>
      <c r="K22" s="13" t="s">
        <v>475</v>
      </c>
      <c r="L22" s="13" t="s">
        <v>475</v>
      </c>
      <c r="M22" s="13" t="s">
        <v>475</v>
      </c>
      <c r="N22" s="13"/>
      <c r="O22" s="15"/>
    </row>
    <row r="23" spans="1:15" ht="105" x14ac:dyDescent="0.25">
      <c r="A23" s="143"/>
      <c r="B23" s="13" t="s">
        <v>461</v>
      </c>
      <c r="C23" s="13" t="s">
        <v>468</v>
      </c>
      <c r="D23" s="50" t="s">
        <v>468</v>
      </c>
      <c r="E23" s="13"/>
      <c r="F23" s="13"/>
      <c r="G23" s="13"/>
      <c r="H23" s="13"/>
      <c r="I23" s="13"/>
      <c r="J23" s="13"/>
      <c r="K23" s="13"/>
      <c r="L23" s="13"/>
      <c r="M23" s="13"/>
      <c r="N23" s="13"/>
      <c r="O23" s="15"/>
    </row>
    <row r="24" spans="1:15" ht="105" x14ac:dyDescent="0.25">
      <c r="A24" s="143"/>
      <c r="B24" s="13" t="s">
        <v>462</v>
      </c>
      <c r="C24" s="13" t="s">
        <v>469</v>
      </c>
      <c r="D24" s="50" t="s">
        <v>469</v>
      </c>
      <c r="E24" s="13"/>
      <c r="F24" s="13"/>
      <c r="G24" s="13"/>
      <c r="H24" s="13"/>
      <c r="I24" s="13"/>
      <c r="J24" s="13"/>
      <c r="K24" s="13"/>
      <c r="L24" s="13"/>
      <c r="M24" s="13"/>
      <c r="N24" s="13"/>
      <c r="O24" s="15"/>
    </row>
    <row r="25" spans="1:15" ht="135" x14ac:dyDescent="0.25">
      <c r="A25" s="143"/>
      <c r="B25" s="13" t="s">
        <v>463</v>
      </c>
      <c r="C25" s="13" t="s">
        <v>470</v>
      </c>
      <c r="D25" s="50" t="s">
        <v>470</v>
      </c>
      <c r="E25" s="13"/>
      <c r="F25" s="13"/>
      <c r="G25" s="13"/>
      <c r="H25" s="13"/>
      <c r="I25" s="13"/>
      <c r="J25" s="13"/>
      <c r="K25" s="13"/>
      <c r="L25" s="13"/>
      <c r="M25" s="13"/>
      <c r="N25" s="13"/>
      <c r="O25" s="15"/>
    </row>
    <row r="26" spans="1:15" ht="135" x14ac:dyDescent="0.25">
      <c r="A26" s="143"/>
      <c r="B26" s="13" t="s">
        <v>464</v>
      </c>
      <c r="C26" s="13" t="s">
        <v>471</v>
      </c>
      <c r="D26" s="50" t="s">
        <v>471</v>
      </c>
      <c r="E26" s="13"/>
      <c r="F26" s="13"/>
      <c r="G26" s="13"/>
      <c r="H26" s="13"/>
      <c r="I26" s="13"/>
      <c r="J26" s="13"/>
      <c r="K26" s="13"/>
      <c r="L26" s="13"/>
      <c r="M26" s="13"/>
      <c r="N26" s="13"/>
      <c r="O26" s="15"/>
    </row>
    <row r="27" spans="1:15" ht="120" x14ac:dyDescent="0.25">
      <c r="A27" s="143"/>
      <c r="B27" s="13" t="s">
        <v>465</v>
      </c>
      <c r="C27" s="13" t="s">
        <v>472</v>
      </c>
      <c r="D27" s="50" t="s">
        <v>472</v>
      </c>
      <c r="E27" s="13"/>
      <c r="F27" s="13"/>
      <c r="G27" s="13"/>
      <c r="H27" s="13"/>
      <c r="I27" s="13"/>
      <c r="J27" s="13"/>
      <c r="K27" s="13"/>
      <c r="L27" s="13"/>
      <c r="M27" s="13"/>
      <c r="N27" s="13"/>
      <c r="O27" s="15"/>
    </row>
    <row r="28" spans="1:15" ht="135.75" thickBot="1" x14ac:dyDescent="0.3">
      <c r="A28" s="144"/>
      <c r="B28" s="16"/>
      <c r="C28" s="16" t="s">
        <v>473</v>
      </c>
      <c r="D28" s="51" t="s">
        <v>473</v>
      </c>
      <c r="E28" s="16"/>
      <c r="F28" s="16"/>
      <c r="G28" s="16"/>
      <c r="H28" s="16"/>
      <c r="I28" s="16"/>
      <c r="J28" s="16"/>
      <c r="K28" s="16"/>
      <c r="L28" s="16"/>
      <c r="M28" s="16"/>
      <c r="N28" s="16"/>
      <c r="O28" s="18"/>
    </row>
    <row r="29" spans="1:15" ht="45" x14ac:dyDescent="0.25">
      <c r="A29" s="142" t="s">
        <v>369</v>
      </c>
      <c r="B29" s="11" t="s">
        <v>476</v>
      </c>
      <c r="C29" s="11" t="s">
        <v>476</v>
      </c>
      <c r="D29" s="54" t="s">
        <v>476</v>
      </c>
      <c r="E29" s="11"/>
      <c r="F29" s="11"/>
      <c r="G29" s="11"/>
      <c r="H29" s="11"/>
      <c r="I29" s="11"/>
      <c r="J29" s="11"/>
      <c r="K29" s="48" t="s">
        <v>482</v>
      </c>
      <c r="L29" s="48" t="s">
        <v>482</v>
      </c>
      <c r="M29" s="48" t="s">
        <v>482</v>
      </c>
      <c r="N29" s="11"/>
      <c r="O29" s="12"/>
    </row>
    <row r="30" spans="1:15" ht="30" x14ac:dyDescent="0.25">
      <c r="A30" s="143"/>
      <c r="B30" s="13" t="s">
        <v>477</v>
      </c>
      <c r="C30" s="13" t="s">
        <v>477</v>
      </c>
      <c r="D30" s="50" t="s">
        <v>477</v>
      </c>
      <c r="E30" s="13"/>
      <c r="F30" s="13"/>
      <c r="G30" s="13"/>
      <c r="H30" s="13"/>
      <c r="I30" s="13"/>
      <c r="J30" s="13"/>
      <c r="K30" s="46" t="s">
        <v>483</v>
      </c>
      <c r="L30" s="47" t="s">
        <v>483</v>
      </c>
      <c r="M30" s="46" t="s">
        <v>483</v>
      </c>
      <c r="N30" s="13"/>
      <c r="O30" s="15"/>
    </row>
    <row r="31" spans="1:15" ht="30" x14ac:dyDescent="0.25">
      <c r="A31" s="143"/>
      <c r="B31" s="13" t="s">
        <v>478</v>
      </c>
      <c r="C31" s="13" t="s">
        <v>478</v>
      </c>
      <c r="D31" s="50" t="s">
        <v>478</v>
      </c>
      <c r="E31" s="13"/>
      <c r="F31" s="13"/>
      <c r="G31" s="13"/>
      <c r="H31" s="13"/>
      <c r="I31" s="13"/>
      <c r="J31" s="13"/>
      <c r="K31" s="13" t="s">
        <v>484</v>
      </c>
      <c r="L31" s="13" t="s">
        <v>484</v>
      </c>
      <c r="M31" s="13" t="s">
        <v>484</v>
      </c>
      <c r="N31" s="13"/>
      <c r="O31" s="15"/>
    </row>
    <row r="32" spans="1:15" ht="30" x14ac:dyDescent="0.25">
      <c r="A32" s="143"/>
      <c r="B32" s="13" t="s">
        <v>479</v>
      </c>
      <c r="C32" s="13" t="s">
        <v>479</v>
      </c>
      <c r="D32" s="50" t="s">
        <v>479</v>
      </c>
      <c r="E32" s="13"/>
      <c r="F32" s="13"/>
      <c r="G32" s="13"/>
      <c r="H32" s="13"/>
      <c r="I32" s="13"/>
      <c r="J32" s="13"/>
      <c r="K32" s="13" t="s">
        <v>485</v>
      </c>
      <c r="L32" s="13" t="s">
        <v>485</v>
      </c>
      <c r="M32" s="13" t="s">
        <v>485</v>
      </c>
      <c r="N32" s="13"/>
      <c r="O32" s="15"/>
    </row>
    <row r="33" spans="1:15" ht="30" x14ac:dyDescent="0.25">
      <c r="A33" s="143"/>
      <c r="B33" s="47" t="s">
        <v>480</v>
      </c>
      <c r="C33" s="13" t="s">
        <v>480</v>
      </c>
      <c r="D33" s="47" t="s">
        <v>480</v>
      </c>
      <c r="E33" s="13"/>
      <c r="F33" s="13"/>
      <c r="G33" s="13"/>
      <c r="H33" s="13"/>
      <c r="I33" s="13"/>
      <c r="J33" s="13"/>
      <c r="K33" s="13"/>
      <c r="L33" s="13"/>
      <c r="M33" s="13"/>
      <c r="N33" s="13"/>
      <c r="O33" s="15"/>
    </row>
    <row r="34" spans="1:15" ht="45.75" thickBot="1" x14ac:dyDescent="0.3">
      <c r="A34" s="144"/>
      <c r="B34" s="16" t="s">
        <v>481</v>
      </c>
      <c r="C34" s="49" t="s">
        <v>481</v>
      </c>
      <c r="D34" s="49" t="s">
        <v>481</v>
      </c>
      <c r="E34" s="16"/>
      <c r="F34" s="16"/>
      <c r="G34" s="16"/>
      <c r="H34" s="16"/>
      <c r="I34" s="16"/>
      <c r="J34" s="16"/>
      <c r="K34" s="16"/>
      <c r="L34" s="16"/>
      <c r="M34" s="16"/>
      <c r="N34" s="16"/>
      <c r="O34" s="18"/>
    </row>
    <row r="35" spans="1:15" x14ac:dyDescent="0.25">
      <c r="A35" s="142" t="s">
        <v>486</v>
      </c>
      <c r="B35" s="48" t="s">
        <v>488</v>
      </c>
      <c r="C35" s="11" t="s">
        <v>491</v>
      </c>
      <c r="D35" s="54" t="s">
        <v>491</v>
      </c>
      <c r="E35" s="11"/>
      <c r="F35" s="11"/>
      <c r="G35" s="11"/>
      <c r="H35" s="11"/>
      <c r="I35" s="11"/>
      <c r="J35" s="11"/>
      <c r="K35" s="48" t="s">
        <v>494</v>
      </c>
      <c r="L35" s="48" t="s">
        <v>494</v>
      </c>
      <c r="M35" s="48" t="s">
        <v>494</v>
      </c>
      <c r="N35" s="11"/>
      <c r="O35" s="12"/>
    </row>
    <row r="36" spans="1:15" x14ac:dyDescent="0.25">
      <c r="A36" s="143"/>
      <c r="B36" s="47" t="s">
        <v>489</v>
      </c>
      <c r="C36" s="47" t="s">
        <v>492</v>
      </c>
      <c r="D36" s="47" t="s">
        <v>492</v>
      </c>
      <c r="E36" s="13"/>
      <c r="F36" s="13"/>
      <c r="G36" s="13"/>
      <c r="H36" s="13"/>
      <c r="I36" s="13"/>
      <c r="J36" s="13"/>
      <c r="K36" s="13"/>
      <c r="L36" s="13"/>
      <c r="M36" s="13"/>
      <c r="N36" s="13"/>
      <c r="O36" s="15"/>
    </row>
    <row r="37" spans="1:15" ht="15.75" thickBot="1" x14ac:dyDescent="0.3">
      <c r="A37" s="144"/>
      <c r="B37" s="16" t="s">
        <v>490</v>
      </c>
      <c r="C37" s="16" t="s">
        <v>493</v>
      </c>
      <c r="D37" s="51" t="s">
        <v>493</v>
      </c>
      <c r="E37" s="16"/>
      <c r="F37" s="16"/>
      <c r="G37" s="16"/>
      <c r="H37" s="16"/>
      <c r="I37" s="16"/>
      <c r="J37" s="16"/>
      <c r="K37" s="16"/>
      <c r="L37" s="16"/>
      <c r="M37" s="16"/>
      <c r="N37" s="16"/>
      <c r="O37" s="18"/>
    </row>
    <row r="38" spans="1:15" ht="60" x14ac:dyDescent="0.25">
      <c r="A38" s="142" t="s">
        <v>487</v>
      </c>
      <c r="B38" s="11" t="s">
        <v>552</v>
      </c>
      <c r="C38" s="11" t="s">
        <v>558</v>
      </c>
      <c r="D38" s="54" t="s">
        <v>558</v>
      </c>
      <c r="E38" s="11"/>
      <c r="F38" s="11"/>
      <c r="G38" s="11"/>
      <c r="H38" s="11"/>
      <c r="I38" s="11"/>
      <c r="J38" s="11"/>
      <c r="K38" s="48" t="s">
        <v>495</v>
      </c>
      <c r="L38" s="48" t="s">
        <v>495</v>
      </c>
      <c r="M38" s="48" t="s">
        <v>495</v>
      </c>
      <c r="N38" s="11"/>
      <c r="O38" s="12"/>
    </row>
    <row r="39" spans="1:15" ht="60" x14ac:dyDescent="0.25">
      <c r="A39" s="143"/>
      <c r="B39" s="13" t="s">
        <v>553</v>
      </c>
      <c r="C39" s="13" t="s">
        <v>559</v>
      </c>
      <c r="D39" s="50" t="s">
        <v>559</v>
      </c>
      <c r="E39" s="13"/>
      <c r="F39" s="13"/>
      <c r="G39" s="13"/>
      <c r="H39" s="13"/>
      <c r="I39" s="13"/>
      <c r="J39" s="13"/>
      <c r="K39" s="13"/>
      <c r="L39" s="13"/>
      <c r="M39" s="13"/>
      <c r="N39" s="13"/>
      <c r="O39" s="15"/>
    </row>
    <row r="40" spans="1:15" ht="60" x14ac:dyDescent="0.25">
      <c r="A40" s="143"/>
      <c r="B40" s="13" t="s">
        <v>554</v>
      </c>
      <c r="C40" s="13" t="s">
        <v>560</v>
      </c>
      <c r="D40" s="50" t="s">
        <v>560</v>
      </c>
      <c r="E40" s="13"/>
      <c r="F40" s="13"/>
      <c r="G40" s="13"/>
      <c r="H40" s="13"/>
      <c r="I40" s="13"/>
      <c r="J40" s="13"/>
      <c r="K40" s="13"/>
      <c r="L40" s="13"/>
      <c r="M40" s="13"/>
      <c r="N40" s="13"/>
      <c r="O40" s="15"/>
    </row>
    <row r="41" spans="1:15" ht="60" x14ac:dyDescent="0.25">
      <c r="A41" s="143"/>
      <c r="B41" s="13" t="s">
        <v>555</v>
      </c>
      <c r="C41" s="47" t="s">
        <v>561</v>
      </c>
      <c r="D41" s="47" t="s">
        <v>561</v>
      </c>
      <c r="E41" s="13"/>
      <c r="F41" s="13"/>
      <c r="G41" s="13"/>
      <c r="H41" s="13"/>
      <c r="I41" s="13"/>
      <c r="J41" s="13"/>
      <c r="K41" s="13"/>
      <c r="L41" s="13"/>
      <c r="M41" s="13"/>
      <c r="N41" s="13"/>
      <c r="O41" s="15"/>
    </row>
    <row r="42" spans="1:15" ht="45" x14ac:dyDescent="0.25">
      <c r="A42" s="143"/>
      <c r="B42" s="47" t="s">
        <v>556</v>
      </c>
      <c r="C42" s="13" t="s">
        <v>562</v>
      </c>
      <c r="D42" s="47" t="s">
        <v>562</v>
      </c>
      <c r="E42" s="13"/>
      <c r="F42" s="13"/>
      <c r="G42" s="13"/>
      <c r="H42" s="13"/>
      <c r="I42" s="13"/>
      <c r="J42" s="13"/>
      <c r="K42" s="13"/>
      <c r="L42" s="13"/>
      <c r="M42" s="13"/>
      <c r="N42" s="13"/>
      <c r="O42" s="15"/>
    </row>
    <row r="43" spans="1:15" ht="45.75" thickBot="1" x14ac:dyDescent="0.3">
      <c r="A43" s="144"/>
      <c r="B43" s="49" t="s">
        <v>557</v>
      </c>
      <c r="C43" s="16" t="s">
        <v>563</v>
      </c>
      <c r="D43" s="51" t="s">
        <v>563</v>
      </c>
      <c r="E43" s="16"/>
      <c r="F43" s="16"/>
      <c r="G43" s="16"/>
      <c r="H43" s="16"/>
      <c r="I43" s="16"/>
      <c r="J43" s="16"/>
      <c r="K43" s="16"/>
      <c r="L43" s="16"/>
      <c r="M43" s="16"/>
      <c r="N43" s="16"/>
      <c r="O43" s="18"/>
    </row>
    <row r="44" spans="1:15" x14ac:dyDescent="0.25">
      <c r="A44" s="142" t="s">
        <v>371</v>
      </c>
      <c r="B44" s="11"/>
      <c r="C44" s="11" t="s">
        <v>564</v>
      </c>
      <c r="D44" s="48" t="s">
        <v>564</v>
      </c>
      <c r="E44" s="11"/>
      <c r="F44" s="11"/>
      <c r="G44" s="11"/>
      <c r="H44" s="11"/>
      <c r="I44" s="11"/>
      <c r="J44" s="11"/>
      <c r="K44" s="11"/>
      <c r="L44" s="48" t="s">
        <v>564</v>
      </c>
      <c r="M44" s="48" t="s">
        <v>564</v>
      </c>
      <c r="N44" s="11"/>
      <c r="O44" s="12"/>
    </row>
    <row r="45" spans="1:15" ht="45" x14ac:dyDescent="0.25">
      <c r="A45" s="143"/>
      <c r="B45" s="13"/>
      <c r="C45" s="13" t="s">
        <v>565</v>
      </c>
      <c r="D45" s="50" t="s">
        <v>565</v>
      </c>
      <c r="E45" s="13"/>
      <c r="F45" s="13"/>
      <c r="G45" s="13"/>
      <c r="H45" s="13"/>
      <c r="I45" s="13"/>
      <c r="J45" s="13"/>
      <c r="K45" s="13"/>
      <c r="L45" s="47" t="s">
        <v>565</v>
      </c>
      <c r="M45" s="13" t="s">
        <v>565</v>
      </c>
      <c r="N45" s="13"/>
      <c r="O45" s="15"/>
    </row>
    <row r="46" spans="1:15" ht="30.75" thickBot="1" x14ac:dyDescent="0.3">
      <c r="A46" s="144"/>
      <c r="B46" s="16"/>
      <c r="C46" s="49" t="s">
        <v>625</v>
      </c>
      <c r="D46" s="51" t="s">
        <v>625</v>
      </c>
      <c r="E46" s="16"/>
      <c r="F46" s="16"/>
      <c r="G46" s="16"/>
      <c r="H46" s="16"/>
      <c r="I46" s="16"/>
      <c r="J46" s="16"/>
      <c r="K46" s="16"/>
      <c r="L46" s="49" t="s">
        <v>625</v>
      </c>
      <c r="M46" s="16" t="s">
        <v>625</v>
      </c>
      <c r="N46" s="16"/>
      <c r="O46" s="18"/>
    </row>
    <row r="47" spans="1:15" ht="45" x14ac:dyDescent="0.25">
      <c r="A47" s="142" t="s">
        <v>372</v>
      </c>
      <c r="B47" s="11" t="s">
        <v>566</v>
      </c>
      <c r="C47" s="11" t="s">
        <v>577</v>
      </c>
      <c r="D47" s="54" t="s">
        <v>577</v>
      </c>
      <c r="E47" s="11"/>
      <c r="F47" s="11"/>
      <c r="G47" s="11"/>
      <c r="H47" s="11"/>
      <c r="I47" s="11"/>
      <c r="J47" s="11"/>
      <c r="K47" s="11" t="s">
        <v>566</v>
      </c>
      <c r="L47" s="11" t="s">
        <v>577</v>
      </c>
      <c r="M47" s="11" t="s">
        <v>577</v>
      </c>
      <c r="N47" s="11"/>
      <c r="O47" s="12"/>
    </row>
    <row r="48" spans="1:15" ht="45" x14ac:dyDescent="0.25">
      <c r="A48" s="143"/>
      <c r="B48" s="47" t="s">
        <v>567</v>
      </c>
      <c r="C48" s="47" t="s">
        <v>578</v>
      </c>
      <c r="D48" s="50" t="s">
        <v>578</v>
      </c>
      <c r="E48" s="13"/>
      <c r="F48" s="13"/>
      <c r="G48" s="13"/>
      <c r="H48" s="13"/>
      <c r="I48" s="13"/>
      <c r="J48" s="13"/>
      <c r="K48" s="47" t="s">
        <v>567</v>
      </c>
      <c r="L48" s="47" t="s">
        <v>578</v>
      </c>
      <c r="M48" s="47" t="s">
        <v>578</v>
      </c>
      <c r="N48" s="13"/>
      <c r="O48" s="15"/>
    </row>
    <row r="49" spans="1:15" ht="45" x14ac:dyDescent="0.25">
      <c r="A49" s="143"/>
      <c r="B49" s="13" t="s">
        <v>568</v>
      </c>
      <c r="C49" s="13" t="s">
        <v>579</v>
      </c>
      <c r="D49" s="50" t="s">
        <v>579</v>
      </c>
      <c r="E49" s="13"/>
      <c r="F49" s="13"/>
      <c r="G49" s="13"/>
      <c r="H49" s="13"/>
      <c r="I49" s="13"/>
      <c r="J49" s="13"/>
      <c r="K49" s="13" t="s">
        <v>568</v>
      </c>
      <c r="L49" s="13" t="s">
        <v>579</v>
      </c>
      <c r="M49" s="13" t="s">
        <v>579</v>
      </c>
      <c r="N49" s="13"/>
      <c r="O49" s="15"/>
    </row>
    <row r="50" spans="1:15" ht="45" x14ac:dyDescent="0.25">
      <c r="A50" s="143"/>
      <c r="B50" s="13" t="s">
        <v>569</v>
      </c>
      <c r="C50" s="13" t="s">
        <v>570</v>
      </c>
      <c r="D50" s="50" t="s">
        <v>570</v>
      </c>
      <c r="E50" s="13"/>
      <c r="F50" s="13"/>
      <c r="G50" s="13"/>
      <c r="H50" s="13"/>
      <c r="I50" s="13"/>
      <c r="J50" s="13"/>
      <c r="K50" s="13" t="s">
        <v>569</v>
      </c>
      <c r="L50" s="13" t="s">
        <v>570</v>
      </c>
      <c r="M50" s="13" t="s">
        <v>570</v>
      </c>
      <c r="N50" s="13"/>
      <c r="O50" s="15"/>
    </row>
    <row r="51" spans="1:15" ht="45" x14ac:dyDescent="0.25">
      <c r="A51" s="143"/>
      <c r="B51" s="13" t="s">
        <v>570</v>
      </c>
      <c r="C51" s="13" t="s">
        <v>571</v>
      </c>
      <c r="D51" s="50" t="s">
        <v>571</v>
      </c>
      <c r="E51" s="13"/>
      <c r="F51" s="13"/>
      <c r="G51" s="13"/>
      <c r="H51" s="13"/>
      <c r="I51" s="13"/>
      <c r="J51" s="13"/>
      <c r="K51" s="13" t="s">
        <v>570</v>
      </c>
      <c r="L51" s="13" t="s">
        <v>571</v>
      </c>
      <c r="M51" s="13" t="s">
        <v>571</v>
      </c>
      <c r="N51" s="13"/>
      <c r="O51" s="15"/>
    </row>
    <row r="52" spans="1:15" ht="45" x14ac:dyDescent="0.25">
      <c r="A52" s="143"/>
      <c r="B52" s="13" t="s">
        <v>571</v>
      </c>
      <c r="C52" s="13" t="s">
        <v>573</v>
      </c>
      <c r="D52" s="50" t="s">
        <v>573</v>
      </c>
      <c r="E52" s="13"/>
      <c r="F52" s="13"/>
      <c r="G52" s="13"/>
      <c r="H52" s="13"/>
      <c r="I52" s="13"/>
      <c r="J52" s="13"/>
      <c r="K52" s="47" t="s">
        <v>571</v>
      </c>
      <c r="L52" s="13" t="s">
        <v>573</v>
      </c>
      <c r="M52" s="46" t="s">
        <v>573</v>
      </c>
      <c r="N52" s="13"/>
      <c r="O52" s="15"/>
    </row>
    <row r="53" spans="1:15" ht="45" x14ac:dyDescent="0.25">
      <c r="A53" s="143"/>
      <c r="B53" s="13" t="s">
        <v>572</v>
      </c>
      <c r="C53" s="13" t="s">
        <v>580</v>
      </c>
      <c r="D53" s="50" t="s">
        <v>580</v>
      </c>
      <c r="E53" s="13"/>
      <c r="F53" s="13"/>
      <c r="G53" s="13"/>
      <c r="H53" s="13"/>
      <c r="I53" s="13"/>
      <c r="J53" s="13"/>
      <c r="K53" s="13" t="s">
        <v>572</v>
      </c>
      <c r="L53" s="13" t="s">
        <v>580</v>
      </c>
      <c r="M53" s="13" t="s">
        <v>580</v>
      </c>
      <c r="N53" s="13"/>
      <c r="O53" s="15"/>
    </row>
    <row r="54" spans="1:15" ht="45" x14ac:dyDescent="0.25">
      <c r="A54" s="143"/>
      <c r="B54" s="13" t="s">
        <v>573</v>
      </c>
      <c r="C54" s="13" t="s">
        <v>581</v>
      </c>
      <c r="D54" s="50" t="s">
        <v>581</v>
      </c>
      <c r="E54" s="13"/>
      <c r="F54" s="13"/>
      <c r="G54" s="13"/>
      <c r="H54" s="13"/>
      <c r="I54" s="13"/>
      <c r="J54" s="13"/>
      <c r="K54" s="13" t="s">
        <v>573</v>
      </c>
      <c r="L54" s="47" t="s">
        <v>581</v>
      </c>
      <c r="M54" s="13" t="s">
        <v>581</v>
      </c>
      <c r="N54" s="13"/>
      <c r="O54" s="15"/>
    </row>
    <row r="55" spans="1:15" ht="45" x14ac:dyDescent="0.25">
      <c r="A55" s="143"/>
      <c r="B55" s="13" t="s">
        <v>574</v>
      </c>
      <c r="C55" s="13" t="s">
        <v>582</v>
      </c>
      <c r="D55" s="50" t="s">
        <v>582</v>
      </c>
      <c r="E55" s="13"/>
      <c r="F55" s="13"/>
      <c r="G55" s="13"/>
      <c r="H55" s="13"/>
      <c r="I55" s="13"/>
      <c r="J55" s="13"/>
      <c r="K55" s="13" t="s">
        <v>574</v>
      </c>
      <c r="L55" s="46" t="s">
        <v>582</v>
      </c>
      <c r="M55" s="13" t="s">
        <v>582</v>
      </c>
      <c r="N55" s="13"/>
      <c r="O55" s="15"/>
    </row>
    <row r="56" spans="1:15" ht="45" x14ac:dyDescent="0.25">
      <c r="A56" s="143"/>
      <c r="B56" s="13" t="s">
        <v>575</v>
      </c>
      <c r="C56" s="13"/>
      <c r="D56" s="50"/>
      <c r="E56" s="13"/>
      <c r="F56" s="13"/>
      <c r="G56" s="13"/>
      <c r="H56" s="13"/>
      <c r="I56" s="13"/>
      <c r="J56" s="13"/>
      <c r="K56" s="47" t="s">
        <v>575</v>
      </c>
      <c r="L56" s="13"/>
      <c r="M56" s="13"/>
      <c r="N56" s="13"/>
      <c r="O56" s="15"/>
    </row>
    <row r="57" spans="1:15" ht="45.75" thickBot="1" x14ac:dyDescent="0.3">
      <c r="A57" s="144"/>
      <c r="B57" s="16" t="s">
        <v>576</v>
      </c>
      <c r="C57" s="16"/>
      <c r="D57" s="51"/>
      <c r="E57" s="16"/>
      <c r="F57" s="16"/>
      <c r="G57" s="16"/>
      <c r="H57" s="16"/>
      <c r="I57" s="16"/>
      <c r="J57" s="16"/>
      <c r="K57" s="16" t="s">
        <v>576</v>
      </c>
      <c r="L57" s="16"/>
      <c r="M57" s="16"/>
      <c r="N57" s="16"/>
      <c r="O57" s="18"/>
    </row>
    <row r="58" spans="1:15" x14ac:dyDescent="0.25">
      <c r="A58" s="142" t="s">
        <v>373</v>
      </c>
      <c r="B58" s="48" t="s">
        <v>584</v>
      </c>
      <c r="C58" s="48" t="s">
        <v>584</v>
      </c>
      <c r="D58" s="48" t="s">
        <v>584</v>
      </c>
      <c r="E58" s="11"/>
      <c r="F58" s="11"/>
      <c r="G58" s="11"/>
      <c r="H58" s="11"/>
      <c r="I58" s="11"/>
      <c r="J58" s="11"/>
      <c r="K58" s="48" t="s">
        <v>584</v>
      </c>
      <c r="L58" s="48" t="s">
        <v>584</v>
      </c>
      <c r="M58" s="48" t="s">
        <v>584</v>
      </c>
      <c r="N58" s="11"/>
      <c r="O58" s="12"/>
    </row>
    <row r="59" spans="1:15" ht="30" x14ac:dyDescent="0.25">
      <c r="A59" s="143"/>
      <c r="B59" s="47" t="s">
        <v>585</v>
      </c>
      <c r="C59" s="13" t="s">
        <v>585</v>
      </c>
      <c r="D59" s="47" t="s">
        <v>585</v>
      </c>
      <c r="E59" s="13"/>
      <c r="F59" s="13"/>
      <c r="G59" s="13"/>
      <c r="H59" s="13"/>
      <c r="I59" s="13"/>
      <c r="J59" s="13"/>
      <c r="K59" s="47" t="s">
        <v>585</v>
      </c>
      <c r="L59" s="47" t="s">
        <v>585</v>
      </c>
      <c r="M59" s="47" t="s">
        <v>585</v>
      </c>
      <c r="N59" s="13"/>
      <c r="O59" s="15"/>
    </row>
    <row r="60" spans="1:15" ht="15.75" thickBot="1" x14ac:dyDescent="0.3">
      <c r="A60" s="144"/>
      <c r="B60" s="16" t="s">
        <v>586</v>
      </c>
      <c r="C60" s="16" t="s">
        <v>586</v>
      </c>
      <c r="D60" s="51" t="s">
        <v>586</v>
      </c>
      <c r="E60" s="16"/>
      <c r="F60" s="16"/>
      <c r="G60" s="16"/>
      <c r="H60" s="16"/>
      <c r="I60" s="16"/>
      <c r="J60" s="16"/>
      <c r="K60" s="55" t="s">
        <v>586</v>
      </c>
      <c r="L60" s="55" t="s">
        <v>586</v>
      </c>
      <c r="M60" s="49" t="s">
        <v>586</v>
      </c>
      <c r="N60" s="16"/>
      <c r="O60" s="18"/>
    </row>
    <row r="61" spans="1:15" ht="45" x14ac:dyDescent="0.25">
      <c r="A61" s="142" t="s">
        <v>374</v>
      </c>
      <c r="B61" s="11" t="s">
        <v>587</v>
      </c>
      <c r="C61" s="11" t="s">
        <v>593</v>
      </c>
      <c r="D61" s="48" t="s">
        <v>593</v>
      </c>
      <c r="E61" s="11"/>
      <c r="F61" s="11"/>
      <c r="G61" s="11"/>
      <c r="H61" s="11"/>
      <c r="I61" s="11"/>
      <c r="J61" s="11"/>
      <c r="K61" s="11" t="s">
        <v>598</v>
      </c>
      <c r="L61" s="48" t="s">
        <v>601</v>
      </c>
      <c r="M61" s="48" t="s">
        <v>601</v>
      </c>
      <c r="N61" s="11"/>
      <c r="O61" s="12"/>
    </row>
    <row r="62" spans="1:15" ht="45" x14ac:dyDescent="0.25">
      <c r="A62" s="143"/>
      <c r="B62" s="47" t="s">
        <v>588</v>
      </c>
      <c r="C62" s="47" t="s">
        <v>594</v>
      </c>
      <c r="D62" s="50" t="s">
        <v>594</v>
      </c>
      <c r="E62" s="13"/>
      <c r="F62" s="13"/>
      <c r="G62" s="13"/>
      <c r="H62" s="13"/>
      <c r="I62" s="13"/>
      <c r="J62" s="13"/>
      <c r="K62" s="47" t="s">
        <v>599</v>
      </c>
      <c r="L62" s="47" t="s">
        <v>586</v>
      </c>
      <c r="M62" s="47" t="s">
        <v>586</v>
      </c>
      <c r="N62" s="13"/>
      <c r="O62" s="15"/>
    </row>
    <row r="63" spans="1:15" ht="45" x14ac:dyDescent="0.25">
      <c r="A63" s="143"/>
      <c r="B63" s="13" t="s">
        <v>589</v>
      </c>
      <c r="C63" s="13" t="s">
        <v>595</v>
      </c>
      <c r="D63" s="50" t="s">
        <v>595</v>
      </c>
      <c r="E63" s="13"/>
      <c r="F63" s="13"/>
      <c r="G63" s="13"/>
      <c r="H63" s="13"/>
      <c r="I63" s="13"/>
      <c r="J63" s="13"/>
      <c r="K63" s="46" t="s">
        <v>600</v>
      </c>
      <c r="L63" s="13"/>
      <c r="M63" s="13"/>
      <c r="N63" s="13"/>
      <c r="O63" s="15"/>
    </row>
    <row r="64" spans="1:15" ht="45" x14ac:dyDescent="0.25">
      <c r="A64" s="143"/>
      <c r="B64" s="13" t="s">
        <v>590</v>
      </c>
      <c r="C64" s="13" t="s">
        <v>596</v>
      </c>
      <c r="D64" s="50" t="s">
        <v>596</v>
      </c>
      <c r="E64" s="13"/>
      <c r="F64" s="13"/>
      <c r="G64" s="13"/>
      <c r="H64" s="13"/>
      <c r="I64" s="13"/>
      <c r="J64" s="13"/>
      <c r="K64" s="47" t="s">
        <v>586</v>
      </c>
      <c r="L64" s="13"/>
      <c r="M64" s="13"/>
      <c r="N64" s="13"/>
      <c r="O64" s="15"/>
    </row>
    <row r="65" spans="1:15" ht="75" x14ac:dyDescent="0.25">
      <c r="A65" s="143"/>
      <c r="B65" s="13" t="s">
        <v>591</v>
      </c>
      <c r="C65" s="13" t="s">
        <v>597</v>
      </c>
      <c r="D65" s="47" t="s">
        <v>597</v>
      </c>
      <c r="E65" s="13"/>
      <c r="F65" s="13"/>
      <c r="G65" s="13"/>
      <c r="H65" s="13"/>
      <c r="I65" s="13"/>
      <c r="J65" s="13"/>
      <c r="K65" s="13"/>
      <c r="L65" s="13"/>
      <c r="M65" s="13"/>
      <c r="N65" s="13"/>
      <c r="O65" s="15"/>
    </row>
    <row r="66" spans="1:15" ht="45" x14ac:dyDescent="0.25">
      <c r="A66" s="143"/>
      <c r="B66" s="46" t="s">
        <v>592</v>
      </c>
      <c r="C66" s="13" t="s">
        <v>586</v>
      </c>
      <c r="D66" s="50" t="s">
        <v>586</v>
      </c>
      <c r="E66" s="13"/>
      <c r="F66" s="13"/>
      <c r="G66" s="13"/>
      <c r="H66" s="13"/>
      <c r="I66" s="13"/>
      <c r="J66" s="13"/>
      <c r="K66" s="13"/>
      <c r="L66" s="13"/>
      <c r="M66" s="13"/>
      <c r="N66" s="13"/>
      <c r="O66" s="15"/>
    </row>
    <row r="67" spans="1:15" ht="15.75" thickBot="1" x14ac:dyDescent="0.3">
      <c r="A67" s="144"/>
      <c r="B67" s="16" t="s">
        <v>586</v>
      </c>
      <c r="C67" s="16"/>
      <c r="D67" s="51"/>
      <c r="E67" s="16"/>
      <c r="F67" s="16"/>
      <c r="G67" s="16"/>
      <c r="H67" s="16"/>
      <c r="I67" s="16"/>
      <c r="J67" s="16"/>
      <c r="K67" s="16"/>
      <c r="L67" s="16"/>
      <c r="M67" s="16"/>
      <c r="N67" s="16"/>
      <c r="O67" s="18"/>
    </row>
    <row r="68" spans="1:15" ht="15.75" thickBot="1" x14ac:dyDescent="0.3">
      <c r="A68" s="10" t="s">
        <v>583</v>
      </c>
      <c r="D68" s="57"/>
    </row>
    <row r="69" spans="1:15" ht="30" x14ac:dyDescent="0.25">
      <c r="A69" s="142" t="s">
        <v>375</v>
      </c>
      <c r="B69" s="11" t="s">
        <v>603</v>
      </c>
      <c r="C69" s="11" t="s">
        <v>603</v>
      </c>
      <c r="D69" s="54" t="s">
        <v>603</v>
      </c>
      <c r="E69" s="11"/>
      <c r="F69" s="11"/>
      <c r="G69" s="11"/>
      <c r="H69" s="11"/>
      <c r="I69" s="11"/>
      <c r="J69" s="11"/>
      <c r="K69" s="11" t="s">
        <v>603</v>
      </c>
      <c r="L69" s="11" t="s">
        <v>603</v>
      </c>
      <c r="M69" s="11" t="s">
        <v>603</v>
      </c>
      <c r="N69" s="11"/>
      <c r="O69" s="12" t="s">
        <v>608</v>
      </c>
    </row>
    <row r="70" spans="1:15" ht="30" x14ac:dyDescent="0.25">
      <c r="A70" s="143"/>
      <c r="B70" s="13" t="s">
        <v>604</v>
      </c>
      <c r="C70" s="13" t="s">
        <v>604</v>
      </c>
      <c r="D70" s="50" t="s">
        <v>604</v>
      </c>
      <c r="E70" s="13"/>
      <c r="F70" s="13"/>
      <c r="G70" s="13"/>
      <c r="H70" s="13"/>
      <c r="I70" s="13"/>
      <c r="J70" s="13"/>
      <c r="K70" s="13" t="s">
        <v>604</v>
      </c>
      <c r="L70" s="13" t="s">
        <v>604</v>
      </c>
      <c r="M70" s="13" t="s">
        <v>604</v>
      </c>
      <c r="N70" s="13"/>
      <c r="O70" s="15"/>
    </row>
    <row r="71" spans="1:15" ht="15.75" thickBot="1" x14ac:dyDescent="0.3">
      <c r="A71" s="144"/>
      <c r="B71" s="16" t="s">
        <v>602</v>
      </c>
      <c r="C71" s="16" t="s">
        <v>602</v>
      </c>
      <c r="D71" s="51" t="s">
        <v>602</v>
      </c>
      <c r="E71" s="16"/>
      <c r="F71" s="16"/>
      <c r="G71" s="16"/>
      <c r="H71" s="16"/>
      <c r="I71" s="16"/>
      <c r="J71" s="16"/>
      <c r="K71" s="16" t="s">
        <v>602</v>
      </c>
      <c r="L71" s="16" t="s">
        <v>602</v>
      </c>
      <c r="M71" s="16" t="s">
        <v>602</v>
      </c>
      <c r="N71" s="16"/>
      <c r="O71" s="18"/>
    </row>
    <row r="72" spans="1:15" ht="30" x14ac:dyDescent="0.25">
      <c r="A72" s="142" t="s">
        <v>376</v>
      </c>
      <c r="B72" s="43"/>
      <c r="C72" s="11" t="s">
        <v>605</v>
      </c>
      <c r="D72" s="54" t="s">
        <v>605</v>
      </c>
      <c r="E72" s="11"/>
      <c r="F72" s="11"/>
      <c r="G72" s="11"/>
      <c r="H72" s="11"/>
      <c r="I72" s="11"/>
      <c r="J72" s="11"/>
      <c r="K72" s="11"/>
      <c r="L72" s="11" t="s">
        <v>605</v>
      </c>
      <c r="M72" s="11" t="s">
        <v>605</v>
      </c>
      <c r="N72" s="11"/>
      <c r="O72" s="12"/>
    </row>
    <row r="73" spans="1:15" ht="30" x14ac:dyDescent="0.25">
      <c r="A73" s="143"/>
      <c r="B73" s="14"/>
      <c r="C73" s="13" t="s">
        <v>606</v>
      </c>
      <c r="D73" s="50" t="s">
        <v>606</v>
      </c>
      <c r="E73" s="13"/>
      <c r="F73" s="13"/>
      <c r="G73" s="13"/>
      <c r="H73" s="13"/>
      <c r="I73" s="13"/>
      <c r="J73" s="13"/>
      <c r="K73" s="13"/>
      <c r="L73" s="13" t="s">
        <v>606</v>
      </c>
      <c r="M73" s="13" t="s">
        <v>606</v>
      </c>
      <c r="N73" s="13"/>
      <c r="O73" s="15"/>
    </row>
    <row r="74" spans="1:15" ht="45.75" thickBot="1" x14ac:dyDescent="0.3">
      <c r="A74" s="144"/>
      <c r="B74" s="44"/>
      <c r="C74" s="16" t="s">
        <v>607</v>
      </c>
      <c r="D74" s="51" t="s">
        <v>607</v>
      </c>
      <c r="E74" s="16"/>
      <c r="F74" s="16"/>
      <c r="G74" s="16"/>
      <c r="H74" s="16"/>
      <c r="I74" s="16"/>
      <c r="J74" s="16"/>
      <c r="K74" s="16"/>
      <c r="L74" s="16" t="s">
        <v>607</v>
      </c>
      <c r="M74" s="16" t="s">
        <v>607</v>
      </c>
      <c r="N74" s="16"/>
      <c r="O74" s="18"/>
    </row>
    <row r="75" spans="1:15" ht="30" x14ac:dyDescent="0.25">
      <c r="A75" s="142" t="s">
        <v>377</v>
      </c>
      <c r="B75" s="11" t="s">
        <v>610</v>
      </c>
      <c r="C75" s="11" t="s">
        <v>610</v>
      </c>
      <c r="D75" s="54" t="s">
        <v>610</v>
      </c>
      <c r="E75" s="11"/>
      <c r="F75" s="11"/>
      <c r="G75" s="11"/>
      <c r="H75" s="11"/>
      <c r="I75" s="11"/>
      <c r="J75" s="11"/>
      <c r="K75" s="11" t="s">
        <v>610</v>
      </c>
      <c r="L75" s="11" t="s">
        <v>610</v>
      </c>
      <c r="M75" s="11" t="s">
        <v>610</v>
      </c>
      <c r="N75" s="11"/>
      <c r="O75" s="12"/>
    </row>
    <row r="76" spans="1:15" ht="30" x14ac:dyDescent="0.25">
      <c r="A76" s="143"/>
      <c r="B76" s="13" t="s">
        <v>611</v>
      </c>
      <c r="C76" s="13" t="s">
        <v>611</v>
      </c>
      <c r="D76" s="50" t="s">
        <v>611</v>
      </c>
      <c r="E76" s="13"/>
      <c r="F76" s="13"/>
      <c r="G76" s="13"/>
      <c r="H76" s="13"/>
      <c r="I76" s="13"/>
      <c r="J76" s="13"/>
      <c r="K76" s="13" t="s">
        <v>611</v>
      </c>
      <c r="L76" s="13" t="s">
        <v>611</v>
      </c>
      <c r="M76" s="13" t="s">
        <v>611</v>
      </c>
      <c r="N76" s="13"/>
      <c r="O76" s="15"/>
    </row>
    <row r="77" spans="1:15" ht="30.75" thickBot="1" x14ac:dyDescent="0.3">
      <c r="A77" s="144"/>
      <c r="B77" s="16" t="s">
        <v>612</v>
      </c>
      <c r="C77" s="16" t="s">
        <v>612</v>
      </c>
      <c r="D77" s="51" t="s">
        <v>612</v>
      </c>
      <c r="E77" s="16"/>
      <c r="F77" s="16"/>
      <c r="G77" s="16"/>
      <c r="H77" s="16"/>
      <c r="I77" s="16"/>
      <c r="J77" s="16"/>
      <c r="K77" s="16" t="s">
        <v>612</v>
      </c>
      <c r="L77" s="16" t="s">
        <v>612</v>
      </c>
      <c r="M77" s="16" t="s">
        <v>612</v>
      </c>
      <c r="N77" s="16"/>
      <c r="O77" s="18"/>
    </row>
    <row r="78" spans="1:15" ht="45" x14ac:dyDescent="0.25">
      <c r="A78" s="142" t="s">
        <v>378</v>
      </c>
      <c r="B78" s="11" t="s">
        <v>613</v>
      </c>
      <c r="C78" s="11" t="s">
        <v>614</v>
      </c>
      <c r="D78" s="54" t="s">
        <v>614</v>
      </c>
      <c r="E78" s="11"/>
      <c r="F78" s="11"/>
      <c r="G78" s="11"/>
      <c r="H78" s="11"/>
      <c r="I78" s="11"/>
      <c r="J78" s="11"/>
      <c r="K78" s="11" t="s">
        <v>613</v>
      </c>
      <c r="L78" s="11" t="s">
        <v>614</v>
      </c>
      <c r="M78" s="11" t="s">
        <v>614</v>
      </c>
      <c r="N78" s="11"/>
      <c r="O78" s="12"/>
    </row>
    <row r="79" spans="1:15" ht="45.75" thickBot="1" x14ac:dyDescent="0.3">
      <c r="A79" s="144"/>
      <c r="B79" s="16"/>
      <c r="C79" s="16" t="s">
        <v>615</v>
      </c>
      <c r="D79" s="51" t="s">
        <v>615</v>
      </c>
      <c r="E79" s="16"/>
      <c r="F79" s="16"/>
      <c r="G79" s="16"/>
      <c r="H79" s="16"/>
      <c r="I79" s="16"/>
      <c r="J79" s="16"/>
      <c r="K79" s="16"/>
      <c r="L79" s="16" t="s">
        <v>615</v>
      </c>
      <c r="M79" s="16" t="s">
        <v>615</v>
      </c>
      <c r="N79" s="16"/>
      <c r="O79" s="18"/>
    </row>
    <row r="80" spans="1:15" x14ac:dyDescent="0.25">
      <c r="A80" s="8" t="s">
        <v>379</v>
      </c>
      <c r="D80" s="57"/>
    </row>
    <row r="81" spans="1:15" x14ac:dyDescent="0.25">
      <c r="A81" s="8" t="s">
        <v>380</v>
      </c>
      <c r="D81" s="57"/>
    </row>
    <row r="82" spans="1:15" x14ac:dyDescent="0.25">
      <c r="A82" s="8" t="s">
        <v>381</v>
      </c>
      <c r="D82" s="57"/>
    </row>
    <row r="83" spans="1:15" x14ac:dyDescent="0.25">
      <c r="A83" s="8" t="s">
        <v>382</v>
      </c>
      <c r="D83" s="57"/>
    </row>
    <row r="84" spans="1:15" x14ac:dyDescent="0.25">
      <c r="A84" s="8" t="s">
        <v>383</v>
      </c>
      <c r="D84" s="57"/>
    </row>
    <row r="85" spans="1:15" x14ac:dyDescent="0.25">
      <c r="A85" s="8" t="s">
        <v>384</v>
      </c>
      <c r="D85" s="57"/>
    </row>
    <row r="86" spans="1:15" ht="15.75" thickBot="1" x14ac:dyDescent="0.3">
      <c r="A86" s="8" t="s">
        <v>385</v>
      </c>
      <c r="D86" s="57"/>
    </row>
    <row r="87" spans="1:15" x14ac:dyDescent="0.25">
      <c r="A87" s="142" t="s">
        <v>386</v>
      </c>
      <c r="B87" s="11" t="s">
        <v>616</v>
      </c>
      <c r="C87" s="11" t="s">
        <v>616</v>
      </c>
      <c r="D87" s="54" t="s">
        <v>616</v>
      </c>
      <c r="E87" s="11"/>
      <c r="F87" s="11"/>
      <c r="G87" s="11"/>
      <c r="H87" s="11"/>
      <c r="I87" s="11"/>
      <c r="J87" s="11"/>
      <c r="K87" s="11" t="s">
        <v>616</v>
      </c>
      <c r="L87" s="11" t="s">
        <v>616</v>
      </c>
      <c r="M87" s="11" t="s">
        <v>616</v>
      </c>
      <c r="N87" s="11"/>
      <c r="O87" s="12"/>
    </row>
    <row r="88" spans="1:15" x14ac:dyDescent="0.25">
      <c r="A88" s="143"/>
      <c r="B88" s="13" t="s">
        <v>617</v>
      </c>
      <c r="C88" s="13" t="s">
        <v>617</v>
      </c>
      <c r="D88" s="50" t="s">
        <v>617</v>
      </c>
      <c r="E88" s="13"/>
      <c r="F88" s="13"/>
      <c r="G88" s="13"/>
      <c r="H88" s="13"/>
      <c r="I88" s="13"/>
      <c r="J88" s="13"/>
      <c r="K88" s="13" t="s">
        <v>617</v>
      </c>
      <c r="L88" s="13" t="s">
        <v>617</v>
      </c>
      <c r="M88" s="13" t="s">
        <v>617</v>
      </c>
      <c r="N88" s="13"/>
      <c r="O88" s="15"/>
    </row>
    <row r="89" spans="1:15" ht="15.75" thickBot="1" x14ac:dyDescent="0.3">
      <c r="A89" s="144"/>
      <c r="B89" s="16" t="s">
        <v>618</v>
      </c>
      <c r="C89" s="16" t="s">
        <v>618</v>
      </c>
      <c r="D89" s="16" t="s">
        <v>618</v>
      </c>
      <c r="E89" s="16"/>
      <c r="F89" s="16"/>
      <c r="G89" s="16"/>
      <c r="H89" s="16"/>
      <c r="I89" s="16"/>
      <c r="J89" s="16"/>
      <c r="K89" s="16" t="s">
        <v>618</v>
      </c>
      <c r="L89" s="16" t="s">
        <v>618</v>
      </c>
      <c r="M89" s="16" t="s">
        <v>618</v>
      </c>
      <c r="N89" s="16"/>
      <c r="O89" s="18"/>
    </row>
    <row r="90" spans="1:15" x14ac:dyDescent="0.25">
      <c r="A90" s="8" t="s">
        <v>387</v>
      </c>
    </row>
    <row r="91" spans="1:15" x14ac:dyDescent="0.25">
      <c r="A91" s="8" t="s">
        <v>388</v>
      </c>
    </row>
    <row r="92" spans="1:15" x14ac:dyDescent="0.25">
      <c r="A92" s="8" t="s">
        <v>389</v>
      </c>
    </row>
    <row r="93" spans="1:15" x14ac:dyDescent="0.25">
      <c r="A93" s="8" t="s">
        <v>390</v>
      </c>
    </row>
    <row r="94" spans="1:15" x14ac:dyDescent="0.25">
      <c r="A94" s="8" t="s">
        <v>391</v>
      </c>
    </row>
    <row r="95" spans="1:15" x14ac:dyDescent="0.25">
      <c r="A95" s="8" t="s">
        <v>392</v>
      </c>
    </row>
    <row r="96" spans="1:15" x14ac:dyDescent="0.25">
      <c r="A96" s="8" t="s">
        <v>393</v>
      </c>
    </row>
    <row r="97" spans="1:1" x14ac:dyDescent="0.25">
      <c r="A97" s="8" t="s">
        <v>394</v>
      </c>
    </row>
  </sheetData>
  <mergeCells count="15">
    <mergeCell ref="A38:A43"/>
    <mergeCell ref="A12:A16"/>
    <mergeCell ref="A17:A20"/>
    <mergeCell ref="A21:A28"/>
    <mergeCell ref="A29:A34"/>
    <mergeCell ref="A35:A37"/>
    <mergeCell ref="A75:A77"/>
    <mergeCell ref="A78:A79"/>
    <mergeCell ref="A87:A89"/>
    <mergeCell ref="A44:A46"/>
    <mergeCell ref="A47:A57"/>
    <mergeCell ref="A58:A60"/>
    <mergeCell ref="A61:A67"/>
    <mergeCell ref="A69:A71"/>
    <mergeCell ref="A72:A74"/>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96"/>
  <sheetViews>
    <sheetView workbookViewId="0">
      <selection activeCell="E14" sqref="E14"/>
    </sheetView>
  </sheetViews>
  <sheetFormatPr defaultRowHeight="15" x14ac:dyDescent="0.25"/>
  <cols>
    <col min="1" max="1" width="39.140625" style="8" customWidth="1"/>
    <col min="2" max="2" width="25.140625" style="7" customWidth="1"/>
    <col min="3" max="3" width="25.140625" style="7" bestFit="1" customWidth="1"/>
    <col min="4" max="5" width="25.140625" style="7" customWidth="1"/>
    <col min="6" max="8" width="9.140625" style="8"/>
    <col min="9" max="9" width="16.5703125" style="8" customWidth="1"/>
    <col min="10" max="16384" width="9.140625" style="8"/>
  </cols>
  <sheetData>
    <row r="1" spans="1:9" ht="30" x14ac:dyDescent="0.25">
      <c r="A1" s="6" t="s">
        <v>736</v>
      </c>
      <c r="B1" s="7" t="s">
        <v>395</v>
      </c>
    </row>
    <row r="2" spans="1:9" ht="16.5" thickBot="1" x14ac:dyDescent="0.3">
      <c r="A2" s="8" t="s">
        <v>360</v>
      </c>
      <c r="B2" s="65" t="s">
        <v>738</v>
      </c>
      <c r="C2" s="65" t="s">
        <v>739</v>
      </c>
      <c r="D2" s="65" t="s">
        <v>410</v>
      </c>
      <c r="E2" s="65" t="s">
        <v>740</v>
      </c>
    </row>
    <row r="3" spans="1:9" s="9" customFormat="1" x14ac:dyDescent="0.25">
      <c r="A3" s="28" t="s">
        <v>437</v>
      </c>
      <c r="B3" s="29" t="s">
        <v>433</v>
      </c>
      <c r="C3" s="29" t="s">
        <v>432</v>
      </c>
      <c r="D3" s="29" t="s">
        <v>432</v>
      </c>
      <c r="E3" s="29" t="s">
        <v>432</v>
      </c>
    </row>
    <row r="4" spans="1:9" x14ac:dyDescent="0.25">
      <c r="A4" s="31" t="s">
        <v>398</v>
      </c>
      <c r="B4" s="32"/>
      <c r="C4" s="68"/>
      <c r="D4" s="32"/>
      <c r="E4" s="32"/>
    </row>
    <row r="5" spans="1:9" ht="45" x14ac:dyDescent="0.25">
      <c r="A5" s="31" t="s">
        <v>741</v>
      </c>
      <c r="B5" s="35"/>
      <c r="C5" s="69" t="s">
        <v>742</v>
      </c>
      <c r="D5" s="35"/>
      <c r="E5" s="35"/>
      <c r="I5" s="8" t="s">
        <v>743</v>
      </c>
    </row>
    <row r="6" spans="1:9" ht="60" x14ac:dyDescent="0.25">
      <c r="A6" s="31" t="s">
        <v>361</v>
      </c>
      <c r="B6" s="35" t="s">
        <v>425</v>
      </c>
      <c r="C6" s="35" t="s">
        <v>425</v>
      </c>
      <c r="D6" s="35" t="s">
        <v>425</v>
      </c>
      <c r="E6" s="35" t="s">
        <v>425</v>
      </c>
      <c r="I6" s="8" t="s">
        <v>744</v>
      </c>
    </row>
    <row r="7" spans="1:9" ht="45" x14ac:dyDescent="0.25">
      <c r="A7" s="31" t="s">
        <v>363</v>
      </c>
      <c r="B7" s="35" t="s">
        <v>426</v>
      </c>
      <c r="C7" s="35" t="s">
        <v>426</v>
      </c>
      <c r="D7" s="35" t="s">
        <v>426</v>
      </c>
      <c r="E7" s="35" t="s">
        <v>426</v>
      </c>
    </row>
    <row r="8" spans="1:9" x14ac:dyDescent="0.25">
      <c r="A8" s="31" t="s">
        <v>364</v>
      </c>
      <c r="B8" s="35" t="s">
        <v>427</v>
      </c>
      <c r="C8" s="67" t="s">
        <v>427</v>
      </c>
      <c r="D8" s="67" t="s">
        <v>427</v>
      </c>
      <c r="E8" s="67" t="s">
        <v>427</v>
      </c>
    </row>
    <row r="9" spans="1:9" ht="15.75" thickBot="1" x14ac:dyDescent="0.3">
      <c r="A9" s="40" t="s">
        <v>365</v>
      </c>
      <c r="B9" s="41" t="s">
        <v>428</v>
      </c>
      <c r="C9" s="41" t="s">
        <v>428</v>
      </c>
      <c r="D9" s="41" t="s">
        <v>428</v>
      </c>
      <c r="E9" s="41" t="s">
        <v>428</v>
      </c>
    </row>
    <row r="10" spans="1:9" ht="15.75" thickBot="1" x14ac:dyDescent="0.3">
      <c r="A10" s="10" t="s">
        <v>370</v>
      </c>
    </row>
    <row r="11" spans="1:9" ht="45" x14ac:dyDescent="0.25">
      <c r="A11" s="142" t="s">
        <v>366</v>
      </c>
      <c r="B11" s="11" t="s">
        <v>445</v>
      </c>
      <c r="C11" s="11" t="s">
        <v>445</v>
      </c>
      <c r="D11" s="11" t="s">
        <v>445</v>
      </c>
      <c r="E11" s="11" t="s">
        <v>445</v>
      </c>
      <c r="I11" s="8" t="s">
        <v>737</v>
      </c>
    </row>
    <row r="12" spans="1:9" ht="75" x14ac:dyDescent="0.25">
      <c r="A12" s="143"/>
      <c r="B12" s="66" t="s">
        <v>439</v>
      </c>
      <c r="C12" s="58" t="s">
        <v>440</v>
      </c>
      <c r="D12" s="47" t="s">
        <v>439</v>
      </c>
      <c r="E12" s="47" t="s">
        <v>439</v>
      </c>
    </row>
    <row r="13" spans="1:9" ht="75" x14ac:dyDescent="0.25">
      <c r="A13" s="143"/>
      <c r="B13" s="47" t="s">
        <v>441</v>
      </c>
      <c r="C13" s="46" t="s">
        <v>441</v>
      </c>
      <c r="D13" s="58" t="s">
        <v>440</v>
      </c>
      <c r="E13" s="58" t="s">
        <v>440</v>
      </c>
    </row>
    <row r="14" spans="1:9" ht="60" x14ac:dyDescent="0.25">
      <c r="A14" s="143"/>
      <c r="B14" s="13" t="s">
        <v>446</v>
      </c>
      <c r="C14" s="13" t="s">
        <v>446</v>
      </c>
      <c r="D14" s="47" t="s">
        <v>441</v>
      </c>
      <c r="E14" s="47" t="s">
        <v>441</v>
      </c>
    </row>
    <row r="15" spans="1:9" ht="60.75" thickBot="1" x14ac:dyDescent="0.3">
      <c r="A15" s="144"/>
      <c r="B15" s="16"/>
      <c r="C15" s="17" t="s">
        <v>447</v>
      </c>
      <c r="D15" s="16" t="s">
        <v>446</v>
      </c>
      <c r="E15" s="16" t="s">
        <v>446</v>
      </c>
    </row>
    <row r="16" spans="1:9" x14ac:dyDescent="0.25">
      <c r="A16" s="142" t="s">
        <v>367</v>
      </c>
      <c r="B16" s="48" t="s">
        <v>449</v>
      </c>
      <c r="C16" s="53" t="s">
        <v>455</v>
      </c>
      <c r="D16" s="53" t="s">
        <v>455</v>
      </c>
      <c r="E16" s="53" t="s">
        <v>455</v>
      </c>
    </row>
    <row r="17" spans="1:5" x14ac:dyDescent="0.25">
      <c r="A17" s="143"/>
      <c r="B17" s="13" t="s">
        <v>450</v>
      </c>
      <c r="C17" s="52" t="s">
        <v>456</v>
      </c>
      <c r="D17" s="52" t="s">
        <v>456</v>
      </c>
      <c r="E17" s="52" t="s">
        <v>456</v>
      </c>
    </row>
    <row r="18" spans="1:5" x14ac:dyDescent="0.25">
      <c r="A18" s="143"/>
      <c r="B18" s="13"/>
      <c r="C18" s="52" t="s">
        <v>457</v>
      </c>
      <c r="D18" s="52" t="s">
        <v>457</v>
      </c>
      <c r="E18" s="52" t="s">
        <v>457</v>
      </c>
    </row>
    <row r="19" spans="1:5" ht="15.75" thickBot="1" x14ac:dyDescent="0.3">
      <c r="A19" s="144"/>
      <c r="B19" s="16"/>
      <c r="C19" s="59" t="s">
        <v>458</v>
      </c>
      <c r="D19" s="59" t="s">
        <v>458</v>
      </c>
      <c r="E19" s="59" t="s">
        <v>458</v>
      </c>
    </row>
    <row r="20" spans="1:5" ht="75" x14ac:dyDescent="0.25">
      <c r="A20" s="142" t="s">
        <v>368</v>
      </c>
      <c r="B20" s="48" t="s">
        <v>459</v>
      </c>
      <c r="C20" s="48" t="s">
        <v>474</v>
      </c>
      <c r="D20" s="48" t="s">
        <v>474</v>
      </c>
      <c r="E20" s="48" t="s">
        <v>474</v>
      </c>
    </row>
    <row r="21" spans="1:5" ht="75" x14ac:dyDescent="0.25">
      <c r="A21" s="143"/>
      <c r="B21" s="13" t="s">
        <v>460</v>
      </c>
      <c r="C21" s="13" t="s">
        <v>475</v>
      </c>
      <c r="D21" s="13" t="s">
        <v>475</v>
      </c>
      <c r="E21" s="13" t="s">
        <v>475</v>
      </c>
    </row>
    <row r="22" spans="1:5" ht="60" x14ac:dyDescent="0.25">
      <c r="A22" s="143"/>
      <c r="B22" s="13" t="s">
        <v>461</v>
      </c>
      <c r="C22" s="13"/>
      <c r="D22" s="13"/>
      <c r="E22" s="13"/>
    </row>
    <row r="23" spans="1:5" ht="60" x14ac:dyDescent="0.25">
      <c r="A23" s="143"/>
      <c r="B23" s="13" t="s">
        <v>462</v>
      </c>
      <c r="C23" s="13"/>
      <c r="D23" s="13"/>
      <c r="E23" s="13"/>
    </row>
    <row r="24" spans="1:5" ht="75" x14ac:dyDescent="0.25">
      <c r="A24" s="143"/>
      <c r="B24" s="13" t="s">
        <v>463</v>
      </c>
      <c r="C24" s="13"/>
      <c r="D24" s="13"/>
      <c r="E24" s="13"/>
    </row>
    <row r="25" spans="1:5" ht="75" x14ac:dyDescent="0.25">
      <c r="A25" s="143"/>
      <c r="B25" s="13" t="s">
        <v>464</v>
      </c>
      <c r="C25" s="13"/>
      <c r="D25" s="13"/>
      <c r="E25" s="13"/>
    </row>
    <row r="26" spans="1:5" ht="60" x14ac:dyDescent="0.25">
      <c r="A26" s="143"/>
      <c r="B26" s="13" t="s">
        <v>465</v>
      </c>
      <c r="C26" s="13"/>
      <c r="D26" s="13"/>
      <c r="E26" s="13"/>
    </row>
    <row r="27" spans="1:5" ht="15.75" thickBot="1" x14ac:dyDescent="0.3">
      <c r="A27" s="144"/>
      <c r="B27" s="16"/>
      <c r="C27" s="16"/>
      <c r="D27" s="16"/>
      <c r="E27" s="16"/>
    </row>
    <row r="28" spans="1:5" ht="45" x14ac:dyDescent="0.25">
      <c r="A28" s="142" t="s">
        <v>369</v>
      </c>
      <c r="B28" s="11" t="s">
        <v>476</v>
      </c>
      <c r="C28" s="48" t="s">
        <v>482</v>
      </c>
      <c r="D28" s="48" t="s">
        <v>482</v>
      </c>
      <c r="E28" s="48" t="s">
        <v>482</v>
      </c>
    </row>
    <row r="29" spans="1:5" ht="30" x14ac:dyDescent="0.25">
      <c r="A29" s="143"/>
      <c r="B29" s="13" t="s">
        <v>477</v>
      </c>
      <c r="C29" s="47" t="s">
        <v>483</v>
      </c>
      <c r="D29" s="46" t="s">
        <v>483</v>
      </c>
      <c r="E29" s="46" t="s">
        <v>483</v>
      </c>
    </row>
    <row r="30" spans="1:5" ht="30" x14ac:dyDescent="0.25">
      <c r="A30" s="143"/>
      <c r="B30" s="13" t="s">
        <v>478</v>
      </c>
      <c r="C30" s="13" t="s">
        <v>484</v>
      </c>
      <c r="D30" s="13" t="s">
        <v>484</v>
      </c>
      <c r="E30" s="13" t="s">
        <v>484</v>
      </c>
    </row>
    <row r="31" spans="1:5" ht="30" x14ac:dyDescent="0.25">
      <c r="A31" s="143"/>
      <c r="B31" s="13" t="s">
        <v>479</v>
      </c>
      <c r="C31" s="13" t="s">
        <v>485</v>
      </c>
      <c r="D31" s="13" t="s">
        <v>485</v>
      </c>
      <c r="E31" s="13" t="s">
        <v>485</v>
      </c>
    </row>
    <row r="32" spans="1:5" ht="30" x14ac:dyDescent="0.25">
      <c r="A32" s="143"/>
      <c r="B32" s="47" t="s">
        <v>480</v>
      </c>
      <c r="C32" s="13"/>
      <c r="D32" s="13"/>
      <c r="E32" s="13"/>
    </row>
    <row r="33" spans="1:5" ht="45.75" thickBot="1" x14ac:dyDescent="0.3">
      <c r="A33" s="144"/>
      <c r="B33" s="16" t="s">
        <v>481</v>
      </c>
      <c r="C33" s="16"/>
      <c r="D33" s="16"/>
      <c r="E33" s="16"/>
    </row>
    <row r="34" spans="1:5" x14ac:dyDescent="0.25">
      <c r="A34" s="142" t="s">
        <v>486</v>
      </c>
      <c r="B34" s="48" t="s">
        <v>488</v>
      </c>
      <c r="C34" s="48" t="s">
        <v>494</v>
      </c>
      <c r="D34" s="48" t="s">
        <v>494</v>
      </c>
      <c r="E34" s="48" t="s">
        <v>494</v>
      </c>
    </row>
    <row r="35" spans="1:5" x14ac:dyDescent="0.25">
      <c r="A35" s="143"/>
      <c r="B35" s="47" t="s">
        <v>489</v>
      </c>
      <c r="C35" s="13"/>
      <c r="D35" s="13"/>
      <c r="E35" s="13"/>
    </row>
    <row r="36" spans="1:5" ht="15.75" thickBot="1" x14ac:dyDescent="0.3">
      <c r="A36" s="144"/>
      <c r="B36" s="16" t="s">
        <v>490</v>
      </c>
      <c r="C36" s="16"/>
      <c r="D36" s="16"/>
      <c r="E36" s="16"/>
    </row>
    <row r="37" spans="1:5" ht="60" x14ac:dyDescent="0.25">
      <c r="A37" s="142" t="s">
        <v>487</v>
      </c>
      <c r="B37" s="11" t="s">
        <v>552</v>
      </c>
      <c r="C37" s="48" t="s">
        <v>495</v>
      </c>
      <c r="D37" s="48" t="s">
        <v>495</v>
      </c>
      <c r="E37" s="48" t="s">
        <v>495</v>
      </c>
    </row>
    <row r="38" spans="1:5" ht="60" x14ac:dyDescent="0.25">
      <c r="A38" s="143"/>
      <c r="B38" s="13" t="s">
        <v>553</v>
      </c>
      <c r="C38" s="13"/>
      <c r="D38" s="13"/>
      <c r="E38" s="13"/>
    </row>
    <row r="39" spans="1:5" ht="60" x14ac:dyDescent="0.25">
      <c r="A39" s="143"/>
      <c r="B39" s="13" t="s">
        <v>554</v>
      </c>
      <c r="C39" s="13"/>
      <c r="D39" s="13"/>
      <c r="E39" s="13"/>
    </row>
    <row r="40" spans="1:5" ht="60" x14ac:dyDescent="0.25">
      <c r="A40" s="143"/>
      <c r="B40" s="13" t="s">
        <v>555</v>
      </c>
      <c r="C40" s="13"/>
      <c r="D40" s="13"/>
      <c r="E40" s="13"/>
    </row>
    <row r="41" spans="1:5" ht="45" x14ac:dyDescent="0.25">
      <c r="A41" s="143"/>
      <c r="B41" s="47" t="s">
        <v>556</v>
      </c>
      <c r="C41" s="13"/>
      <c r="D41" s="13"/>
      <c r="E41" s="13"/>
    </row>
    <row r="42" spans="1:5" ht="45.75" thickBot="1" x14ac:dyDescent="0.3">
      <c r="A42" s="144"/>
      <c r="B42" s="49" t="s">
        <v>557</v>
      </c>
      <c r="C42" s="16"/>
      <c r="D42" s="16"/>
      <c r="E42" s="16"/>
    </row>
    <row r="43" spans="1:5" x14ac:dyDescent="0.25">
      <c r="A43" s="142" t="s">
        <v>371</v>
      </c>
      <c r="B43" s="11"/>
      <c r="C43" s="48" t="s">
        <v>564</v>
      </c>
      <c r="D43" s="48" t="s">
        <v>564</v>
      </c>
      <c r="E43" s="48" t="s">
        <v>564</v>
      </c>
    </row>
    <row r="44" spans="1:5" ht="45" x14ac:dyDescent="0.25">
      <c r="A44" s="143"/>
      <c r="B44" s="13"/>
      <c r="C44" s="47" t="s">
        <v>565</v>
      </c>
      <c r="D44" s="13" t="s">
        <v>565</v>
      </c>
      <c r="E44" s="13" t="s">
        <v>565</v>
      </c>
    </row>
    <row r="45" spans="1:5" ht="30.75" thickBot="1" x14ac:dyDescent="0.3">
      <c r="A45" s="144"/>
      <c r="B45" s="16"/>
      <c r="C45" s="49" t="s">
        <v>625</v>
      </c>
      <c r="D45" s="16" t="s">
        <v>625</v>
      </c>
      <c r="E45" s="16" t="s">
        <v>625</v>
      </c>
    </row>
    <row r="46" spans="1:5" ht="45" x14ac:dyDescent="0.25">
      <c r="A46" s="142" t="s">
        <v>372</v>
      </c>
      <c r="B46" s="11" t="s">
        <v>566</v>
      </c>
      <c r="C46" s="11" t="s">
        <v>577</v>
      </c>
      <c r="D46" s="11" t="s">
        <v>577</v>
      </c>
      <c r="E46" s="11" t="s">
        <v>577</v>
      </c>
    </row>
    <row r="47" spans="1:5" ht="45" x14ac:dyDescent="0.25">
      <c r="A47" s="143"/>
      <c r="B47" s="47" t="s">
        <v>567</v>
      </c>
      <c r="C47" s="47" t="s">
        <v>578</v>
      </c>
      <c r="D47" s="47" t="s">
        <v>578</v>
      </c>
      <c r="E47" s="47" t="s">
        <v>578</v>
      </c>
    </row>
    <row r="48" spans="1:5" ht="45" x14ac:dyDescent="0.25">
      <c r="A48" s="143"/>
      <c r="B48" s="13" t="s">
        <v>568</v>
      </c>
      <c r="C48" s="13" t="s">
        <v>579</v>
      </c>
      <c r="D48" s="13" t="s">
        <v>579</v>
      </c>
      <c r="E48" s="13" t="s">
        <v>579</v>
      </c>
    </row>
    <row r="49" spans="1:5" ht="45" x14ac:dyDescent="0.25">
      <c r="A49" s="143"/>
      <c r="B49" s="13" t="s">
        <v>569</v>
      </c>
      <c r="C49" s="13" t="s">
        <v>570</v>
      </c>
      <c r="D49" s="13" t="s">
        <v>570</v>
      </c>
      <c r="E49" s="13" t="s">
        <v>570</v>
      </c>
    </row>
    <row r="50" spans="1:5" ht="45" x14ac:dyDescent="0.25">
      <c r="A50" s="143"/>
      <c r="B50" s="13" t="s">
        <v>570</v>
      </c>
      <c r="C50" s="13" t="s">
        <v>571</v>
      </c>
      <c r="D50" s="13" t="s">
        <v>571</v>
      </c>
      <c r="E50" s="13" t="s">
        <v>571</v>
      </c>
    </row>
    <row r="51" spans="1:5" ht="45" x14ac:dyDescent="0.25">
      <c r="A51" s="143"/>
      <c r="B51" s="13" t="s">
        <v>571</v>
      </c>
      <c r="C51" s="13" t="s">
        <v>573</v>
      </c>
      <c r="D51" s="46" t="s">
        <v>573</v>
      </c>
      <c r="E51" s="46" t="s">
        <v>573</v>
      </c>
    </row>
    <row r="52" spans="1:5" ht="45" x14ac:dyDescent="0.25">
      <c r="A52" s="143"/>
      <c r="B52" s="13" t="s">
        <v>572</v>
      </c>
      <c r="C52" s="13" t="s">
        <v>580</v>
      </c>
      <c r="D52" s="13" t="s">
        <v>580</v>
      </c>
      <c r="E52" s="13" t="s">
        <v>580</v>
      </c>
    </row>
    <row r="53" spans="1:5" ht="45" x14ac:dyDescent="0.25">
      <c r="A53" s="143"/>
      <c r="B53" s="13" t="s">
        <v>573</v>
      </c>
      <c r="C53" s="47" t="s">
        <v>581</v>
      </c>
      <c r="D53" s="13" t="s">
        <v>581</v>
      </c>
      <c r="E53" s="13" t="s">
        <v>581</v>
      </c>
    </row>
    <row r="54" spans="1:5" ht="45" x14ac:dyDescent="0.25">
      <c r="A54" s="143"/>
      <c r="B54" s="13" t="s">
        <v>574</v>
      </c>
      <c r="C54" s="46" t="s">
        <v>582</v>
      </c>
      <c r="D54" s="13" t="s">
        <v>582</v>
      </c>
      <c r="E54" s="13" t="s">
        <v>582</v>
      </c>
    </row>
    <row r="55" spans="1:5" ht="45" x14ac:dyDescent="0.25">
      <c r="A55" s="143"/>
      <c r="B55" s="13" t="s">
        <v>575</v>
      </c>
      <c r="C55" s="13"/>
      <c r="D55" s="13"/>
      <c r="E55" s="13"/>
    </row>
    <row r="56" spans="1:5" ht="45.75" thickBot="1" x14ac:dyDescent="0.3">
      <c r="A56" s="144"/>
      <c r="B56" s="16" t="s">
        <v>576</v>
      </c>
      <c r="C56" s="16"/>
      <c r="D56" s="16"/>
      <c r="E56" s="16"/>
    </row>
    <row r="57" spans="1:5" x14ac:dyDescent="0.25">
      <c r="A57" s="142" t="s">
        <v>373</v>
      </c>
      <c r="B57" s="48" t="s">
        <v>584</v>
      </c>
      <c r="C57" s="48" t="s">
        <v>584</v>
      </c>
      <c r="D57" s="48" t="s">
        <v>584</v>
      </c>
      <c r="E57" s="48" t="s">
        <v>584</v>
      </c>
    </row>
    <row r="58" spans="1:5" ht="30" x14ac:dyDescent="0.25">
      <c r="A58" s="143"/>
      <c r="B58" s="47" t="s">
        <v>585</v>
      </c>
      <c r="C58" s="47" t="s">
        <v>585</v>
      </c>
      <c r="D58" s="47" t="s">
        <v>585</v>
      </c>
      <c r="E58" s="47" t="s">
        <v>585</v>
      </c>
    </row>
    <row r="59" spans="1:5" ht="15.75" thickBot="1" x14ac:dyDescent="0.3">
      <c r="A59" s="144"/>
      <c r="B59" s="16" t="s">
        <v>586</v>
      </c>
      <c r="C59" s="55" t="s">
        <v>586</v>
      </c>
      <c r="D59" s="49" t="s">
        <v>586</v>
      </c>
      <c r="E59" s="49" t="s">
        <v>586</v>
      </c>
    </row>
    <row r="60" spans="1:5" ht="45" x14ac:dyDescent="0.25">
      <c r="A60" s="142" t="s">
        <v>374</v>
      </c>
      <c r="B60" s="11" t="s">
        <v>587</v>
      </c>
      <c r="C60" s="48" t="s">
        <v>601</v>
      </c>
      <c r="D60" s="48" t="s">
        <v>601</v>
      </c>
      <c r="E60" s="48" t="s">
        <v>601</v>
      </c>
    </row>
    <row r="61" spans="1:5" ht="30" x14ac:dyDescent="0.25">
      <c r="A61" s="143"/>
      <c r="B61" s="47" t="s">
        <v>588</v>
      </c>
      <c r="C61" s="47" t="s">
        <v>586</v>
      </c>
      <c r="D61" s="47" t="s">
        <v>586</v>
      </c>
      <c r="E61" s="47" t="s">
        <v>586</v>
      </c>
    </row>
    <row r="62" spans="1:5" ht="30" x14ac:dyDescent="0.25">
      <c r="A62" s="143"/>
      <c r="B62" s="13" t="s">
        <v>589</v>
      </c>
      <c r="C62" s="13"/>
      <c r="D62" s="13"/>
      <c r="E62" s="13"/>
    </row>
    <row r="63" spans="1:5" ht="45" x14ac:dyDescent="0.25">
      <c r="A63" s="143"/>
      <c r="B63" s="13" t="s">
        <v>590</v>
      </c>
      <c r="C63" s="13"/>
      <c r="D63" s="13"/>
      <c r="E63" s="13"/>
    </row>
    <row r="64" spans="1:5" ht="45" x14ac:dyDescent="0.25">
      <c r="A64" s="143"/>
      <c r="B64" s="13" t="s">
        <v>591</v>
      </c>
      <c r="C64" s="13"/>
      <c r="D64" s="13"/>
      <c r="E64" s="13"/>
    </row>
    <row r="65" spans="1:5" ht="45" x14ac:dyDescent="0.25">
      <c r="A65" s="143"/>
      <c r="B65" s="46" t="s">
        <v>592</v>
      </c>
      <c r="C65" s="13"/>
      <c r="D65" s="13"/>
      <c r="E65" s="13"/>
    </row>
    <row r="66" spans="1:5" ht="15.75" thickBot="1" x14ac:dyDescent="0.3">
      <c r="A66" s="144"/>
      <c r="B66" s="16" t="s">
        <v>586</v>
      </c>
      <c r="C66" s="16"/>
      <c r="D66" s="16"/>
      <c r="E66" s="16"/>
    </row>
    <row r="67" spans="1:5" ht="15.75" thickBot="1" x14ac:dyDescent="0.3">
      <c r="A67" s="10" t="s">
        <v>583</v>
      </c>
    </row>
    <row r="68" spans="1:5" ht="30" x14ac:dyDescent="0.25">
      <c r="A68" s="142" t="s">
        <v>375</v>
      </c>
      <c r="B68" s="11" t="s">
        <v>603</v>
      </c>
      <c r="C68" s="11" t="s">
        <v>603</v>
      </c>
      <c r="D68" s="11" t="s">
        <v>603</v>
      </c>
      <c r="E68" s="11" t="s">
        <v>603</v>
      </c>
    </row>
    <row r="69" spans="1:5" ht="30" x14ac:dyDescent="0.25">
      <c r="A69" s="143"/>
      <c r="B69" s="13" t="s">
        <v>604</v>
      </c>
      <c r="C69" s="13" t="s">
        <v>604</v>
      </c>
      <c r="D69" s="13" t="s">
        <v>604</v>
      </c>
      <c r="E69" s="13" t="s">
        <v>604</v>
      </c>
    </row>
    <row r="70" spans="1:5" ht="15.75" thickBot="1" x14ac:dyDescent="0.3">
      <c r="A70" s="144"/>
      <c r="B70" s="16" t="s">
        <v>602</v>
      </c>
      <c r="C70" s="16" t="s">
        <v>602</v>
      </c>
      <c r="D70" s="16" t="s">
        <v>602</v>
      </c>
      <c r="E70" s="16" t="s">
        <v>602</v>
      </c>
    </row>
    <row r="71" spans="1:5" ht="30" x14ac:dyDescent="0.25">
      <c r="A71" s="142" t="s">
        <v>376</v>
      </c>
      <c r="B71" s="43"/>
      <c r="C71" s="11" t="s">
        <v>605</v>
      </c>
      <c r="D71" s="11" t="s">
        <v>605</v>
      </c>
      <c r="E71" s="11" t="s">
        <v>605</v>
      </c>
    </row>
    <row r="72" spans="1:5" ht="30" x14ac:dyDescent="0.25">
      <c r="A72" s="143"/>
      <c r="B72" s="14"/>
      <c r="C72" s="13" t="s">
        <v>606</v>
      </c>
      <c r="D72" s="13" t="s">
        <v>606</v>
      </c>
      <c r="E72" s="13" t="s">
        <v>606</v>
      </c>
    </row>
    <row r="73" spans="1:5" ht="45.75" thickBot="1" x14ac:dyDescent="0.3">
      <c r="A73" s="144"/>
      <c r="B73" s="44"/>
      <c r="C73" s="16" t="s">
        <v>607</v>
      </c>
      <c r="D73" s="16" t="s">
        <v>607</v>
      </c>
      <c r="E73" s="16" t="s">
        <v>607</v>
      </c>
    </row>
    <row r="74" spans="1:5" ht="30" x14ac:dyDescent="0.25">
      <c r="A74" s="142" t="s">
        <v>377</v>
      </c>
      <c r="B74" s="11" t="s">
        <v>610</v>
      </c>
      <c r="C74" s="11" t="s">
        <v>610</v>
      </c>
      <c r="D74" s="11" t="s">
        <v>610</v>
      </c>
      <c r="E74" s="11" t="s">
        <v>610</v>
      </c>
    </row>
    <row r="75" spans="1:5" ht="30" x14ac:dyDescent="0.25">
      <c r="A75" s="143"/>
      <c r="B75" s="13" t="s">
        <v>611</v>
      </c>
      <c r="C75" s="13" t="s">
        <v>611</v>
      </c>
      <c r="D75" s="13" t="s">
        <v>611</v>
      </c>
      <c r="E75" s="13" t="s">
        <v>611</v>
      </c>
    </row>
    <row r="76" spans="1:5" ht="30.75" thickBot="1" x14ac:dyDescent="0.3">
      <c r="A76" s="144"/>
      <c r="B76" s="16" t="s">
        <v>612</v>
      </c>
      <c r="C76" s="16" t="s">
        <v>612</v>
      </c>
      <c r="D76" s="16" t="s">
        <v>612</v>
      </c>
      <c r="E76" s="16" t="s">
        <v>612</v>
      </c>
    </row>
    <row r="77" spans="1:5" ht="45" x14ac:dyDescent="0.25">
      <c r="A77" s="142" t="s">
        <v>378</v>
      </c>
      <c r="B77" s="11" t="s">
        <v>613</v>
      </c>
      <c r="C77" s="11" t="s">
        <v>614</v>
      </c>
      <c r="D77" s="11" t="s">
        <v>614</v>
      </c>
      <c r="E77" s="11" t="s">
        <v>614</v>
      </c>
    </row>
    <row r="78" spans="1:5" ht="45.75" thickBot="1" x14ac:dyDescent="0.3">
      <c r="A78" s="144"/>
      <c r="B78" s="16"/>
      <c r="C78" s="16" t="s">
        <v>615</v>
      </c>
      <c r="D78" s="16" t="s">
        <v>615</v>
      </c>
      <c r="E78" s="16" t="s">
        <v>615</v>
      </c>
    </row>
    <row r="79" spans="1:5" x14ac:dyDescent="0.25">
      <c r="A79" s="8" t="s">
        <v>379</v>
      </c>
    </row>
    <row r="80" spans="1:5" x14ac:dyDescent="0.25">
      <c r="A80" s="8" t="s">
        <v>380</v>
      </c>
    </row>
    <row r="81" spans="1:5" x14ac:dyDescent="0.25">
      <c r="A81" s="8" t="s">
        <v>381</v>
      </c>
    </row>
    <row r="82" spans="1:5" x14ac:dyDescent="0.25">
      <c r="A82" s="8" t="s">
        <v>382</v>
      </c>
    </row>
    <row r="83" spans="1:5" x14ac:dyDescent="0.25">
      <c r="A83" s="8" t="s">
        <v>383</v>
      </c>
    </row>
    <row r="84" spans="1:5" x14ac:dyDescent="0.25">
      <c r="A84" s="8" t="s">
        <v>384</v>
      </c>
    </row>
    <row r="85" spans="1:5" ht="15.75" thickBot="1" x14ac:dyDescent="0.3">
      <c r="A85" s="8" t="s">
        <v>385</v>
      </c>
    </row>
    <row r="86" spans="1:5" x14ac:dyDescent="0.25">
      <c r="A86" s="142" t="s">
        <v>386</v>
      </c>
      <c r="B86" s="11" t="s">
        <v>616</v>
      </c>
      <c r="C86" s="11" t="s">
        <v>616</v>
      </c>
      <c r="D86" s="11" t="s">
        <v>616</v>
      </c>
      <c r="E86" s="11" t="s">
        <v>616</v>
      </c>
    </row>
    <row r="87" spans="1:5" x14ac:dyDescent="0.25">
      <c r="A87" s="143"/>
      <c r="B87" s="13" t="s">
        <v>617</v>
      </c>
      <c r="C87" s="13" t="s">
        <v>617</v>
      </c>
      <c r="D87" s="13" t="s">
        <v>617</v>
      </c>
      <c r="E87" s="13" t="s">
        <v>617</v>
      </c>
    </row>
    <row r="88" spans="1:5" ht="15.75" thickBot="1" x14ac:dyDescent="0.3">
      <c r="A88" s="144"/>
      <c r="B88" s="16" t="s">
        <v>618</v>
      </c>
      <c r="C88" s="16" t="s">
        <v>618</v>
      </c>
      <c r="D88" s="16" t="s">
        <v>618</v>
      </c>
      <c r="E88" s="16" t="s">
        <v>618</v>
      </c>
    </row>
    <row r="89" spans="1:5" x14ac:dyDescent="0.25">
      <c r="A89" s="8" t="s">
        <v>387</v>
      </c>
    </row>
    <row r="90" spans="1:5" x14ac:dyDescent="0.25">
      <c r="A90" s="8" t="s">
        <v>388</v>
      </c>
    </row>
    <row r="91" spans="1:5" x14ac:dyDescent="0.25">
      <c r="A91" s="8" t="s">
        <v>389</v>
      </c>
    </row>
    <row r="92" spans="1:5" x14ac:dyDescent="0.25">
      <c r="A92" s="8" t="s">
        <v>390</v>
      </c>
    </row>
    <row r="93" spans="1:5" x14ac:dyDescent="0.25">
      <c r="A93" s="8" t="s">
        <v>391</v>
      </c>
    </row>
    <row r="94" spans="1:5" x14ac:dyDescent="0.25">
      <c r="A94" s="8" t="s">
        <v>392</v>
      </c>
    </row>
    <row r="95" spans="1:5" x14ac:dyDescent="0.25">
      <c r="A95" s="8" t="s">
        <v>393</v>
      </c>
    </row>
    <row r="96" spans="1:5" x14ac:dyDescent="0.25">
      <c r="A96" s="8" t="s">
        <v>394</v>
      </c>
    </row>
  </sheetData>
  <mergeCells count="15">
    <mergeCell ref="A37:A42"/>
    <mergeCell ref="A11:A15"/>
    <mergeCell ref="A16:A19"/>
    <mergeCell ref="A20:A27"/>
    <mergeCell ref="A28:A33"/>
    <mergeCell ref="A34:A36"/>
    <mergeCell ref="A74:A76"/>
    <mergeCell ref="A77:A78"/>
    <mergeCell ref="A86:A88"/>
    <mergeCell ref="A43:A45"/>
    <mergeCell ref="A46:A56"/>
    <mergeCell ref="A57:A59"/>
    <mergeCell ref="A60:A66"/>
    <mergeCell ref="A68:A70"/>
    <mergeCell ref="A71:A73"/>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6"/>
  <sheetViews>
    <sheetView workbookViewId="0">
      <selection activeCell="A17" sqref="A17"/>
    </sheetView>
  </sheetViews>
  <sheetFormatPr defaultRowHeight="15" x14ac:dyDescent="0.25"/>
  <cols>
    <col min="1" max="1" width="32.28515625" customWidth="1"/>
    <col min="2" max="2" width="18.28515625" bestFit="1" customWidth="1"/>
    <col min="3" max="3" width="19.42578125" bestFit="1" customWidth="1"/>
  </cols>
  <sheetData>
    <row r="1" spans="1:6" x14ac:dyDescent="0.25">
      <c r="A1" t="s">
        <v>360</v>
      </c>
      <c r="B1">
        <v>110</v>
      </c>
      <c r="C1" s="73">
        <v>310</v>
      </c>
      <c r="D1">
        <v>320</v>
      </c>
    </row>
    <row r="2" spans="1:6" x14ac:dyDescent="0.25">
      <c r="A2" t="s">
        <v>796</v>
      </c>
      <c r="B2" t="s">
        <v>798</v>
      </c>
      <c r="C2" t="s">
        <v>799</v>
      </c>
      <c r="F2" t="s">
        <v>797</v>
      </c>
    </row>
    <row r="3" spans="1:6" x14ac:dyDescent="0.25">
      <c r="A3" t="s">
        <v>372</v>
      </c>
      <c r="B3" t="s">
        <v>800</v>
      </c>
    </row>
    <row r="4" spans="1:6" x14ac:dyDescent="0.25">
      <c r="A4" t="s">
        <v>373</v>
      </c>
      <c r="B4" t="s">
        <v>801</v>
      </c>
      <c r="C4" t="s">
        <v>802</v>
      </c>
    </row>
    <row r="5" spans="1:6" x14ac:dyDescent="0.25">
      <c r="A5" t="s">
        <v>374</v>
      </c>
      <c r="B5" t="s">
        <v>803</v>
      </c>
      <c r="C5" t="s">
        <v>802</v>
      </c>
    </row>
    <row r="7" spans="1:6" x14ac:dyDescent="0.25">
      <c r="A7" t="s">
        <v>804</v>
      </c>
    </row>
    <row r="8" spans="1:6" x14ac:dyDescent="0.25">
      <c r="A8" t="s">
        <v>805</v>
      </c>
      <c r="B8" t="s">
        <v>376</v>
      </c>
      <c r="C8" t="s">
        <v>806</v>
      </c>
      <c r="D8" t="s">
        <v>378</v>
      </c>
    </row>
    <row r="9" spans="1:6" x14ac:dyDescent="0.25">
      <c r="A9" t="s">
        <v>807</v>
      </c>
      <c r="B9" t="s">
        <v>540</v>
      </c>
    </row>
    <row r="10" spans="1:6" x14ac:dyDescent="0.25">
      <c r="A10" s="73" t="s">
        <v>808</v>
      </c>
      <c r="B10" t="s">
        <v>702</v>
      </c>
    </row>
    <row r="11" spans="1:6" x14ac:dyDescent="0.25">
      <c r="A11" t="s">
        <v>809</v>
      </c>
      <c r="B11" t="s">
        <v>810</v>
      </c>
    </row>
    <row r="13" spans="1:6" x14ac:dyDescent="0.25">
      <c r="A13" t="s">
        <v>811</v>
      </c>
    </row>
    <row r="15" spans="1:6" x14ac:dyDescent="0.25">
      <c r="A15" s="73" t="s">
        <v>812</v>
      </c>
      <c r="B15" s="73"/>
      <c r="C15" s="73"/>
    </row>
    <row r="16" spans="1:6" x14ac:dyDescent="0.25">
      <c r="A16" t="s">
        <v>813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
  <sheetViews>
    <sheetView zoomScaleNormal="100" workbookViewId="0">
      <selection activeCell="B26" sqref="B26"/>
    </sheetView>
  </sheetViews>
  <sheetFormatPr defaultRowHeight="15" x14ac:dyDescent="0.25"/>
  <cols>
    <col min="1" max="1" width="23" customWidth="1"/>
    <col min="2" max="2" width="105.140625" customWidth="1"/>
    <col min="3" max="3" width="56.7109375" bestFit="1" customWidth="1"/>
  </cols>
  <sheetData>
    <row r="1" spans="1:2" x14ac:dyDescent="0.25">
      <c r="A1" s="60" t="s">
        <v>706</v>
      </c>
    </row>
    <row r="2" spans="1:2" x14ac:dyDescent="0.25">
      <c r="A2" t="s">
        <v>710</v>
      </c>
      <c r="B2" t="s">
        <v>707</v>
      </c>
    </row>
    <row r="3" spans="1:2" x14ac:dyDescent="0.25">
      <c r="A3" t="s">
        <v>366</v>
      </c>
      <c r="B3" t="s">
        <v>708</v>
      </c>
    </row>
    <row r="4" spans="1:2" x14ac:dyDescent="0.25">
      <c r="A4" t="s">
        <v>732</v>
      </c>
      <c r="B4" t="s">
        <v>733</v>
      </c>
    </row>
    <row r="5" spans="1:2" x14ac:dyDescent="0.25">
      <c r="A5" t="s">
        <v>517</v>
      </c>
    </row>
    <row r="6" spans="1:2" x14ac:dyDescent="0.25">
      <c r="A6" t="s">
        <v>734</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election activeCell="K22" sqref="K22"/>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TODO-Priorities</vt:lpstr>
      <vt:lpstr>Item Masters to Create</vt:lpstr>
      <vt:lpstr>Mounting Meeting 11-23-16</vt:lpstr>
      <vt:lpstr>Mounting Standards Table</vt:lpstr>
      <vt:lpstr>Manifold Valves</vt:lpstr>
      <vt:lpstr>Updating instructions</vt:lpstr>
      <vt:lpstr>PT PNs</vt:lpstr>
      <vt:lpstr>PT Help</vt:lpstr>
      <vt:lpstr>DPT Help</vt:lpstr>
      <vt:lpstr>TT Data Updates(610) 11-4-16</vt:lpstr>
      <vt:lpstr>10-20-16 MTG</vt:lpstr>
      <vt:lpstr>Yokogawa Pressure Transmitters</vt:lpstr>
      <vt:lpstr>PT Quotes</vt:lpstr>
      <vt:lpstr>DPT Quotes</vt:lpstr>
      <vt:lpstr>TT Quotes</vt:lpstr>
      <vt:lpstr>Applications</vt:lpstr>
      <vt:lpstr>Counts</vt:lpstr>
      <vt:lpstr>All Yokogawa Transmitters</vt:lpstr>
      <vt:lpstr>Notes</vt:lpstr>
      <vt:lpstr>Pressure Transmitter</vt:lpstr>
      <vt:lpstr>Temperature Transmitter</vt:lpstr>
      <vt:lpstr>Temperature Transmitter Input</vt:lpstr>
      <vt:lpstr>Pressure Transmitter Input</vt:lpstr>
      <vt:lpstr>Differential Pressure Transmit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Tevis Gehr</dc:creator>
  <cp:lastModifiedBy>Tevis Gehr</cp:lastModifiedBy>
  <dcterms:created xsi:type="dcterms:W3CDTF">2016-08-12T14:33:11Z</dcterms:created>
  <dcterms:modified xsi:type="dcterms:W3CDTF">2017-01-17T21:55:09Z</dcterms:modified>
</cp:coreProperties>
</file>