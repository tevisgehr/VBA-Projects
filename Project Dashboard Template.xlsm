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TRANSFER\Tevis Gehr\Dashboard\Final Documents\"/>
    </mc:Choice>
  </mc:AlternateContent>
  <bookViews>
    <workbookView xWindow="0" yWindow="0" windowWidth="19200" windowHeight="7236" activeTab="1"/>
  </bookViews>
  <sheets>
    <sheet name="General Directions" sheetId="9" r:id="rId1"/>
    <sheet name="DASHBOARD" sheetId="2" r:id="rId2"/>
    <sheet name="Schedule" sheetId="4" r:id="rId3"/>
    <sheet name="SDI" sheetId="5" r:id="rId4"/>
    <sheet name="Calculations" sheetId="6" r:id="rId5"/>
  </sheets>
  <functionGroups builtInGroupCount="18"/>
  <definedNames>
    <definedName name="_xlnm.Print_Area" localSheetId="1">DASHBOARD!$A$1:$AP$58</definedName>
    <definedName name="_xlnm.Print_Area" localSheetId="0">'General Directions'!$A$1:$AP$58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9" l="1"/>
  <c r="F30" i="9"/>
  <c r="H27" i="9"/>
  <c r="G32" i="9" s="1"/>
  <c r="F27" i="9"/>
  <c r="H24" i="9"/>
  <c r="D32" i="9" s="1"/>
  <c r="F24" i="9"/>
  <c r="E16" i="2" l="1"/>
  <c r="E15" i="2"/>
  <c r="E14" i="2"/>
  <c r="E13" i="2"/>
  <c r="E12" i="2"/>
  <c r="E11" i="2"/>
  <c r="E10" i="2"/>
  <c r="G32" i="2"/>
  <c r="D32" i="2"/>
  <c r="H30" i="2" l="1"/>
  <c r="F30" i="2"/>
  <c r="H27" i="2"/>
  <c r="F27" i="2"/>
  <c r="H24" i="2"/>
  <c r="F24" i="2"/>
  <c r="E16" i="9" l="1"/>
  <c r="E15" i="9"/>
  <c r="E14" i="9"/>
  <c r="E13" i="9"/>
  <c r="E12" i="9"/>
  <c r="E11" i="9"/>
  <c r="E10" i="9"/>
  <c r="K15" i="6"/>
  <c r="K13" i="6"/>
  <c r="B8" i="6"/>
  <c r="B14" i="6"/>
  <c r="D6" i="6"/>
  <c r="E6" i="6"/>
  <c r="B11" i="6"/>
  <c r="X19" i="2"/>
  <c r="M19" i="2"/>
  <c r="D9" i="6"/>
  <c r="Q48" i="2" s="1"/>
  <c r="B13" i="6"/>
  <c r="K50" i="2" s="1"/>
  <c r="L16" i="6"/>
  <c r="B10" i="6"/>
  <c r="T50" i="2"/>
  <c r="B12" i="6"/>
  <c r="B9" i="6"/>
  <c r="K16" i="6"/>
  <c r="M21" i="2"/>
  <c r="AD36" i="2"/>
  <c r="L14" i="6"/>
  <c r="AD34" i="2" s="1"/>
  <c r="X34" i="2"/>
  <c r="K14" i="6"/>
  <c r="T46" i="2"/>
  <c r="K20" i="2"/>
  <c r="K36" i="2"/>
  <c r="K22" i="2"/>
  <c r="K46" i="2"/>
  <c r="AB20" i="2"/>
  <c r="X21" i="2"/>
  <c r="K19" i="2"/>
  <c r="AD19" i="2"/>
  <c r="M34" i="2"/>
  <c r="Q49" i="2"/>
  <c r="Q45" i="2"/>
  <c r="K47" i="2"/>
  <c r="AD21" i="2"/>
  <c r="L15" i="6"/>
  <c r="K21" i="2"/>
  <c r="X22" i="2"/>
  <c r="AB21" i="2"/>
  <c r="K48" i="2"/>
  <c r="K34" i="2"/>
  <c r="M20" i="2"/>
  <c r="L13" i="6"/>
  <c r="AB36" i="2"/>
  <c r="T49" i="2"/>
  <c r="K49" i="2"/>
  <c r="M22" i="2"/>
  <c r="AD22" i="2"/>
  <c r="X20" i="2"/>
  <c r="AD20" i="2"/>
  <c r="K35" i="2"/>
  <c r="M35" i="2"/>
  <c r="AB35" i="2"/>
  <c r="X35" i="2"/>
  <c r="K33" i="2"/>
  <c r="AD33" i="2"/>
  <c r="AB33" i="2"/>
  <c r="M33" i="2"/>
  <c r="A34" i="2" l="1"/>
  <c r="M36" i="2"/>
  <c r="L7" i="6"/>
  <c r="L3" i="6"/>
  <c r="X27" i="2"/>
  <c r="AB34" i="2"/>
  <c r="L6" i="6"/>
  <c r="AD35" i="2"/>
  <c r="B5" i="6"/>
  <c r="L4" i="6"/>
  <c r="L11" i="6"/>
  <c r="K6" i="6"/>
  <c r="K27" i="2"/>
  <c r="L9" i="6"/>
  <c r="AB24" i="2"/>
  <c r="K5" i="6"/>
  <c r="B6" i="6"/>
  <c r="X23" i="2"/>
  <c r="X26" i="2"/>
  <c r="M27" i="2"/>
  <c r="L12" i="6"/>
  <c r="K43" i="2"/>
  <c r="K31" i="2"/>
  <c r="M12" i="2"/>
  <c r="AD29" i="2"/>
  <c r="AD11" i="2"/>
  <c r="AB32" i="2"/>
  <c r="M11" i="2"/>
  <c r="X29" i="2"/>
  <c r="AD32" i="2"/>
  <c r="K9" i="6"/>
  <c r="AB15" i="2"/>
  <c r="Q42" i="2"/>
  <c r="L5" i="6"/>
  <c r="M25" i="2" s="1"/>
  <c r="AB29" i="2"/>
  <c r="AD12" i="2"/>
  <c r="M23" i="2"/>
  <c r="T43" i="2"/>
  <c r="K23" i="2"/>
  <c r="AB25" i="2"/>
  <c r="K29" i="2"/>
  <c r="K32" i="2"/>
  <c r="AB19" i="2"/>
  <c r="K12" i="6"/>
  <c r="L10" i="6"/>
  <c r="K30" i="2" s="1"/>
  <c r="K11" i="6"/>
  <c r="X17" i="2" s="1"/>
  <c r="K3" i="6"/>
  <c r="B4" i="6"/>
  <c r="AD23" i="2"/>
  <c r="AD17" i="2"/>
  <c r="Q50" i="2"/>
  <c r="L8" i="6"/>
  <c r="AB22" i="2"/>
  <c r="AB26" i="2"/>
  <c r="T48" i="2"/>
  <c r="X15" i="2"/>
  <c r="M26" i="2"/>
  <c r="M30" i="2"/>
  <c r="AD30" i="2"/>
  <c r="M18" i="2"/>
  <c r="K26" i="2"/>
  <c r="X30" i="2"/>
  <c r="K24" i="2"/>
  <c r="K25" i="2"/>
  <c r="AB28" i="2"/>
  <c r="X24" i="2"/>
  <c r="AB18" i="2"/>
  <c r="M31" i="2"/>
  <c r="AD25" i="2"/>
  <c r="X12" i="2"/>
  <c r="M29" i="2"/>
  <c r="X11" i="2"/>
  <c r="X32" i="2"/>
  <c r="K10" i="6"/>
  <c r="D3" i="6"/>
  <c r="M48" i="2"/>
  <c r="B7" i="6"/>
  <c r="AD15" i="2"/>
  <c r="K7" i="6"/>
  <c r="E3" i="6"/>
  <c r="K8" i="6"/>
  <c r="AB17" i="2"/>
  <c r="K45" i="2"/>
  <c r="K42" i="2"/>
  <c r="AB9" i="2"/>
  <c r="AB30" i="2"/>
  <c r="X9" i="2"/>
  <c r="AB23" i="2"/>
  <c r="M13" i="2"/>
  <c r="W46" i="2"/>
  <c r="W49" i="2"/>
  <c r="Q46" i="2"/>
  <c r="X36" i="2"/>
  <c r="X31" i="2"/>
  <c r="AD28" i="2"/>
  <c r="AD27" i="2"/>
  <c r="X25" i="2"/>
  <c r="M50" i="2"/>
  <c r="K17" i="2"/>
  <c r="AD24" i="2"/>
  <c r="M43" i="2"/>
  <c r="X13" i="2"/>
  <c r="W47" i="2"/>
  <c r="AD31" i="2"/>
  <c r="K12" i="2"/>
  <c r="K11" i="2"/>
  <c r="Q47" i="2"/>
  <c r="B3" i="6"/>
  <c r="T45" i="2"/>
  <c r="AD18" i="2"/>
  <c r="AB16" i="2"/>
  <c r="M49" i="2"/>
  <c r="X33" i="2"/>
  <c r="AB27" i="2"/>
  <c r="K4" i="6"/>
  <c r="M17" i="2"/>
  <c r="T47" i="2"/>
  <c r="AD26" i="2"/>
  <c r="M9" i="2"/>
  <c r="M42" i="2"/>
  <c r="T40" i="2"/>
  <c r="AB11" i="2"/>
  <c r="K14" i="2"/>
  <c r="T44" i="2"/>
  <c r="AB31" i="2"/>
  <c r="AB12" i="2"/>
  <c r="M32" i="2"/>
  <c r="K15" i="2"/>
  <c r="X18" i="2"/>
  <c r="K18" i="2"/>
  <c r="AD9" i="2"/>
  <c r="Q41" i="2"/>
  <c r="T41" i="2"/>
  <c r="K41" i="2"/>
  <c r="M28" i="2"/>
  <c r="K28" i="2"/>
  <c r="X28" i="2"/>
  <c r="AD16" i="2"/>
  <c r="M16" i="2"/>
  <c r="K16" i="2"/>
  <c r="X16" i="2"/>
  <c r="M41" i="2"/>
  <c r="M45" i="2"/>
  <c r="M46" i="2"/>
  <c r="M44" i="2"/>
  <c r="M47" i="2"/>
  <c r="Q44" i="2"/>
  <c r="K44" i="2"/>
  <c r="AB13" i="2"/>
  <c r="AD13" i="2"/>
  <c r="K13" i="2"/>
  <c r="W50" i="2"/>
  <c r="W40" i="2"/>
  <c r="W43" i="2"/>
  <c r="W45" i="2"/>
  <c r="W41" i="2"/>
  <c r="W42" i="2"/>
  <c r="W48" i="2"/>
  <c r="W44" i="2"/>
  <c r="X14" i="2"/>
  <c r="AD14" i="2"/>
  <c r="AB14" i="2"/>
  <c r="M14" i="2"/>
  <c r="Q40" i="2"/>
  <c r="M40" i="2"/>
  <c r="K40" i="2"/>
  <c r="X10" i="2"/>
  <c r="M10" i="2"/>
  <c r="K10" i="2"/>
  <c r="AB10" i="2"/>
  <c r="K9" i="2"/>
  <c r="T42" i="2"/>
  <c r="M15" i="2"/>
  <c r="Q43" i="2"/>
  <c r="AD10" i="2"/>
  <c r="M24" i="2"/>
</calcChain>
</file>

<file path=xl/sharedStrings.xml><?xml version="1.0" encoding="utf-8"?>
<sst xmlns="http://schemas.openxmlformats.org/spreadsheetml/2006/main" count="205" uniqueCount="129">
  <si>
    <t>Customer:</t>
  </si>
  <si>
    <t>End User:</t>
  </si>
  <si>
    <t>Item No.:</t>
  </si>
  <si>
    <t>Project Manager:</t>
  </si>
  <si>
    <t>End Location:</t>
  </si>
  <si>
    <t>Engineer:</t>
  </si>
  <si>
    <t>Designer:</t>
  </si>
  <si>
    <t>Doc. Coordinator:</t>
  </si>
  <si>
    <t>Model:</t>
  </si>
  <si>
    <t>Date of Report:</t>
  </si>
  <si>
    <t>%</t>
  </si>
  <si>
    <t>Amount</t>
  </si>
  <si>
    <t>Billed</t>
  </si>
  <si>
    <t>Dates</t>
  </si>
  <si>
    <t>Amount of the PO</t>
  </si>
  <si>
    <t>Customer P.O.:</t>
  </si>
  <si>
    <t>Serial No.:</t>
  </si>
  <si>
    <t>QTR 3/2014</t>
  </si>
  <si>
    <t>QTR 4/ 2014</t>
  </si>
  <si>
    <t>LD's</t>
  </si>
  <si>
    <t>1000 HP</t>
  </si>
  <si>
    <t>2500 HRS</t>
  </si>
  <si>
    <t>Doc Code</t>
  </si>
  <si>
    <t>Documentation Description</t>
  </si>
  <si>
    <t>Current Status</t>
  </si>
  <si>
    <t>Comments</t>
  </si>
  <si>
    <t>Due Date</t>
  </si>
  <si>
    <t>this information</t>
  </si>
  <si>
    <t>Witnessed</t>
  </si>
  <si>
    <t>Non-Witnessed</t>
  </si>
  <si>
    <t>Manually Enter</t>
  </si>
  <si>
    <t xml:space="preserve">holding up the project or topics </t>
  </si>
  <si>
    <t>which need to be discussed with the team</t>
  </si>
  <si>
    <t>UPCOMING DEADLINES</t>
  </si>
  <si>
    <t>PRESSSING ISSUES and ROADBLOCKS</t>
  </si>
  <si>
    <t>Collected</t>
  </si>
  <si>
    <t>PASTE SDI ROWS HERE(NO HEADERS, JUST THE ROWS) - ***PASTE AS VALUES***</t>
  </si>
  <si>
    <t>****DO NOT MOVE COLORED BOXES OR RENAME SHEETS!!****</t>
  </si>
  <si>
    <t>***The yellow fields should update automatically.</t>
  </si>
  <si>
    <t xml:space="preserve"> Doc Status Column #</t>
  </si>
  <si>
    <t>Doc Code Column #</t>
  </si>
  <si>
    <t>Document Desc Colm #</t>
  </si>
  <si>
    <t>SDI Due Date Column#</t>
  </si>
  <si>
    <t>Format</t>
  </si>
  <si>
    <t>*To be Moved*</t>
  </si>
  <si>
    <t>SDI Format:</t>
  </si>
  <si>
    <t>Row</t>
  </si>
  <si>
    <t>Name Column</t>
  </si>
  <si>
    <t>Upcoming</t>
  </si>
  <si>
    <t>Overdue</t>
  </si>
  <si>
    <t>Documents</t>
  </si>
  <si>
    <t>Upcoming Schedule Items:</t>
  </si>
  <si>
    <t>*PASTE SCHEDULE HERE*</t>
  </si>
  <si>
    <t>Comments must be Manually Entered</t>
  </si>
  <si>
    <t>Be sure to clear old commments</t>
  </si>
  <si>
    <t>Manually Enter any topics which are</t>
  </si>
  <si>
    <t>Doc Person Responible Column #</t>
  </si>
  <si>
    <t>Person Responsible</t>
  </si>
  <si>
    <t>Approved</t>
  </si>
  <si>
    <t>Never Been Submitted</t>
  </si>
  <si>
    <t>Submitted</t>
  </si>
  <si>
    <t>% Complete</t>
  </si>
  <si>
    <t>Task Name</t>
  </si>
  <si>
    <t>Duration</t>
  </si>
  <si>
    <t>ACTUAL</t>
  </si>
  <si>
    <t>PREDICTED</t>
  </si>
  <si>
    <t>PROJECT FINICIAL CASH MANAGEMENT</t>
  </si>
  <si>
    <t>DOCUMENTATION STATUS</t>
  </si>
  <si>
    <t>A MONTH AT A GLACE: DOCUMENTATION</t>
  </si>
  <si>
    <t>Elect. Engineer:</t>
  </si>
  <si>
    <t>Bill &amp; Payment Milestones</t>
  </si>
  <si>
    <t>Sched.</t>
  </si>
  <si>
    <t>UNIT</t>
  </si>
  <si>
    <t>KIT</t>
  </si>
  <si>
    <t>Start Date</t>
  </si>
  <si>
    <r>
      <rPr>
        <b/>
        <sz val="8"/>
        <color theme="1"/>
        <rFont val="Arial"/>
        <family val="2"/>
      </rPr>
      <t xml:space="preserve">% per week </t>
    </r>
    <r>
      <rPr>
        <b/>
        <i/>
        <sz val="8"/>
        <color theme="1"/>
        <rFont val="Arial"/>
        <family val="2"/>
      </rPr>
      <t>*</t>
    </r>
  </si>
  <si>
    <t>Finish Date</t>
  </si>
  <si>
    <t>Enter Date</t>
  </si>
  <si>
    <t>Manually</t>
  </si>
  <si>
    <t>information</t>
  </si>
  <si>
    <t>enter</t>
  </si>
  <si>
    <t>enter this</t>
  </si>
  <si>
    <t>this</t>
  </si>
  <si>
    <t>info</t>
  </si>
  <si>
    <t>these</t>
  </si>
  <si>
    <t>dates</t>
  </si>
  <si>
    <t>M.E. RELEASE DATES</t>
  </si>
  <si>
    <t>Enter Project Name</t>
  </si>
  <si>
    <t>% Column</t>
  </si>
  <si>
    <t>Fin Date Column</t>
  </si>
  <si>
    <t>Start Date Col</t>
  </si>
  <si>
    <t>Duration Column</t>
  </si>
  <si>
    <t>Total Documents Required</t>
  </si>
  <si>
    <t>Submitted By Sundyne</t>
  </si>
  <si>
    <t>Being Reviewed By Customer</t>
  </si>
  <si>
    <t>Returned w/ Comments</t>
  </si>
  <si>
    <t>(ENTER TOTAL)</t>
  </si>
  <si>
    <t>(Enter)</t>
  </si>
  <si>
    <t>PROJECT FINANCIAL CASH MANAGEMENT</t>
  </si>
  <si>
    <t>Project Name</t>
  </si>
  <si>
    <t>MM/DD/YY</t>
  </si>
  <si>
    <t>mm/dd/yy</t>
  </si>
  <si>
    <t>*Capped at 5%</t>
  </si>
  <si>
    <t>* Capped at 5%</t>
  </si>
  <si>
    <t>(Enter any additional issues/comments/reminders etc.)</t>
  </si>
  <si>
    <t>PRESSING ISSUES and ROADBLOCKS</t>
  </si>
  <si>
    <t>LOHS FOR CURRENT and UPCOMING QUARTER</t>
  </si>
  <si>
    <t>(Copy Dates Header From LOHS MASTER)</t>
  </si>
  <si>
    <t>(Copy From LOHS MASTER)</t>
  </si>
  <si>
    <t>A MONTH AT A GLANCE: DOCUMENTATION</t>
  </si>
  <si>
    <t>REQUIRED TESTS/INSPECTIONS (ITP)</t>
  </si>
  <si>
    <t>(Enter Non-Witnessed Tests/Inspec.)</t>
  </si>
  <si>
    <t>(Enter Witnessed Tests/Inspec.)</t>
  </si>
  <si>
    <t>This project is</t>
  </si>
  <si>
    <t>LOHS FOR CURRENT and UPCOMMING QUARTER</t>
  </si>
  <si>
    <t>REQUIRED TESTS / INSPECTIONS (ITP)</t>
  </si>
  <si>
    <t xml:space="preserve">          This project is</t>
  </si>
  <si>
    <t>Elec. Engineer</t>
  </si>
  <si>
    <t>Project Manager</t>
  </si>
  <si>
    <t>Doc. Coordinator</t>
  </si>
  <si>
    <t>Design Engineer</t>
  </si>
  <si>
    <t>Unit/Kit Engineer</t>
  </si>
  <si>
    <t>Customer</t>
  </si>
  <si>
    <t>End User</t>
  </si>
  <si>
    <t>End Location</t>
  </si>
  <si>
    <t>Customer P.O.</t>
  </si>
  <si>
    <t>Serial No.</t>
  </si>
  <si>
    <t>Item No.</t>
  </si>
  <si>
    <t>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</si>
</sst>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"/>
    <numFmt numFmtId="165" formatCode="m/d;@"/>
    <numFmt numFmtId="166" formatCode="m/d/yy;@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Calibri"/>
      <family val="2"/>
    </font>
    <font>
      <sz val="11"/>
      <color indexed="8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i/>
      <sz val="8"/>
      <color theme="1"/>
      <name val="Arial"/>
      <family val="2"/>
    </font>
    <font>
      <b/>
      <sz val="8"/>
      <color theme="0"/>
      <name val="Calibri"/>
      <family val="2"/>
      <scheme val="minor"/>
    </font>
    <font>
      <b/>
      <i/>
      <sz val="8"/>
      <color rgb="FFFF0000"/>
      <name val="Arial"/>
      <family val="2"/>
    </font>
    <font>
      <b/>
      <i/>
      <sz val="8"/>
      <color rgb="FFC0000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i/>
      <sz val="18"/>
      <color rgb="FF002060"/>
      <name val="Times New Roman"/>
      <family val="1"/>
    </font>
    <font>
      <b/>
      <sz val="8.5"/>
      <color theme="1"/>
      <name val="Arial"/>
      <family val="2"/>
    </font>
    <font>
      <sz val="8.5"/>
      <name val="Arial"/>
      <family val="2"/>
    </font>
    <font>
      <b/>
      <i/>
      <sz val="18"/>
      <color rgb="FFFF0000"/>
      <name val="Times New Roman"/>
      <family val="1"/>
    </font>
    <font>
      <b/>
      <i/>
      <sz val="8.5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7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7"/>
      <name val="Arial"/>
      <family val="2"/>
    </font>
    <font>
      <b/>
      <sz val="12"/>
      <name val="Arial"/>
      <family val="2"/>
    </font>
    <font>
      <b/>
      <sz val="8"/>
      <color rgb="FFFF0000"/>
      <name val="Calibri"/>
      <family val="2"/>
      <scheme val="minor"/>
    </font>
    <font>
      <b/>
      <sz val="7.5"/>
      <color theme="0"/>
      <name val="Calibri"/>
      <family val="2"/>
      <scheme val="minor"/>
    </font>
    <font>
      <sz val="7.5"/>
      <color theme="1"/>
      <name val="Calibri"/>
      <family val="2"/>
      <scheme val="minor"/>
    </font>
    <font>
      <sz val="7.5"/>
      <color rgb="FFFF0000"/>
      <name val="Calibri"/>
      <family val="2"/>
      <scheme val="minor"/>
    </font>
    <font>
      <b/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D7C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FF0000"/>
        </stop>
      </gradientFill>
    </fill>
  </fills>
  <borders count="7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" fillId="0" borderId="0"/>
    <xf numFmtId="0" fontId="4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44" fontId="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80">
    <xf numFmtId="0" fontId="0" fillId="0" borderId="0" xfId="0"/>
    <xf numFmtId="0" fontId="0" fillId="0" borderId="0" xfId="0"/>
    <xf numFmtId="0" fontId="2" fillId="0" borderId="35" xfId="0" applyFont="1" applyFill="1" applyBorder="1"/>
    <xf numFmtId="0" fontId="2" fillId="0" borderId="42" xfId="0" applyFont="1" applyFill="1" applyBorder="1"/>
    <xf numFmtId="0" fontId="10" fillId="0" borderId="0" xfId="0" applyFont="1" applyAlignment="1"/>
    <xf numFmtId="0" fontId="8" fillId="0" borderId="0" xfId="0" applyNumberFormat="1" applyFont="1" applyFill="1" applyBorder="1" applyAlignment="1" applyProtection="1">
      <alignment horizontal="left"/>
      <protection locked="0"/>
    </xf>
    <xf numFmtId="9" fontId="10" fillId="2" borderId="6" xfId="0" applyNumberFormat="1" applyFont="1" applyFill="1" applyBorder="1" applyAlignment="1">
      <alignment horizontal="center"/>
    </xf>
    <xf numFmtId="9" fontId="10" fillId="2" borderId="19" xfId="0" applyNumberFormat="1" applyFont="1" applyFill="1" applyBorder="1" applyAlignment="1">
      <alignment horizontal="center"/>
    </xf>
    <xf numFmtId="0" fontId="10" fillId="0" borderId="0" xfId="0" applyFont="1" applyBorder="1" applyAlignment="1"/>
    <xf numFmtId="0" fontId="10" fillId="0" borderId="0" xfId="0" applyFont="1"/>
    <xf numFmtId="165" fontId="2" fillId="0" borderId="44" xfId="0" applyNumberFormat="1" applyFont="1" applyFill="1" applyBorder="1" applyAlignment="1">
      <alignment horizontal="center" vertical="center"/>
    </xf>
    <xf numFmtId="165" fontId="2" fillId="4" borderId="32" xfId="0" applyNumberFormat="1" applyFont="1" applyFill="1" applyBorder="1" applyAlignment="1">
      <alignment horizontal="center" vertical="center"/>
    </xf>
    <xf numFmtId="165" fontId="2" fillId="8" borderId="32" xfId="0" applyNumberFormat="1" applyFont="1" applyFill="1" applyBorder="1" applyAlignment="1">
      <alignment horizontal="center" vertical="center"/>
    </xf>
    <xf numFmtId="165" fontId="2" fillId="0" borderId="32" xfId="0" applyNumberFormat="1" applyFont="1" applyFill="1" applyBorder="1" applyAlignment="1">
      <alignment horizontal="center" vertical="center"/>
    </xf>
    <xf numFmtId="165" fontId="2" fillId="0" borderId="33" xfId="0" applyNumberFormat="1" applyFont="1" applyFill="1" applyBorder="1" applyAlignment="1">
      <alignment horizontal="center" vertical="center"/>
    </xf>
    <xf numFmtId="165" fontId="2" fillId="0" borderId="29" xfId="0" applyNumberFormat="1" applyFont="1" applyFill="1" applyBorder="1" applyAlignment="1">
      <alignment horizontal="center" vertical="center"/>
    </xf>
    <xf numFmtId="165" fontId="12" fillId="0" borderId="41" xfId="0" applyNumberFormat="1" applyFont="1" applyFill="1" applyBorder="1" applyAlignment="1">
      <alignment horizontal="left" vertical="center"/>
    </xf>
    <xf numFmtId="165" fontId="2" fillId="0" borderId="34" xfId="0" applyNumberFormat="1" applyFont="1" applyBorder="1" applyAlignment="1">
      <alignment horizontal="left" vertical="center"/>
    </xf>
    <xf numFmtId="165" fontId="2" fillId="0" borderId="34" xfId="0" applyNumberFormat="1" applyFont="1" applyFill="1" applyBorder="1" applyAlignment="1">
      <alignment horizontal="left" vertical="center"/>
    </xf>
    <xf numFmtId="165" fontId="2" fillId="0" borderId="41" xfId="0" applyNumberFormat="1" applyFont="1" applyBorder="1" applyAlignment="1">
      <alignment horizontal="left" vertical="center"/>
    </xf>
    <xf numFmtId="165" fontId="12" fillId="0" borderId="34" xfId="0" applyNumberFormat="1" applyFont="1" applyFill="1" applyBorder="1" applyAlignment="1">
      <alignment horizontal="left" vertical="center"/>
    </xf>
    <xf numFmtId="165" fontId="2" fillId="0" borderId="41" xfId="0" applyNumberFormat="1" applyFont="1" applyFill="1" applyBorder="1" applyAlignment="1">
      <alignment horizontal="left" vertical="center"/>
    </xf>
    <xf numFmtId="165" fontId="2" fillId="0" borderId="37" xfId="0" applyNumberFormat="1" applyFont="1" applyFill="1" applyBorder="1" applyAlignment="1">
      <alignment horizontal="left" vertical="center"/>
    </xf>
    <xf numFmtId="165" fontId="12" fillId="7" borderId="34" xfId="0" applyNumberFormat="1" applyFont="1" applyFill="1" applyBorder="1" applyAlignment="1">
      <alignment horizontal="left" vertical="center"/>
    </xf>
    <xf numFmtId="165" fontId="2" fillId="0" borderId="39" xfId="0" applyNumberFormat="1" applyFont="1" applyFill="1" applyBorder="1" applyAlignment="1">
      <alignment horizontal="left" vertical="center"/>
    </xf>
    <xf numFmtId="165" fontId="12" fillId="3" borderId="34" xfId="0" applyNumberFormat="1" applyFont="1" applyFill="1" applyBorder="1" applyAlignment="1">
      <alignment horizontal="left" vertical="center"/>
    </xf>
    <xf numFmtId="165" fontId="2" fillId="0" borderId="27" xfId="0" applyNumberFormat="1" applyFont="1" applyFill="1" applyBorder="1" applyAlignment="1">
      <alignment horizontal="left" vertical="center"/>
    </xf>
    <xf numFmtId="165" fontId="2" fillId="0" borderId="42" xfId="0" applyNumberFormat="1" applyFont="1" applyFill="1" applyBorder="1" applyAlignment="1">
      <alignment horizontal="left" vertical="center"/>
    </xf>
    <xf numFmtId="165" fontId="2" fillId="0" borderId="35" xfId="0" applyNumberFormat="1" applyFont="1" applyFill="1" applyBorder="1" applyAlignment="1">
      <alignment horizontal="left" vertical="center"/>
    </xf>
    <xf numFmtId="165" fontId="2" fillId="0" borderId="30" xfId="0" applyNumberFormat="1" applyFont="1" applyFill="1" applyBorder="1" applyAlignment="1">
      <alignment horizontal="left" vertical="center"/>
    </xf>
    <xf numFmtId="165" fontId="2" fillId="9" borderId="35" xfId="0" applyNumberFormat="1" applyFont="1" applyFill="1" applyBorder="1" applyAlignment="1">
      <alignment horizontal="left" vertical="center"/>
    </xf>
    <xf numFmtId="165" fontId="2" fillId="0" borderId="35" xfId="0" applyNumberFormat="1" applyFont="1" applyBorder="1" applyAlignment="1">
      <alignment horizontal="left" vertical="center"/>
    </xf>
    <xf numFmtId="165" fontId="2" fillId="0" borderId="38" xfId="0" applyNumberFormat="1" applyFont="1" applyFill="1" applyBorder="1" applyAlignment="1">
      <alignment horizontal="left" vertical="center"/>
    </xf>
    <xf numFmtId="165" fontId="2" fillId="0" borderId="43" xfId="0" applyNumberFormat="1" applyFont="1" applyFill="1" applyBorder="1" applyAlignment="1">
      <alignment horizontal="left" vertical="center"/>
    </xf>
    <xf numFmtId="165" fontId="2" fillId="0" borderId="36" xfId="0" applyNumberFormat="1" applyFont="1" applyFill="1" applyBorder="1" applyAlignment="1">
      <alignment horizontal="left" vertical="center"/>
    </xf>
    <xf numFmtId="165" fontId="2" fillId="5" borderId="43" xfId="0" applyNumberFormat="1" applyFont="1" applyFill="1" applyBorder="1" applyAlignment="1">
      <alignment horizontal="left" vertical="center"/>
    </xf>
    <xf numFmtId="165" fontId="2" fillId="5" borderId="36" xfId="0" applyNumberFormat="1" applyFont="1" applyFill="1" applyBorder="1" applyAlignment="1">
      <alignment horizontal="left" vertical="center"/>
    </xf>
    <xf numFmtId="165" fontId="2" fillId="0" borderId="40" xfId="0" applyNumberFormat="1" applyFont="1" applyFill="1" applyBorder="1" applyAlignment="1">
      <alignment horizontal="left" vertical="center"/>
    </xf>
    <xf numFmtId="165" fontId="2" fillId="0" borderId="28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 applyProtection="1">
      <alignment horizontal="right"/>
      <protection locked="0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left"/>
      <protection locked="0"/>
    </xf>
    <xf numFmtId="9" fontId="10" fillId="2" borderId="3" xfId="0" applyNumberFormat="1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10" fillId="0" borderId="23" xfId="0" applyFont="1" applyBorder="1" applyAlignment="1"/>
    <xf numFmtId="0" fontId="10" fillId="0" borderId="24" xfId="0" applyFont="1" applyBorder="1" applyAlignment="1"/>
    <xf numFmtId="0" fontId="10" fillId="0" borderId="27" xfId="0" applyFont="1" applyBorder="1" applyAlignment="1"/>
    <xf numFmtId="0" fontId="10" fillId="0" borderId="31" xfId="0" applyFont="1" applyBorder="1" applyAlignment="1"/>
    <xf numFmtId="0" fontId="10" fillId="0" borderId="30" xfId="0" applyFont="1" applyBorder="1" applyAlignment="1"/>
    <xf numFmtId="0" fontId="10" fillId="0" borderId="25" xfId="0" applyFont="1" applyBorder="1" applyAlignment="1"/>
    <xf numFmtId="0" fontId="10" fillId="0" borderId="26" xfId="0" applyFont="1" applyBorder="1" applyAlignment="1"/>
    <xf numFmtId="0" fontId="10" fillId="0" borderId="28" xfId="0" applyFont="1" applyBorder="1" applyAlignment="1"/>
    <xf numFmtId="0" fontId="13" fillId="0" borderId="31" xfId="0" applyFont="1" applyBorder="1" applyAlignment="1"/>
    <xf numFmtId="0" fontId="0" fillId="4" borderId="0" xfId="0" applyFill="1"/>
    <xf numFmtId="0" fontId="0" fillId="14" borderId="0" xfId="0" applyFill="1"/>
    <xf numFmtId="0" fontId="13" fillId="0" borderId="0" xfId="0" applyFont="1" applyBorder="1" applyAlignment="1"/>
    <xf numFmtId="0" fontId="0" fillId="8" borderId="57" xfId="0" applyFill="1" applyBorder="1"/>
    <xf numFmtId="0" fontId="0" fillId="8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0" borderId="0" xfId="0" applyNumberFormat="1"/>
    <xf numFmtId="0" fontId="16" fillId="3" borderId="33" xfId="0" applyFont="1" applyFill="1" applyBorder="1"/>
    <xf numFmtId="0" fontId="16" fillId="3" borderId="29" xfId="0" applyFont="1" applyFill="1" applyBorder="1"/>
    <xf numFmtId="0" fontId="16" fillId="3" borderId="61" xfId="0" applyFont="1" applyFill="1" applyBorder="1"/>
    <xf numFmtId="0" fontId="0" fillId="0" borderId="0" xfId="0" applyFill="1" applyBorder="1"/>
    <xf numFmtId="0" fontId="15" fillId="4" borderId="62" xfId="0" applyFont="1" applyFill="1" applyBorder="1"/>
    <xf numFmtId="0" fontId="0" fillId="8" borderId="63" xfId="0" applyFill="1" applyBorder="1"/>
    <xf numFmtId="0" fontId="15" fillId="4" borderId="64" xfId="0" applyFont="1" applyFill="1" applyBorder="1"/>
    <xf numFmtId="0" fontId="0" fillId="0" borderId="0" xfId="0" applyFont="1"/>
    <xf numFmtId="0" fontId="15" fillId="4" borderId="63" xfId="0" applyFont="1" applyFill="1" applyBorder="1"/>
    <xf numFmtId="0" fontId="0" fillId="0" borderId="64" xfId="0" applyFill="1" applyBorder="1"/>
    <xf numFmtId="0" fontId="17" fillId="0" borderId="0" xfId="0" applyFont="1"/>
    <xf numFmtId="0" fontId="18" fillId="0" borderId="0" xfId="0" applyFont="1"/>
    <xf numFmtId="0" fontId="7" fillId="2" borderId="12" xfId="0" applyFont="1" applyFill="1" applyBorder="1" applyAlignment="1">
      <alignment horizontal="center"/>
    </xf>
    <xf numFmtId="0" fontId="10" fillId="0" borderId="0" xfId="0" applyFont="1" applyBorder="1" applyAlignment="1">
      <alignment horizontal="left"/>
    </xf>
    <xf numFmtId="166" fontId="22" fillId="0" borderId="0" xfId="0" applyNumberFormat="1" applyFont="1" applyFill="1" applyBorder="1" applyAlignment="1" applyProtection="1">
      <alignment horizontal="left" vertical="center"/>
      <protection locked="0"/>
    </xf>
    <xf numFmtId="0" fontId="10" fillId="0" borderId="31" xfId="0" applyFont="1" applyBorder="1"/>
    <xf numFmtId="0" fontId="7" fillId="2" borderId="12" xfId="0" applyFont="1" applyFill="1" applyBorder="1" applyAlignment="1">
      <alignment horizontal="center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0" fillId="4" borderId="0" xfId="0" applyFill="1" applyBorder="1"/>
    <xf numFmtId="0" fontId="4" fillId="0" borderId="0" xfId="0" applyFont="1" applyAlignment="1"/>
    <xf numFmtId="0" fontId="10" fillId="4" borderId="0" xfId="0" applyFont="1" applyFill="1"/>
    <xf numFmtId="0" fontId="7" fillId="0" borderId="0" xfId="0" applyFont="1" applyBorder="1" applyAlignment="1"/>
    <xf numFmtId="166" fontId="10" fillId="2" borderId="8" xfId="0" applyNumberFormat="1" applyFont="1" applyFill="1" applyBorder="1" applyAlignment="1">
      <alignment horizontal="center"/>
    </xf>
    <xf numFmtId="166" fontId="10" fillId="2" borderId="47" xfId="0" applyNumberFormat="1" applyFont="1" applyFill="1" applyBorder="1" applyAlignment="1">
      <alignment horizontal="center"/>
    </xf>
    <xf numFmtId="166" fontId="10" fillId="2" borderId="48" xfId="0" applyNumberFormat="1" applyFont="1" applyFill="1" applyBorder="1" applyAlignment="1">
      <alignment horizontal="center"/>
    </xf>
    <xf numFmtId="166" fontId="10" fillId="2" borderId="4" xfId="0" applyNumberFormat="1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166" fontId="10" fillId="2" borderId="9" xfId="0" applyNumberFormat="1" applyFont="1" applyFill="1" applyBorder="1" applyAlignment="1">
      <alignment horizontal="center"/>
    </xf>
    <xf numFmtId="166" fontId="10" fillId="2" borderId="12" xfId="0" applyNumberFormat="1" applyFont="1" applyFill="1" applyBorder="1" applyAlignment="1">
      <alignment horizontal="center"/>
    </xf>
    <xf numFmtId="166" fontId="10" fillId="2" borderId="13" xfId="0" applyNumberFormat="1" applyFont="1" applyFill="1" applyBorder="1" applyAlignment="1">
      <alignment horizontal="center"/>
    </xf>
    <xf numFmtId="166" fontId="10" fillId="2" borderId="10" xfId="0" applyNumberFormat="1" applyFont="1" applyFill="1" applyBorder="1" applyAlignment="1">
      <alignment horizontal="center"/>
    </xf>
    <xf numFmtId="166" fontId="24" fillId="0" borderId="0" xfId="0" applyNumberFormat="1" applyFont="1" applyFill="1" applyBorder="1" applyAlignment="1" applyProtection="1">
      <alignment horizontal="left" vertical="center"/>
      <protection locked="0"/>
    </xf>
    <xf numFmtId="166" fontId="13" fillId="2" borderId="2" xfId="0" applyNumberFormat="1" applyFont="1" applyFill="1" applyBorder="1" applyAlignment="1">
      <alignment horizontal="center"/>
    </xf>
    <xf numFmtId="166" fontId="13" fillId="2" borderId="9" xfId="0" applyNumberFormat="1" applyFont="1" applyFill="1" applyBorder="1" applyAlignment="1">
      <alignment horizontal="center"/>
    </xf>
    <xf numFmtId="0" fontId="26" fillId="0" borderId="24" xfId="0" applyFont="1" applyBorder="1" applyAlignment="1">
      <alignment horizontal="right" wrapText="1"/>
    </xf>
    <xf numFmtId="0" fontId="28" fillId="0" borderId="24" xfId="0" applyFont="1" applyBorder="1" applyAlignment="1">
      <alignment wrapText="1"/>
    </xf>
    <xf numFmtId="0" fontId="29" fillId="0" borderId="27" xfId="0" applyFont="1" applyFill="1" applyBorder="1" applyAlignment="1" applyProtection="1">
      <alignment horizontal="center" vertical="center" wrapText="1"/>
      <protection hidden="1"/>
    </xf>
    <xf numFmtId="165" fontId="33" fillId="0" borderId="35" xfId="0" applyNumberFormat="1" applyFont="1" applyFill="1" applyBorder="1" applyAlignment="1">
      <alignment horizontal="left" vertical="center"/>
    </xf>
    <xf numFmtId="165" fontId="34" fillId="0" borderId="35" xfId="0" applyNumberFormat="1" applyFont="1" applyFill="1" applyBorder="1" applyAlignment="1">
      <alignment horizontal="left" vertical="center"/>
    </xf>
    <xf numFmtId="165" fontId="33" fillId="0" borderId="34" xfId="0" applyNumberFormat="1" applyFont="1" applyFill="1" applyBorder="1" applyAlignment="1">
      <alignment horizontal="left" vertical="center"/>
    </xf>
    <xf numFmtId="165" fontId="34" fillId="0" borderId="42" xfId="0" applyNumberFormat="1" applyFont="1" applyFill="1" applyBorder="1" applyAlignment="1">
      <alignment horizontal="left" vertical="center"/>
    </xf>
    <xf numFmtId="165" fontId="33" fillId="0" borderId="39" xfId="0" applyNumberFormat="1" applyFont="1" applyFill="1" applyBorder="1" applyAlignment="1">
      <alignment horizontal="left" vertical="center"/>
    </xf>
    <xf numFmtId="165" fontId="34" fillId="0" borderId="30" xfId="0" applyNumberFormat="1" applyFont="1" applyFill="1" applyBorder="1" applyAlignment="1">
      <alignment horizontal="left" vertical="center"/>
    </xf>
    <xf numFmtId="165" fontId="34" fillId="0" borderId="0" xfId="0" applyNumberFormat="1" applyFont="1" applyFill="1" applyBorder="1" applyAlignment="1">
      <alignment horizontal="left" vertical="center"/>
    </xf>
    <xf numFmtId="165" fontId="34" fillId="0" borderId="36" xfId="0" applyNumberFormat="1" applyFont="1" applyFill="1" applyBorder="1" applyAlignment="1">
      <alignment horizontal="left" vertical="center"/>
    </xf>
    <xf numFmtId="165" fontId="34" fillId="0" borderId="43" xfId="0" applyNumberFormat="1" applyFont="1" applyFill="1" applyBorder="1" applyAlignment="1">
      <alignment horizontal="left" vertical="center"/>
    </xf>
    <xf numFmtId="165" fontId="34" fillId="0" borderId="28" xfId="0" applyNumberFormat="1" applyFont="1" applyFill="1" applyBorder="1" applyAlignment="1">
      <alignment horizontal="left" vertical="center"/>
    </xf>
    <xf numFmtId="165" fontId="34" fillId="0" borderId="26" xfId="0" applyNumberFormat="1" applyFont="1" applyFill="1" applyBorder="1" applyAlignment="1">
      <alignment horizontal="left" vertical="center"/>
    </xf>
    <xf numFmtId="165" fontId="34" fillId="0" borderId="38" xfId="0" applyNumberFormat="1" applyFont="1" applyFill="1" applyBorder="1" applyAlignment="1">
      <alignment horizontal="left" vertical="center"/>
    </xf>
    <xf numFmtId="165" fontId="34" fillId="0" borderId="40" xfId="0" applyNumberFormat="1" applyFont="1" applyFill="1" applyBorder="1" applyAlignment="1">
      <alignment horizontal="left" vertical="center"/>
    </xf>
    <xf numFmtId="9" fontId="7" fillId="16" borderId="26" xfId="15" applyFont="1" applyFill="1" applyBorder="1" applyAlignment="1"/>
    <xf numFmtId="0" fontId="7" fillId="16" borderId="26" xfId="0" applyFont="1" applyFill="1" applyBorder="1" applyAlignment="1"/>
    <xf numFmtId="9" fontId="7" fillId="18" borderId="26" xfId="15" applyFont="1" applyFill="1" applyBorder="1" applyAlignment="1"/>
    <xf numFmtId="0" fontId="7" fillId="18" borderId="26" xfId="0" applyFont="1" applyFill="1" applyBorder="1" applyAlignment="1"/>
    <xf numFmtId="0" fontId="7" fillId="18" borderId="28" xfId="0" applyFont="1" applyFill="1" applyBorder="1" applyAlignment="1"/>
    <xf numFmtId="165" fontId="33" fillId="0" borderId="41" xfId="0" applyNumberFormat="1" applyFont="1" applyFill="1" applyBorder="1" applyAlignment="1">
      <alignment horizontal="left" vertical="center"/>
    </xf>
    <xf numFmtId="165" fontId="33" fillId="0" borderId="37" xfId="0" applyNumberFormat="1" applyFont="1" applyFill="1" applyBorder="1" applyAlignment="1">
      <alignment horizontal="left" vertical="center"/>
    </xf>
    <xf numFmtId="165" fontId="33" fillId="0" borderId="38" xfId="0" applyNumberFormat="1" applyFont="1" applyFill="1" applyBorder="1" applyAlignment="1">
      <alignment horizontal="left" vertical="center"/>
    </xf>
    <xf numFmtId="165" fontId="33" fillId="0" borderId="27" xfId="0" applyNumberFormat="1" applyFont="1" applyFill="1" applyBorder="1" applyAlignment="1">
      <alignment horizontal="left" vertical="center"/>
    </xf>
    <xf numFmtId="165" fontId="27" fillId="0" borderId="40" xfId="0" applyNumberFormat="1" applyFont="1" applyFill="1" applyBorder="1" applyAlignment="1">
      <alignment horizontal="left" vertical="center"/>
    </xf>
    <xf numFmtId="165" fontId="35" fillId="0" borderId="35" xfId="0" applyNumberFormat="1" applyFont="1" applyFill="1" applyBorder="1" applyAlignment="1">
      <alignment horizontal="left" vertical="center"/>
    </xf>
    <xf numFmtId="9" fontId="9" fillId="2" borderId="3" xfId="0" applyNumberFormat="1" applyFont="1" applyFill="1" applyBorder="1" applyAlignment="1">
      <alignment horizontal="center"/>
    </xf>
    <xf numFmtId="9" fontId="9" fillId="2" borderId="13" xfId="0" applyNumberFormat="1" applyFont="1" applyFill="1" applyBorder="1" applyAlignment="1">
      <alignment horizontal="center"/>
    </xf>
    <xf numFmtId="0" fontId="36" fillId="0" borderId="72" xfId="0" applyFont="1" applyBorder="1" applyAlignment="1">
      <alignment textRotation="90"/>
    </xf>
    <xf numFmtId="0" fontId="7" fillId="4" borderId="25" xfId="0" applyFont="1" applyFill="1" applyBorder="1" applyAlignment="1">
      <alignment horizontal="right"/>
    </xf>
    <xf numFmtId="0" fontId="7" fillId="4" borderId="26" xfId="0" applyFont="1" applyFill="1" applyBorder="1" applyAlignment="1">
      <alignment horizontal="right"/>
    </xf>
    <xf numFmtId="0" fontId="30" fillId="17" borderId="23" xfId="0" applyFont="1" applyFill="1" applyBorder="1" applyAlignment="1">
      <alignment horizontal="center" vertical="center" wrapText="1"/>
    </xf>
    <xf numFmtId="0" fontId="30" fillId="17" borderId="27" xfId="0" applyFont="1" applyFill="1" applyBorder="1" applyAlignment="1">
      <alignment horizontal="center" vertical="center" wrapText="1"/>
    </xf>
    <xf numFmtId="0" fontId="30" fillId="17" borderId="31" xfId="0" applyFont="1" applyFill="1" applyBorder="1" applyAlignment="1">
      <alignment horizontal="center" vertical="center" wrapText="1"/>
    </xf>
    <xf numFmtId="0" fontId="30" fillId="17" borderId="3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27" xfId="0" applyFont="1" applyFill="1" applyBorder="1" applyAlignment="1">
      <alignment horizontal="center" vertical="center" wrapText="1"/>
    </xf>
    <xf numFmtId="0" fontId="26" fillId="18" borderId="31" xfId="0" applyFont="1" applyFill="1" applyBorder="1" applyAlignment="1">
      <alignment horizontal="center" vertical="center" wrapText="1"/>
    </xf>
    <xf numFmtId="0" fontId="26" fillId="18" borderId="30" xfId="0" applyFont="1" applyFill="1" applyBorder="1" applyAlignment="1">
      <alignment horizontal="center" vertical="center" wrapText="1"/>
    </xf>
    <xf numFmtId="0" fontId="31" fillId="17" borderId="25" xfId="0" applyFont="1" applyFill="1" applyBorder="1" applyAlignment="1">
      <alignment horizontal="center" vertical="center" wrapText="1"/>
    </xf>
    <xf numFmtId="0" fontId="31" fillId="17" borderId="28" xfId="0" applyFont="1" applyFill="1" applyBorder="1" applyAlignment="1">
      <alignment horizontal="center" vertical="center" wrapText="1"/>
    </xf>
    <xf numFmtId="0" fontId="28" fillId="18" borderId="25" xfId="0" applyFont="1" applyFill="1" applyBorder="1" applyAlignment="1">
      <alignment horizontal="center" vertical="center" wrapText="1"/>
    </xf>
    <xf numFmtId="0" fontId="28" fillId="18" borderId="28" xfId="0" applyFont="1" applyFill="1" applyBorder="1" applyAlignment="1">
      <alignment horizontal="center" vertical="center" wrapText="1"/>
    </xf>
    <xf numFmtId="0" fontId="26" fillId="4" borderId="23" xfId="0" applyFont="1" applyFill="1" applyBorder="1" applyAlignment="1">
      <alignment horizontal="center" vertical="center" wrapText="1"/>
    </xf>
    <xf numFmtId="0" fontId="26" fillId="4" borderId="27" xfId="0" applyFont="1" applyFill="1" applyBorder="1" applyAlignment="1">
      <alignment horizontal="center" vertical="center" wrapText="1"/>
    </xf>
    <xf numFmtId="0" fontId="26" fillId="4" borderId="31" xfId="0" applyFont="1" applyFill="1" applyBorder="1" applyAlignment="1">
      <alignment horizontal="center" vertical="center" wrapText="1"/>
    </xf>
    <xf numFmtId="0" fontId="26" fillId="4" borderId="30" xfId="0" applyFont="1" applyFill="1" applyBorder="1" applyAlignment="1">
      <alignment horizontal="center" vertical="center" wrapText="1"/>
    </xf>
    <xf numFmtId="0" fontId="26" fillId="19" borderId="23" xfId="0" applyFont="1" applyFill="1" applyBorder="1" applyAlignment="1" applyProtection="1">
      <alignment horizontal="center" vertical="center" wrapText="1"/>
      <protection hidden="1"/>
    </xf>
    <xf numFmtId="0" fontId="26" fillId="19" borderId="27" xfId="0" applyFont="1" applyFill="1" applyBorder="1" applyAlignment="1" applyProtection="1">
      <alignment horizontal="center" vertical="center" wrapText="1"/>
      <protection hidden="1"/>
    </xf>
    <xf numFmtId="0" fontId="26" fillId="19" borderId="31" xfId="0" applyFont="1" applyFill="1" applyBorder="1" applyAlignment="1" applyProtection="1">
      <alignment horizontal="center" vertical="center" wrapText="1"/>
      <protection hidden="1"/>
    </xf>
    <xf numFmtId="0" fontId="26" fillId="19" borderId="30" xfId="0" applyFont="1" applyFill="1" applyBorder="1" applyAlignment="1" applyProtection="1">
      <alignment horizontal="center" vertical="center" wrapText="1"/>
      <protection hidden="1"/>
    </xf>
    <xf numFmtId="0" fontId="28" fillId="4" borderId="25" xfId="0" applyFont="1" applyFill="1" applyBorder="1" applyAlignment="1">
      <alignment horizontal="center" vertical="center" wrapText="1"/>
    </xf>
    <xf numFmtId="0" fontId="28" fillId="4" borderId="28" xfId="0" applyFont="1" applyFill="1" applyBorder="1" applyAlignment="1">
      <alignment horizontal="center" vertical="center" wrapText="1"/>
    </xf>
    <xf numFmtId="0" fontId="29" fillId="19" borderId="25" xfId="0" applyFont="1" applyFill="1" applyBorder="1" applyAlignment="1" applyProtection="1">
      <alignment horizontal="center" vertical="center" wrapText="1"/>
      <protection hidden="1"/>
    </xf>
    <xf numFmtId="0" fontId="29" fillId="19" borderId="28" xfId="0" applyFont="1" applyFill="1" applyBorder="1" applyAlignment="1" applyProtection="1">
      <alignment horizontal="center" vertical="center" wrapText="1"/>
      <protection hidden="1"/>
    </xf>
    <xf numFmtId="0" fontId="8" fillId="0" borderId="56" xfId="0" applyFont="1" applyFill="1" applyBorder="1" applyAlignment="1" applyProtection="1">
      <alignment horizontal="right"/>
      <protection locked="0"/>
    </xf>
    <xf numFmtId="0" fontId="8" fillId="0" borderId="53" xfId="0" applyFont="1" applyFill="1" applyBorder="1" applyAlignment="1" applyProtection="1">
      <alignment horizontal="right"/>
      <protection locked="0"/>
    </xf>
    <xf numFmtId="0" fontId="8" fillId="0" borderId="22" xfId="0" applyFont="1" applyFill="1" applyBorder="1" applyAlignment="1" applyProtection="1">
      <alignment horizontal="right"/>
      <protection locked="0"/>
    </xf>
    <xf numFmtId="0" fontId="7" fillId="0" borderId="26" xfId="0" applyFont="1" applyBorder="1" applyAlignment="1">
      <alignment horizontal="center"/>
    </xf>
    <xf numFmtId="0" fontId="7" fillId="2" borderId="15" xfId="0" applyFont="1" applyFill="1" applyBorder="1" applyAlignment="1">
      <alignment horizontal="left" wrapText="1"/>
    </xf>
    <xf numFmtId="0" fontId="7" fillId="2" borderId="22" xfId="0" applyFont="1" applyFill="1" applyBorder="1" applyAlignment="1">
      <alignment horizontal="left" wrapText="1"/>
    </xf>
    <xf numFmtId="0" fontId="7" fillId="2" borderId="17" xfId="0" applyFont="1" applyFill="1" applyBorder="1" applyAlignment="1">
      <alignment horizontal="left" wrapText="1"/>
    </xf>
    <xf numFmtId="0" fontId="7" fillId="2" borderId="12" xfId="0" applyFont="1" applyFill="1" applyBorder="1" applyAlignment="1">
      <alignment horizontal="left" wrapText="1"/>
    </xf>
    <xf numFmtId="0" fontId="7" fillId="2" borderId="21" xfId="0" applyFont="1" applyFill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21" fillId="0" borderId="30" xfId="0" applyFont="1" applyBorder="1" applyAlignment="1">
      <alignment horizontal="center" vertical="center"/>
    </xf>
    <xf numFmtId="0" fontId="7" fillId="2" borderId="49" xfId="0" applyFont="1" applyFill="1" applyBorder="1" applyAlignment="1">
      <alignment horizontal="center"/>
    </xf>
    <xf numFmtId="0" fontId="7" fillId="2" borderId="32" xfId="0" applyFont="1" applyFill="1" applyBorder="1" applyAlignment="1">
      <alignment horizontal="center"/>
    </xf>
    <xf numFmtId="0" fontId="11" fillId="2" borderId="32" xfId="0" applyFont="1" applyFill="1" applyBorder="1" applyAlignment="1">
      <alignment horizontal="center" vertical="center"/>
    </xf>
    <xf numFmtId="164" fontId="7" fillId="2" borderId="32" xfId="0" applyNumberFormat="1" applyFont="1" applyFill="1" applyBorder="1" applyAlignment="1">
      <alignment horizontal="center"/>
    </xf>
    <xf numFmtId="164" fontId="7" fillId="2" borderId="55" xfId="0" applyNumberFormat="1" applyFont="1" applyFill="1" applyBorder="1" applyAlignment="1">
      <alignment horizontal="center"/>
    </xf>
    <xf numFmtId="0" fontId="11" fillId="0" borderId="0" xfId="0" applyFont="1" applyBorder="1" applyAlignment="1">
      <alignment horizontal="center" vertical="center" wrapText="1"/>
    </xf>
    <xf numFmtId="0" fontId="10" fillId="11" borderId="65" xfId="0" applyFont="1" applyFill="1" applyBorder="1" applyAlignment="1" applyProtection="1">
      <alignment horizontal="center"/>
    </xf>
    <xf numFmtId="0" fontId="10" fillId="11" borderId="66" xfId="0" applyFont="1" applyFill="1" applyBorder="1" applyAlignment="1" applyProtection="1">
      <alignment horizontal="center"/>
    </xf>
    <xf numFmtId="0" fontId="10" fillId="11" borderId="66" xfId="0" applyFont="1" applyFill="1" applyBorder="1" applyAlignment="1" applyProtection="1">
      <alignment horizontal="left"/>
    </xf>
    <xf numFmtId="0" fontId="10" fillId="0" borderId="2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0" fillId="11" borderId="67" xfId="0" applyFont="1" applyFill="1" applyBorder="1" applyAlignment="1" applyProtection="1">
      <alignment horizontal="center"/>
    </xf>
    <xf numFmtId="0" fontId="10" fillId="11" borderId="68" xfId="0" applyFont="1" applyFill="1" applyBorder="1" applyAlignment="1" applyProtection="1">
      <alignment horizontal="center"/>
    </xf>
    <xf numFmtId="0" fontId="10" fillId="11" borderId="69" xfId="0" applyFont="1" applyFill="1" applyBorder="1" applyAlignment="1" applyProtection="1">
      <alignment horizontal="center"/>
    </xf>
    <xf numFmtId="0" fontId="10" fillId="11" borderId="11" xfId="0" applyFont="1" applyFill="1" applyBorder="1" applyAlignment="1" applyProtection="1">
      <alignment horizontal="center"/>
    </xf>
    <xf numFmtId="0" fontId="10" fillId="11" borderId="2" xfId="0" applyFont="1" applyFill="1" applyBorder="1" applyAlignment="1" applyProtection="1">
      <alignment horizontal="center"/>
    </xf>
    <xf numFmtId="0" fontId="10" fillId="11" borderId="2" xfId="0" applyFont="1" applyFill="1" applyBorder="1" applyAlignment="1" applyProtection="1">
      <alignment horizontal="left"/>
    </xf>
    <xf numFmtId="0" fontId="7" fillId="0" borderId="0" xfId="0" applyFont="1" applyBorder="1" applyAlignment="1">
      <alignment horizontal="center"/>
    </xf>
    <xf numFmtId="0" fontId="10" fillId="0" borderId="21" xfId="0" applyFont="1" applyBorder="1" applyAlignment="1">
      <alignment horizontal="left"/>
    </xf>
    <xf numFmtId="0" fontId="10" fillId="0" borderId="53" xfId="0" applyFont="1" applyBorder="1" applyAlignment="1">
      <alignment horizontal="left"/>
    </xf>
    <xf numFmtId="0" fontId="10" fillId="0" borderId="54" xfId="0" applyFont="1" applyBorder="1" applyAlignment="1">
      <alignment horizontal="left"/>
    </xf>
    <xf numFmtId="0" fontId="8" fillId="0" borderId="15" xfId="0" applyFont="1" applyFill="1" applyBorder="1" applyAlignment="1" applyProtection="1">
      <alignment horizontal="right"/>
      <protection locked="0"/>
    </xf>
    <xf numFmtId="0" fontId="8" fillId="0" borderId="14" xfId="0" applyFont="1" applyFill="1" applyBorder="1" applyAlignment="1" applyProtection="1">
      <alignment horizontal="right"/>
      <protection locked="0"/>
    </xf>
    <xf numFmtId="0" fontId="8" fillId="0" borderId="18" xfId="0" applyFont="1" applyFill="1" applyBorder="1" applyAlignment="1" applyProtection="1">
      <alignment horizontal="right"/>
      <protection locked="0"/>
    </xf>
    <xf numFmtId="0" fontId="8" fillId="0" borderId="7" xfId="0" applyFont="1" applyFill="1" applyBorder="1" applyAlignment="1" applyProtection="1">
      <alignment horizontal="right"/>
      <protection locked="0"/>
    </xf>
    <xf numFmtId="0" fontId="8" fillId="0" borderId="4" xfId="0" applyFont="1" applyFill="1" applyBorder="1" applyAlignment="1" applyProtection="1">
      <alignment horizontal="right"/>
      <protection locked="0"/>
    </xf>
    <xf numFmtId="0" fontId="13" fillId="0" borderId="6" xfId="0" applyNumberFormat="1" applyFont="1" applyFill="1" applyBorder="1" applyAlignment="1" applyProtection="1">
      <alignment horizontal="left"/>
      <protection locked="0"/>
    </xf>
    <xf numFmtId="0" fontId="13" fillId="0" borderId="7" xfId="0" applyNumberFormat="1" applyFont="1" applyFill="1" applyBorder="1" applyAlignment="1" applyProtection="1">
      <alignment horizontal="left"/>
      <protection locked="0"/>
    </xf>
    <xf numFmtId="0" fontId="13" fillId="0" borderId="50" xfId="0" applyNumberFormat="1" applyFont="1" applyFill="1" applyBorder="1" applyAlignment="1" applyProtection="1">
      <alignment horizontal="left"/>
      <protection locked="0"/>
    </xf>
    <xf numFmtId="0" fontId="8" fillId="0" borderId="11" xfId="0" applyFont="1" applyFill="1" applyBorder="1" applyAlignment="1" applyProtection="1">
      <alignment horizontal="right"/>
      <protection locked="0"/>
    </xf>
    <xf numFmtId="0" fontId="8" fillId="0" borderId="2" xfId="0" applyFont="1" applyFill="1" applyBorder="1" applyAlignment="1" applyProtection="1">
      <alignment horizontal="right"/>
      <protection locked="0"/>
    </xf>
    <xf numFmtId="0" fontId="13" fillId="0" borderId="6" xfId="0" applyFont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13" fillId="0" borderId="50" xfId="0" applyFont="1" applyBorder="1" applyAlignment="1">
      <alignment horizontal="left"/>
    </xf>
    <xf numFmtId="0" fontId="9" fillId="0" borderId="1" xfId="0" applyNumberFormat="1" applyFont="1" applyFill="1" applyBorder="1" applyAlignment="1" applyProtection="1">
      <alignment horizontal="left"/>
      <protection locked="0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9" fillId="0" borderId="30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Alignment="1">
      <alignment horizontal="right" vertical="center"/>
    </xf>
    <xf numFmtId="0" fontId="8" fillId="0" borderId="17" xfId="0" applyFont="1" applyFill="1" applyBorder="1" applyAlignment="1" applyProtection="1">
      <alignment horizontal="right"/>
      <protection locked="0"/>
    </xf>
    <xf numFmtId="0" fontId="8" fillId="0" borderId="13" xfId="0" applyFont="1" applyFill="1" applyBorder="1" applyAlignment="1" applyProtection="1">
      <alignment horizontal="right"/>
      <protection locked="0"/>
    </xf>
    <xf numFmtId="0" fontId="10" fillId="0" borderId="13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0" fontId="9" fillId="0" borderId="19" xfId="0" applyNumberFormat="1" applyFont="1" applyFill="1" applyBorder="1" applyAlignment="1" applyProtection="1">
      <alignment horizontal="left"/>
      <protection locked="0"/>
    </xf>
    <xf numFmtId="0" fontId="9" fillId="0" borderId="20" xfId="0" applyNumberFormat="1" applyFont="1" applyFill="1" applyBorder="1" applyAlignment="1" applyProtection="1">
      <alignment horizontal="left"/>
      <protection locked="0"/>
    </xf>
    <xf numFmtId="0" fontId="9" fillId="0" borderId="12" xfId="0" applyNumberFormat="1" applyFont="1" applyFill="1" applyBorder="1" applyAlignment="1" applyProtection="1">
      <alignment horizontal="left"/>
      <protection locked="0"/>
    </xf>
    <xf numFmtId="0" fontId="8" fillId="0" borderId="13" xfId="0" applyFont="1" applyFill="1" applyBorder="1" applyAlignment="1" applyProtection="1">
      <alignment horizontal="left"/>
      <protection locked="0"/>
    </xf>
    <xf numFmtId="0" fontId="9" fillId="0" borderId="19" xfId="0" applyFont="1" applyFill="1" applyBorder="1" applyAlignment="1" applyProtection="1">
      <alignment horizontal="left"/>
      <protection locked="0"/>
    </xf>
    <xf numFmtId="0" fontId="9" fillId="0" borderId="20" xfId="0" applyFont="1" applyFill="1" applyBorder="1" applyAlignment="1" applyProtection="1">
      <alignment horizontal="left"/>
      <protection locked="0"/>
    </xf>
    <xf numFmtId="0" fontId="9" fillId="0" borderId="51" xfId="0" applyFont="1" applyFill="1" applyBorder="1" applyAlignment="1" applyProtection="1">
      <alignment horizontal="left"/>
      <protection locked="0"/>
    </xf>
    <xf numFmtId="0" fontId="23" fillId="0" borderId="0" xfId="0" applyFont="1" applyAlignment="1">
      <alignment horizontal="right"/>
    </xf>
    <xf numFmtId="0" fontId="9" fillId="0" borderId="3" xfId="0" applyNumberFormat="1" applyFont="1" applyFill="1" applyBorder="1" applyAlignment="1" applyProtection="1">
      <alignment horizontal="left"/>
      <protection locked="0"/>
    </xf>
    <xf numFmtId="0" fontId="9" fillId="0" borderId="5" xfId="0" applyNumberFormat="1" applyFont="1" applyFill="1" applyBorder="1" applyAlignment="1" applyProtection="1">
      <alignment horizontal="left"/>
      <protection locked="0"/>
    </xf>
    <xf numFmtId="0" fontId="9" fillId="0" borderId="8" xfId="0" applyNumberFormat="1" applyFont="1" applyFill="1" applyBorder="1" applyAlignment="1" applyProtection="1">
      <alignment horizontal="left"/>
      <protection locked="0"/>
    </xf>
    <xf numFmtId="0" fontId="8" fillId="0" borderId="47" xfId="0" applyFont="1" applyFill="1" applyBorder="1" applyAlignment="1" applyProtection="1">
      <alignment horizontal="left"/>
      <protection locked="0"/>
    </xf>
    <xf numFmtId="0" fontId="7" fillId="11" borderId="52" xfId="0" applyFont="1" applyFill="1" applyBorder="1" applyAlignment="1">
      <alignment horizontal="center"/>
    </xf>
    <xf numFmtId="0" fontId="7" fillId="11" borderId="29" xfId="0" applyFont="1" applyFill="1" applyBorder="1" applyAlignment="1">
      <alignment horizontal="center"/>
    </xf>
    <xf numFmtId="0" fontId="7" fillId="11" borderId="44" xfId="0" applyFont="1" applyFill="1" applyBorder="1" applyAlignment="1">
      <alignment horizontal="center"/>
    </xf>
    <xf numFmtId="0" fontId="7" fillId="11" borderId="52" xfId="0" applyFont="1" applyFill="1" applyBorder="1" applyAlignment="1">
      <alignment horizontal="left"/>
    </xf>
    <xf numFmtId="0" fontId="7" fillId="11" borderId="29" xfId="0" applyFont="1" applyFill="1" applyBorder="1" applyAlignment="1">
      <alignment horizontal="left"/>
    </xf>
    <xf numFmtId="0" fontId="7" fillId="11" borderId="33" xfId="0" applyFont="1" applyFill="1" applyBorder="1" applyAlignment="1">
      <alignment horizontal="left"/>
    </xf>
    <xf numFmtId="0" fontId="10" fillId="11" borderId="15" xfId="0" applyFont="1" applyFill="1" applyBorder="1" applyAlignment="1" applyProtection="1">
      <alignment horizontal="center"/>
    </xf>
    <xf numFmtId="0" fontId="10" fillId="11" borderId="14" xfId="0" applyFont="1" applyFill="1" applyBorder="1" applyAlignment="1" applyProtection="1">
      <alignment horizontal="center"/>
    </xf>
    <xf numFmtId="0" fontId="10" fillId="11" borderId="14" xfId="0" applyFont="1" applyFill="1" applyBorder="1" applyAlignment="1" applyProtection="1">
      <alignment horizontal="left"/>
    </xf>
    <xf numFmtId="0" fontId="10" fillId="11" borderId="21" xfId="0" applyFont="1" applyFill="1" applyBorder="1" applyAlignment="1" applyProtection="1">
      <alignment horizontal="center"/>
    </xf>
    <xf numFmtId="0" fontId="10" fillId="11" borderId="53" xfId="0" applyFont="1" applyFill="1" applyBorder="1" applyAlignment="1" applyProtection="1">
      <alignment horizontal="center"/>
    </xf>
    <xf numFmtId="0" fontId="10" fillId="11" borderId="22" xfId="0" applyFont="1" applyFill="1" applyBorder="1" applyAlignment="1" applyProtection="1">
      <alignment horizontal="center"/>
    </xf>
    <xf numFmtId="14" fontId="10" fillId="11" borderId="21" xfId="0" applyNumberFormat="1" applyFont="1" applyFill="1" applyBorder="1" applyAlignment="1" applyProtection="1">
      <alignment horizontal="center"/>
    </xf>
    <xf numFmtId="14" fontId="10" fillId="11" borderId="22" xfId="0" applyNumberFormat="1" applyFont="1" applyFill="1" applyBorder="1" applyAlignment="1" applyProtection="1">
      <alignment horizontal="center"/>
    </xf>
    <xf numFmtId="0" fontId="10" fillId="11" borderId="14" xfId="0" applyFont="1" applyFill="1" applyBorder="1" applyAlignment="1">
      <alignment horizontal="center"/>
    </xf>
    <xf numFmtId="0" fontId="10" fillId="11" borderId="16" xfId="0" applyFont="1" applyFill="1" applyBorder="1" applyAlignment="1">
      <alignment horizontal="center"/>
    </xf>
    <xf numFmtId="0" fontId="7" fillId="11" borderId="49" xfId="0" applyFont="1" applyFill="1" applyBorder="1" applyAlignment="1">
      <alignment horizontal="center"/>
    </xf>
    <xf numFmtId="0" fontId="7" fillId="11" borderId="32" xfId="0" applyFont="1" applyFill="1" applyBorder="1" applyAlignment="1">
      <alignment horizontal="center"/>
    </xf>
    <xf numFmtId="0" fontId="7" fillId="11" borderId="32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left"/>
    </xf>
    <xf numFmtId="0" fontId="10" fillId="2" borderId="7" xfId="0" applyFont="1" applyFill="1" applyBorder="1" applyAlignment="1">
      <alignment horizontal="left"/>
    </xf>
    <xf numFmtId="164" fontId="10" fillId="2" borderId="6" xfId="0" applyNumberFormat="1" applyFont="1" applyFill="1" applyBorder="1" applyAlignment="1">
      <alignment horizontal="center"/>
    </xf>
    <xf numFmtId="164" fontId="10" fillId="2" borderId="4" xfId="0" applyNumberFormat="1" applyFont="1" applyFill="1" applyBorder="1" applyAlignment="1">
      <alignment horizontal="center"/>
    </xf>
    <xf numFmtId="0" fontId="10" fillId="11" borderId="6" xfId="0" applyFont="1" applyFill="1" applyBorder="1" applyAlignment="1" applyProtection="1">
      <alignment horizontal="center"/>
    </xf>
    <xf numFmtId="0" fontId="10" fillId="11" borderId="7" xfId="0" applyFont="1" applyFill="1" applyBorder="1" applyAlignment="1" applyProtection="1">
      <alignment horizontal="center"/>
    </xf>
    <xf numFmtId="0" fontId="10" fillId="11" borderId="4" xfId="0" applyFont="1" applyFill="1" applyBorder="1" applyAlignment="1" applyProtection="1">
      <alignment horizontal="center"/>
    </xf>
    <xf numFmtId="14" fontId="10" fillId="11" borderId="6" xfId="0" applyNumberFormat="1" applyFont="1" applyFill="1" applyBorder="1" applyAlignment="1" applyProtection="1">
      <alignment horizontal="center"/>
    </xf>
    <xf numFmtId="14" fontId="10" fillId="11" borderId="4" xfId="0" applyNumberFormat="1" applyFont="1" applyFill="1" applyBorder="1" applyAlignment="1" applyProtection="1">
      <alignment horizontal="center"/>
    </xf>
    <xf numFmtId="0" fontId="10" fillId="2" borderId="46" xfId="0" applyFont="1" applyFill="1" applyBorder="1" applyAlignment="1">
      <alignment horizontal="left"/>
    </xf>
    <xf numFmtId="0" fontId="10" fillId="2" borderId="5" xfId="0" applyFont="1" applyFill="1" applyBorder="1" applyAlignment="1">
      <alignment horizontal="left"/>
    </xf>
    <xf numFmtId="164" fontId="10" fillId="2" borderId="21" xfId="0" applyNumberFormat="1" applyFont="1" applyFill="1" applyBorder="1" applyAlignment="1">
      <alignment horizontal="center"/>
    </xf>
    <xf numFmtId="164" fontId="10" fillId="2" borderId="22" xfId="0" applyNumberFormat="1" applyFont="1" applyFill="1" applyBorder="1" applyAlignment="1">
      <alignment horizontal="center"/>
    </xf>
    <xf numFmtId="0" fontId="10" fillId="11" borderId="6" xfId="0" applyFont="1" applyFill="1" applyBorder="1" applyAlignment="1" applyProtection="1">
      <alignment horizontal="left"/>
    </xf>
    <xf numFmtId="0" fontId="10" fillId="11" borderId="7" xfId="0" applyFont="1" applyFill="1" applyBorder="1" applyAlignment="1" applyProtection="1">
      <alignment horizontal="left"/>
    </xf>
    <xf numFmtId="0" fontId="10" fillId="11" borderId="4" xfId="0" applyFont="1" applyFill="1" applyBorder="1" applyAlignment="1" applyProtection="1">
      <alignment horizontal="left"/>
    </xf>
    <xf numFmtId="0" fontId="13" fillId="11" borderId="6" xfId="0" applyFont="1" applyFill="1" applyBorder="1" applyAlignment="1">
      <alignment horizontal="center"/>
    </xf>
    <xf numFmtId="0" fontId="13" fillId="11" borderId="7" xfId="0" applyFont="1" applyFill="1" applyBorder="1" applyAlignment="1">
      <alignment horizontal="center"/>
    </xf>
    <xf numFmtId="0" fontId="13" fillId="11" borderId="50" xfId="0" applyFont="1" applyFill="1" applyBorder="1" applyAlignment="1">
      <alignment horizontal="center"/>
    </xf>
    <xf numFmtId="0" fontId="10" fillId="2" borderId="18" xfId="0" applyFont="1" applyFill="1" applyBorder="1" applyAlignment="1">
      <alignment horizontal="left"/>
    </xf>
    <xf numFmtId="0" fontId="11" fillId="0" borderId="0" xfId="0" applyFont="1" applyBorder="1" applyAlignment="1">
      <alignment horizontal="right" vertical="top"/>
    </xf>
    <xf numFmtId="164" fontId="13" fillId="0" borderId="0" xfId="0" applyNumberFormat="1" applyFont="1" applyBorder="1" applyAlignment="1">
      <alignment horizontal="center" vertical="top"/>
    </xf>
    <xf numFmtId="0" fontId="10" fillId="2" borderId="45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164" fontId="10" fillId="2" borderId="19" xfId="0" applyNumberFormat="1" applyFont="1" applyFill="1" applyBorder="1" applyAlignment="1">
      <alignment horizontal="center"/>
    </xf>
    <xf numFmtId="164" fontId="10" fillId="2" borderId="12" xfId="0" applyNumberFormat="1" applyFont="1" applyFill="1" applyBorder="1" applyAlignment="1">
      <alignment horizontal="center"/>
    </xf>
    <xf numFmtId="14" fontId="10" fillId="11" borderId="67" xfId="0" applyNumberFormat="1" applyFont="1" applyFill="1" applyBorder="1" applyAlignment="1" applyProtection="1">
      <alignment horizontal="center"/>
    </xf>
    <xf numFmtId="14" fontId="10" fillId="11" borderId="69" xfId="0" applyNumberFormat="1" applyFont="1" applyFill="1" applyBorder="1" applyAlignment="1" applyProtection="1">
      <alignment horizontal="center"/>
    </xf>
    <xf numFmtId="0" fontId="10" fillId="11" borderId="66" xfId="0" applyFont="1" applyFill="1" applyBorder="1" applyAlignment="1">
      <alignment horizontal="center"/>
    </xf>
    <xf numFmtId="0" fontId="7" fillId="11" borderId="66" xfId="0" applyFont="1" applyFill="1" applyBorder="1" applyAlignment="1">
      <alignment horizontal="center"/>
    </xf>
    <xf numFmtId="0" fontId="7" fillId="11" borderId="70" xfId="0" applyFont="1" applyFill="1" applyBorder="1" applyAlignment="1">
      <alignment horizontal="center"/>
    </xf>
    <xf numFmtId="166" fontId="13" fillId="2" borderId="61" xfId="0" applyNumberFormat="1" applyFont="1" applyFill="1" applyBorder="1" applyAlignment="1">
      <alignment horizontal="center"/>
    </xf>
    <xf numFmtId="166" fontId="13" fillId="2" borderId="44" xfId="0" applyNumberFormat="1" applyFont="1" applyFill="1" applyBorder="1" applyAlignment="1">
      <alignment horizontal="center"/>
    </xf>
    <xf numFmtId="10" fontId="13" fillId="2" borderId="52" xfId="0" applyNumberFormat="1" applyFont="1" applyFill="1" applyBorder="1" applyAlignment="1">
      <alignment horizontal="center"/>
    </xf>
    <xf numFmtId="10" fontId="13" fillId="2" borderId="44" xfId="0" applyNumberFormat="1" applyFont="1" applyFill="1" applyBorder="1" applyAlignment="1">
      <alignment horizontal="center"/>
    </xf>
    <xf numFmtId="164" fontId="13" fillId="2" borderId="52" xfId="0" applyNumberFormat="1" applyFont="1" applyFill="1" applyBorder="1" applyAlignment="1">
      <alignment horizontal="center"/>
    </xf>
    <xf numFmtId="164" fontId="13" fillId="2" borderId="33" xfId="0" applyNumberFormat="1" applyFont="1" applyFill="1" applyBorder="1" applyAlignment="1">
      <alignment horizontal="center"/>
    </xf>
    <xf numFmtId="14" fontId="10" fillId="11" borderId="2" xfId="0" applyNumberFormat="1" applyFont="1" applyFill="1" applyBorder="1" applyAlignment="1" applyProtection="1">
      <alignment horizontal="center"/>
    </xf>
    <xf numFmtId="0" fontId="7" fillId="11" borderId="2" xfId="0" applyFont="1" applyFill="1" applyBorder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26" fillId="15" borderId="23" xfId="0" applyFont="1" applyFill="1" applyBorder="1" applyAlignment="1">
      <alignment horizontal="center" vertical="center" wrapText="1"/>
    </xf>
    <xf numFmtId="0" fontId="26" fillId="15" borderId="27" xfId="0" applyFont="1" applyFill="1" applyBorder="1" applyAlignment="1">
      <alignment horizontal="center" vertical="center" wrapText="1"/>
    </xf>
    <xf numFmtId="0" fontId="26" fillId="15" borderId="31" xfId="0" applyFont="1" applyFill="1" applyBorder="1" applyAlignment="1">
      <alignment horizontal="center" vertical="center" wrapText="1"/>
    </xf>
    <xf numFmtId="0" fontId="26" fillId="15" borderId="30" xfId="0" applyFont="1" applyFill="1" applyBorder="1" applyAlignment="1">
      <alignment horizontal="center" vertical="center" wrapText="1"/>
    </xf>
    <xf numFmtId="0" fontId="26" fillId="16" borderId="23" xfId="0" applyFont="1" applyFill="1" applyBorder="1" applyAlignment="1">
      <alignment horizontal="center" vertical="center" wrapText="1"/>
    </xf>
    <xf numFmtId="0" fontId="26" fillId="16" borderId="27" xfId="0" applyFont="1" applyFill="1" applyBorder="1" applyAlignment="1">
      <alignment horizontal="center" vertical="center" wrapText="1"/>
    </xf>
    <xf numFmtId="0" fontId="26" fillId="16" borderId="31" xfId="0" applyFont="1" applyFill="1" applyBorder="1" applyAlignment="1">
      <alignment horizontal="center" vertical="center" wrapText="1"/>
    </xf>
    <xf numFmtId="0" fontId="26" fillId="16" borderId="30" xfId="0" applyFont="1" applyFill="1" applyBorder="1" applyAlignment="1">
      <alignment horizontal="center" vertical="center" wrapText="1"/>
    </xf>
    <xf numFmtId="0" fontId="28" fillId="15" borderId="25" xfId="0" applyFont="1" applyFill="1" applyBorder="1" applyAlignment="1">
      <alignment horizontal="center" vertical="center" wrapText="1"/>
    </xf>
    <xf numFmtId="0" fontId="28" fillId="15" borderId="28" xfId="0" applyFont="1" applyFill="1" applyBorder="1" applyAlignment="1">
      <alignment horizontal="center" vertical="center" wrapText="1"/>
    </xf>
    <xf numFmtId="0" fontId="28" fillId="16" borderId="25" xfId="0" applyFont="1" applyFill="1" applyBorder="1" applyAlignment="1">
      <alignment horizontal="center" vertical="center" wrapText="1"/>
    </xf>
    <xf numFmtId="0" fontId="28" fillId="16" borderId="28" xfId="0" applyFont="1" applyFill="1" applyBorder="1" applyAlignment="1">
      <alignment horizontal="center" vertical="center" wrapText="1"/>
    </xf>
    <xf numFmtId="0" fontId="10" fillId="11" borderId="17" xfId="0" applyFont="1" applyFill="1" applyBorder="1" applyAlignment="1" applyProtection="1">
      <alignment horizontal="center"/>
    </xf>
    <xf numFmtId="0" fontId="10" fillId="11" borderId="13" xfId="0" applyFont="1" applyFill="1" applyBorder="1" applyAlignment="1" applyProtection="1">
      <alignment horizontal="center"/>
    </xf>
    <xf numFmtId="0" fontId="10" fillId="11" borderId="13" xfId="0" applyFont="1" applyFill="1" applyBorder="1" applyAlignment="1" applyProtection="1">
      <alignment horizontal="left"/>
    </xf>
    <xf numFmtId="14" fontId="10" fillId="11" borderId="13" xfId="0" applyNumberFormat="1" applyFont="1" applyFill="1" applyBorder="1" applyAlignment="1" applyProtection="1">
      <alignment horizontal="center"/>
    </xf>
    <xf numFmtId="0" fontId="10" fillId="11" borderId="13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/>
    </xf>
    <xf numFmtId="0" fontId="10" fillId="10" borderId="15" xfId="0" applyFont="1" applyFill="1" applyBorder="1" applyAlignment="1">
      <alignment horizontal="center"/>
    </xf>
    <xf numFmtId="0" fontId="10" fillId="10" borderId="14" xfId="0" applyFont="1" applyFill="1" applyBorder="1" applyAlignment="1">
      <alignment horizontal="center"/>
    </xf>
    <xf numFmtId="0" fontId="10" fillId="10" borderId="14" xfId="0" applyFont="1" applyFill="1" applyBorder="1" applyAlignment="1">
      <alignment horizontal="left"/>
    </xf>
    <xf numFmtId="0" fontId="10" fillId="10" borderId="21" xfId="0" applyFont="1" applyFill="1" applyBorder="1" applyAlignment="1">
      <alignment horizontal="center"/>
    </xf>
    <xf numFmtId="0" fontId="10" fillId="10" borderId="53" xfId="0" applyFont="1" applyFill="1" applyBorder="1" applyAlignment="1">
      <alignment horizontal="center"/>
    </xf>
    <xf numFmtId="0" fontId="10" fillId="10" borderId="22" xfId="0" applyFont="1" applyFill="1" applyBorder="1" applyAlignment="1">
      <alignment horizontal="center"/>
    </xf>
    <xf numFmtId="14" fontId="10" fillId="10" borderId="21" xfId="0" applyNumberFormat="1" applyFont="1" applyFill="1" applyBorder="1" applyAlignment="1">
      <alignment horizontal="center"/>
    </xf>
    <xf numFmtId="14" fontId="10" fillId="10" borderId="22" xfId="0" applyNumberFormat="1" applyFont="1" applyFill="1" applyBorder="1" applyAlignment="1">
      <alignment horizontal="center"/>
    </xf>
    <xf numFmtId="0" fontId="10" fillId="10" borderId="16" xfId="0" applyFont="1" applyFill="1" applyBorder="1" applyAlignment="1">
      <alignment horizontal="center"/>
    </xf>
    <xf numFmtId="0" fontId="10" fillId="10" borderId="11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left"/>
    </xf>
    <xf numFmtId="0" fontId="10" fillId="10" borderId="6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0" fontId="10" fillId="10" borderId="4" xfId="0" applyFont="1" applyFill="1" applyBorder="1" applyAlignment="1">
      <alignment horizontal="center"/>
    </xf>
    <xf numFmtId="14" fontId="10" fillId="10" borderId="6" xfId="0" applyNumberFormat="1" applyFont="1" applyFill="1" applyBorder="1" applyAlignment="1">
      <alignment horizontal="center"/>
    </xf>
    <xf numFmtId="14" fontId="10" fillId="10" borderId="4" xfId="0" applyNumberFormat="1" applyFont="1" applyFill="1" applyBorder="1" applyAlignment="1">
      <alignment horizontal="center"/>
    </xf>
    <xf numFmtId="0" fontId="13" fillId="10" borderId="6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  <xf numFmtId="0" fontId="13" fillId="10" borderId="50" xfId="0" applyFont="1" applyFill="1" applyBorder="1" applyAlignment="1">
      <alignment horizontal="center"/>
    </xf>
    <xf numFmtId="0" fontId="7" fillId="10" borderId="2" xfId="0" applyFont="1" applyFill="1" applyBorder="1" applyAlignment="1">
      <alignment horizontal="center"/>
    </xf>
    <xf numFmtId="0" fontId="7" fillId="10" borderId="9" xfId="0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left"/>
    </xf>
    <xf numFmtId="0" fontId="10" fillId="10" borderId="19" xfId="0" applyFont="1" applyFill="1" applyBorder="1" applyAlignment="1">
      <alignment horizontal="center"/>
    </xf>
    <xf numFmtId="0" fontId="10" fillId="10" borderId="20" xfId="0" applyFont="1" applyFill="1" applyBorder="1" applyAlignment="1">
      <alignment horizontal="center"/>
    </xf>
    <xf numFmtId="0" fontId="10" fillId="10" borderId="12" xfId="0" applyFont="1" applyFill="1" applyBorder="1" applyAlignment="1">
      <alignment horizontal="center"/>
    </xf>
    <xf numFmtId="14" fontId="10" fillId="10" borderId="19" xfId="0" applyNumberFormat="1" applyFont="1" applyFill="1" applyBorder="1" applyAlignment="1">
      <alignment horizontal="center"/>
    </xf>
    <xf numFmtId="14" fontId="10" fillId="10" borderId="12" xfId="0" applyNumberFormat="1" applyFont="1" applyFill="1" applyBorder="1" applyAlignment="1">
      <alignment horizontal="center"/>
    </xf>
    <xf numFmtId="0" fontId="7" fillId="10" borderId="13" xfId="0" applyFont="1" applyFill="1" applyBorder="1" applyAlignment="1">
      <alignment horizontal="center"/>
    </xf>
    <xf numFmtId="0" fontId="7" fillId="10" borderId="10" xfId="0" applyFont="1" applyFill="1" applyBorder="1" applyAlignment="1">
      <alignment horizontal="center"/>
    </xf>
    <xf numFmtId="0" fontId="10" fillId="12" borderId="56" xfId="0" applyFont="1" applyFill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10" fillId="12" borderId="21" xfId="0" applyFont="1" applyFill="1" applyBorder="1" applyAlignment="1">
      <alignment horizontal="center"/>
    </xf>
    <xf numFmtId="0" fontId="10" fillId="12" borderId="53" xfId="0" applyFont="1" applyFill="1" applyBorder="1" applyAlignment="1">
      <alignment horizontal="center"/>
    </xf>
    <xf numFmtId="14" fontId="10" fillId="12" borderId="21" xfId="0" applyNumberFormat="1" applyFont="1" applyFill="1" applyBorder="1" applyAlignment="1">
      <alignment horizontal="center"/>
    </xf>
    <xf numFmtId="0" fontId="14" fillId="0" borderId="46" xfId="0" applyFont="1" applyBorder="1" applyAlignment="1">
      <alignment horizontal="left"/>
    </xf>
    <xf numFmtId="0" fontId="14" fillId="0" borderId="5" xfId="0" applyFont="1" applyBorder="1" applyAlignment="1">
      <alignment horizontal="left"/>
    </xf>
    <xf numFmtId="0" fontId="14" fillId="0" borderId="71" xfId="0" applyFont="1" applyBorder="1" applyAlignment="1">
      <alignment horizontal="left"/>
    </xf>
    <xf numFmtId="0" fontId="7" fillId="12" borderId="61" xfId="0" applyFont="1" applyFill="1" applyBorder="1" applyAlignment="1">
      <alignment horizontal="center"/>
    </xf>
    <xf numFmtId="0" fontId="7" fillId="12" borderId="44" xfId="0" applyFont="1" applyFill="1" applyBorder="1" applyAlignment="1">
      <alignment horizontal="center"/>
    </xf>
    <xf numFmtId="0" fontId="7" fillId="12" borderId="52" xfId="0" applyFont="1" applyFill="1" applyBorder="1" applyAlignment="1">
      <alignment horizontal="center"/>
    </xf>
    <xf numFmtId="0" fontId="7" fillId="12" borderId="29" xfId="0" applyFont="1" applyFill="1" applyBorder="1" applyAlignment="1">
      <alignment horizontal="center"/>
    </xf>
    <xf numFmtId="0" fontId="14" fillId="0" borderId="56" xfId="0" applyFont="1" applyBorder="1" applyAlignment="1">
      <alignment horizontal="left"/>
    </xf>
    <xf numFmtId="0" fontId="14" fillId="0" borderId="53" xfId="0" applyFont="1" applyBorder="1" applyAlignment="1">
      <alignment horizontal="left"/>
    </xf>
    <xf numFmtId="0" fontId="14" fillId="0" borderId="54" xfId="0" applyFont="1" applyBorder="1" applyAlignment="1">
      <alignment horizontal="left"/>
    </xf>
    <xf numFmtId="0" fontId="10" fillId="12" borderId="18" xfId="0" applyFont="1" applyFill="1" applyBorder="1" applyAlignment="1">
      <alignment horizontal="center"/>
    </xf>
    <xf numFmtId="0" fontId="10" fillId="12" borderId="4" xfId="0" applyFont="1" applyFill="1" applyBorder="1" applyAlignment="1">
      <alignment horizontal="center"/>
    </xf>
    <xf numFmtId="0" fontId="10" fillId="12" borderId="6" xfId="0" applyFont="1" applyFill="1" applyBorder="1" applyAlignment="1">
      <alignment horizontal="center"/>
    </xf>
    <xf numFmtId="0" fontId="10" fillId="12" borderId="7" xfId="0" applyFont="1" applyFill="1" applyBorder="1" applyAlignment="1">
      <alignment horizontal="center"/>
    </xf>
    <xf numFmtId="0" fontId="14" fillId="0" borderId="46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71" xfId="0" applyFont="1" applyBorder="1" applyAlignment="1">
      <alignment horizontal="center"/>
    </xf>
    <xf numFmtId="0" fontId="7" fillId="13" borderId="49" xfId="0" applyFont="1" applyFill="1" applyBorder="1" applyAlignment="1">
      <alignment horizontal="center"/>
    </xf>
    <xf numFmtId="0" fontId="7" fillId="13" borderId="32" xfId="0" applyFont="1" applyFill="1" applyBorder="1" applyAlignment="1">
      <alignment horizontal="center"/>
    </xf>
    <xf numFmtId="0" fontId="7" fillId="13" borderId="52" xfId="0" applyFont="1" applyFill="1" applyBorder="1" applyAlignment="1">
      <alignment horizontal="center"/>
    </xf>
    <xf numFmtId="0" fontId="7" fillId="13" borderId="29" xfId="0" applyFont="1" applyFill="1" applyBorder="1" applyAlignment="1">
      <alignment horizontal="center"/>
    </xf>
    <xf numFmtId="0" fontId="7" fillId="13" borderId="33" xfId="0" applyFont="1" applyFill="1" applyBorder="1" applyAlignment="1">
      <alignment horizontal="center"/>
    </xf>
    <xf numFmtId="0" fontId="10" fillId="13" borderId="11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/>
    </xf>
    <xf numFmtId="0" fontId="10" fillId="13" borderId="6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0" fontId="10" fillId="13" borderId="50" xfId="0" applyFont="1" applyFill="1" applyBorder="1" applyAlignment="1">
      <alignment horizontal="center"/>
    </xf>
    <xf numFmtId="0" fontId="10" fillId="12" borderId="45" xfId="0" applyFont="1" applyFill="1" applyBorder="1" applyAlignment="1">
      <alignment horizontal="center"/>
    </xf>
    <xf numFmtId="0" fontId="10" fillId="12" borderId="12" xfId="0" applyFont="1" applyFill="1" applyBorder="1" applyAlignment="1">
      <alignment horizontal="center"/>
    </xf>
    <xf numFmtId="0" fontId="10" fillId="12" borderId="20" xfId="0" applyFont="1" applyFill="1" applyBorder="1" applyAlignment="1">
      <alignment horizontal="center"/>
    </xf>
    <xf numFmtId="0" fontId="14" fillId="0" borderId="45" xfId="0" applyFont="1" applyBorder="1" applyAlignment="1">
      <alignment horizontal="left"/>
    </xf>
    <xf numFmtId="0" fontId="14" fillId="0" borderId="20" xfId="0" applyFont="1" applyBorder="1" applyAlignment="1">
      <alignment horizontal="left"/>
    </xf>
    <xf numFmtId="0" fontId="14" fillId="0" borderId="51" xfId="0" applyFont="1" applyBorder="1" applyAlignment="1">
      <alignment horizontal="left"/>
    </xf>
    <xf numFmtId="0" fontId="10" fillId="13" borderId="15" xfId="0" applyFont="1" applyFill="1" applyBorder="1" applyAlignment="1">
      <alignment horizontal="center"/>
    </xf>
    <xf numFmtId="0" fontId="10" fillId="13" borderId="14" xfId="0" applyFont="1" applyFill="1" applyBorder="1" applyAlignment="1">
      <alignment horizontal="center"/>
    </xf>
    <xf numFmtId="0" fontId="10" fillId="13" borderId="21" xfId="0" applyFont="1" applyFill="1" applyBorder="1" applyAlignment="1">
      <alignment horizontal="center"/>
    </xf>
    <xf numFmtId="0" fontId="10" fillId="13" borderId="53" xfId="0" applyFont="1" applyFill="1" applyBorder="1" applyAlignment="1">
      <alignment horizontal="center"/>
    </xf>
    <xf numFmtId="0" fontId="10" fillId="13" borderId="54" xfId="0" applyFont="1" applyFill="1" applyBorder="1" applyAlignment="1">
      <alignment horizontal="center"/>
    </xf>
    <xf numFmtId="0" fontId="9" fillId="13" borderId="11" xfId="0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13" fillId="13" borderId="6" xfId="0" applyFont="1" applyFill="1" applyBorder="1" applyAlignment="1">
      <alignment horizontal="center"/>
    </xf>
    <xf numFmtId="0" fontId="13" fillId="13" borderId="7" xfId="0" applyFont="1" applyFill="1" applyBorder="1" applyAlignment="1">
      <alignment horizontal="center"/>
    </xf>
    <xf numFmtId="0" fontId="13" fillId="13" borderId="50" xfId="0" applyFont="1" applyFill="1" applyBorder="1" applyAlignment="1">
      <alignment horizontal="center"/>
    </xf>
    <xf numFmtId="0" fontId="8" fillId="6" borderId="61" xfId="0" applyFont="1" applyFill="1" applyBorder="1" applyAlignment="1">
      <alignment horizontal="center"/>
    </xf>
    <xf numFmtId="0" fontId="8" fillId="6" borderId="33" xfId="0" applyFont="1" applyFill="1" applyBorder="1" applyAlignment="1">
      <alignment horizontal="center"/>
    </xf>
    <xf numFmtId="0" fontId="8" fillId="4" borderId="61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7" xfId="0" applyFont="1" applyFill="1" applyBorder="1" applyAlignment="1">
      <alignment horizontal="center"/>
    </xf>
    <xf numFmtId="0" fontId="9" fillId="13" borderId="50" xfId="0" applyFont="1" applyFill="1" applyBorder="1" applyAlignment="1">
      <alignment horizontal="center"/>
    </xf>
    <xf numFmtId="0" fontId="8" fillId="6" borderId="23" xfId="0" applyFont="1" applyFill="1" applyBorder="1" applyAlignment="1">
      <alignment horizontal="center"/>
    </xf>
    <xf numFmtId="0" fontId="8" fillId="6" borderId="27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/>
    </xf>
    <xf numFmtId="0" fontId="13" fillId="13" borderId="11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7" fillId="0" borderId="61" xfId="0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9" fillId="13" borderId="17" xfId="0" applyFont="1" applyFill="1" applyBorder="1" applyAlignment="1">
      <alignment horizontal="center"/>
    </xf>
    <xf numFmtId="0" fontId="9" fillId="13" borderId="13" xfId="0" applyFont="1" applyFill="1" applyBorder="1" applyAlignment="1">
      <alignment horizontal="center"/>
    </xf>
    <xf numFmtId="0" fontId="9" fillId="13" borderId="19" xfId="0" applyFont="1" applyFill="1" applyBorder="1" applyAlignment="1">
      <alignment horizontal="center"/>
    </xf>
    <xf numFmtId="0" fontId="9" fillId="13" borderId="20" xfId="0" applyFont="1" applyFill="1" applyBorder="1" applyAlignment="1">
      <alignment horizontal="center"/>
    </xf>
    <xf numFmtId="0" fontId="9" fillId="13" borderId="51" xfId="0" applyFont="1" applyFill="1" applyBorder="1" applyAlignment="1">
      <alignment horizontal="center"/>
    </xf>
    <xf numFmtId="166" fontId="13" fillId="6" borderId="25" xfId="0" applyNumberFormat="1" applyFont="1" applyFill="1" applyBorder="1" applyAlignment="1">
      <alignment horizontal="center"/>
    </xf>
    <xf numFmtId="166" fontId="13" fillId="6" borderId="28" xfId="0" applyNumberFormat="1" applyFont="1" applyFill="1" applyBorder="1" applyAlignment="1">
      <alignment horizontal="center"/>
    </xf>
    <xf numFmtId="166" fontId="13" fillId="4" borderId="25" xfId="0" applyNumberFormat="1" applyFont="1" applyFill="1" applyBorder="1" applyAlignment="1">
      <alignment horizontal="center"/>
    </xf>
    <xf numFmtId="166" fontId="13" fillId="4" borderId="28" xfId="0" applyNumberFormat="1" applyFont="1" applyFill="1" applyBorder="1" applyAlignment="1">
      <alignment horizontal="center"/>
    </xf>
    <xf numFmtId="0" fontId="8" fillId="6" borderId="25" xfId="0" applyFont="1" applyFill="1" applyBorder="1" applyAlignment="1">
      <alignment horizontal="center"/>
    </xf>
    <xf numFmtId="0" fontId="8" fillId="6" borderId="28" xfId="0" applyFont="1" applyFill="1" applyBorder="1" applyAlignment="1">
      <alignment horizontal="center"/>
    </xf>
    <xf numFmtId="0" fontId="8" fillId="4" borderId="25" xfId="0" applyFont="1" applyFill="1" applyBorder="1" applyAlignment="1">
      <alignment horizontal="center"/>
    </xf>
    <xf numFmtId="0" fontId="8" fillId="4" borderId="28" xfId="0" applyFont="1" applyFill="1" applyBorder="1" applyAlignment="1">
      <alignment horizontal="center"/>
    </xf>
    <xf numFmtId="166" fontId="13" fillId="6" borderId="31" xfId="0" applyNumberFormat="1" applyFont="1" applyFill="1" applyBorder="1" applyAlignment="1">
      <alignment horizontal="center"/>
    </xf>
    <xf numFmtId="166" fontId="13" fillId="6" borderId="30" xfId="0" applyNumberFormat="1" applyFont="1" applyFill="1" applyBorder="1" applyAlignment="1">
      <alignment horizontal="center"/>
    </xf>
    <xf numFmtId="166" fontId="13" fillId="4" borderId="31" xfId="0" applyNumberFormat="1" applyFont="1" applyFill="1" applyBorder="1" applyAlignment="1">
      <alignment horizontal="center"/>
    </xf>
    <xf numFmtId="166" fontId="13" fillId="4" borderId="30" xfId="0" applyNumberFormat="1" applyFont="1" applyFill="1" applyBorder="1" applyAlignment="1">
      <alignment horizontal="center"/>
    </xf>
    <xf numFmtId="0" fontId="36" fillId="0" borderId="72" xfId="0" applyFont="1" applyBorder="1" applyAlignment="1">
      <alignment horizontal="right" textRotation="90"/>
    </xf>
    <xf numFmtId="0" fontId="36" fillId="0" borderId="30" xfId="0" applyFont="1" applyBorder="1" applyAlignment="1">
      <alignment horizontal="right" textRotation="90"/>
    </xf>
    <xf numFmtId="0" fontId="7" fillId="12" borderId="13" xfId="0" applyFont="1" applyFill="1" applyBorder="1" applyAlignment="1">
      <alignment horizontal="center"/>
    </xf>
    <xf numFmtId="0" fontId="7" fillId="12" borderId="10" xfId="0" applyFont="1" applyFill="1" applyBorder="1" applyAlignment="1">
      <alignment horizontal="center"/>
    </xf>
    <xf numFmtId="14" fontId="10" fillId="12" borderId="13" xfId="0" applyNumberFormat="1" applyFont="1" applyFill="1" applyBorder="1" applyAlignment="1">
      <alignment horizontal="center"/>
    </xf>
    <xf numFmtId="0" fontId="10" fillId="12" borderId="13" xfId="0" applyFont="1" applyFill="1" applyBorder="1" applyAlignment="1">
      <alignment horizontal="center"/>
    </xf>
    <xf numFmtId="0" fontId="10" fillId="12" borderId="13" xfId="0" applyFont="1" applyFill="1" applyBorder="1" applyAlignment="1">
      <alignment horizontal="left"/>
    </xf>
    <xf numFmtId="9" fontId="10" fillId="12" borderId="17" xfId="0" applyNumberFormat="1" applyFont="1" applyFill="1" applyBorder="1" applyAlignment="1">
      <alignment horizontal="center"/>
    </xf>
    <xf numFmtId="9" fontId="10" fillId="12" borderId="13" xfId="0" applyNumberFormat="1" applyFont="1" applyFill="1" applyBorder="1" applyAlignment="1">
      <alignment horizontal="center"/>
    </xf>
    <xf numFmtId="9" fontId="10" fillId="12" borderId="11" xfId="0" applyNumberFormat="1" applyFont="1" applyFill="1" applyBorder="1" applyAlignment="1">
      <alignment horizontal="center"/>
    </xf>
    <xf numFmtId="9" fontId="10" fillId="12" borderId="2" xfId="0" applyNumberFormat="1" applyFont="1" applyFill="1" applyBorder="1" applyAlignment="1">
      <alignment horizontal="center"/>
    </xf>
    <xf numFmtId="0" fontId="10" fillId="12" borderId="2" xfId="0" applyFont="1" applyFill="1" applyBorder="1" applyAlignment="1">
      <alignment horizontal="left"/>
    </xf>
    <xf numFmtId="0" fontId="10" fillId="12" borderId="2" xfId="0" applyFont="1" applyFill="1" applyBorder="1" applyAlignment="1">
      <alignment horizontal="center"/>
    </xf>
    <xf numFmtId="14" fontId="10" fillId="12" borderId="2" xfId="0" applyNumberFormat="1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/>
    </xf>
    <xf numFmtId="0" fontId="7" fillId="12" borderId="9" xfId="0" applyFont="1" applyFill="1" applyBorder="1" applyAlignment="1">
      <alignment horizontal="center"/>
    </xf>
    <xf numFmtId="9" fontId="10" fillId="12" borderId="15" xfId="0" applyNumberFormat="1" applyFont="1" applyFill="1" applyBorder="1" applyAlignment="1">
      <alignment horizontal="center"/>
    </xf>
    <xf numFmtId="9" fontId="10" fillId="12" borderId="14" xfId="0" applyNumberFormat="1" applyFont="1" applyFill="1" applyBorder="1" applyAlignment="1">
      <alignment horizontal="center"/>
    </xf>
    <xf numFmtId="0" fontId="10" fillId="12" borderId="14" xfId="0" applyFont="1" applyFill="1" applyBorder="1" applyAlignment="1">
      <alignment horizontal="left"/>
    </xf>
    <xf numFmtId="0" fontId="7" fillId="12" borderId="14" xfId="0" applyFont="1" applyFill="1" applyBorder="1" applyAlignment="1">
      <alignment horizontal="center"/>
    </xf>
    <xf numFmtId="0" fontId="7" fillId="12" borderId="16" xfId="0" applyFont="1" applyFill="1" applyBorder="1" applyAlignment="1">
      <alignment horizontal="center"/>
    </xf>
    <xf numFmtId="14" fontId="10" fillId="12" borderId="14" xfId="0" applyNumberFormat="1" applyFont="1" applyFill="1" applyBorder="1" applyAlignment="1">
      <alignment horizontal="center"/>
    </xf>
    <xf numFmtId="0" fontId="10" fillId="12" borderId="14" xfId="0" applyFont="1" applyFill="1" applyBorder="1" applyAlignment="1">
      <alignment horizontal="center"/>
    </xf>
    <xf numFmtId="164" fontId="10" fillId="2" borderId="52" xfId="0" applyNumberFormat="1" applyFont="1" applyFill="1" applyBorder="1" applyAlignment="1">
      <alignment horizontal="center"/>
    </xf>
    <xf numFmtId="164" fontId="10" fillId="2" borderId="33" xfId="0" applyNumberFormat="1" applyFont="1" applyFill="1" applyBorder="1" applyAlignment="1">
      <alignment horizontal="center"/>
    </xf>
    <xf numFmtId="166" fontId="10" fillId="2" borderId="61" xfId="0" applyNumberFormat="1" applyFont="1" applyFill="1" applyBorder="1" applyAlignment="1">
      <alignment horizontal="center"/>
    </xf>
    <xf numFmtId="166" fontId="10" fillId="2" borderId="44" xfId="0" applyNumberFormat="1" applyFont="1" applyFill="1" applyBorder="1" applyAlignment="1">
      <alignment horizontal="center"/>
    </xf>
    <xf numFmtId="10" fontId="10" fillId="2" borderId="52" xfId="0" applyNumberFormat="1" applyFont="1" applyFill="1" applyBorder="1" applyAlignment="1">
      <alignment horizontal="center"/>
    </xf>
    <xf numFmtId="10" fontId="10" fillId="2" borderId="44" xfId="0" applyNumberFormat="1" applyFont="1" applyFill="1" applyBorder="1" applyAlignment="1">
      <alignment horizontal="center"/>
    </xf>
    <xf numFmtId="0" fontId="10" fillId="0" borderId="6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50" xfId="0" applyFont="1" applyBorder="1" applyAlignment="1">
      <alignment horizontal="left"/>
    </xf>
    <xf numFmtId="0" fontId="20" fillId="0" borderId="0" xfId="0" applyFont="1" applyAlignment="1">
      <alignment horizontal="right"/>
    </xf>
    <xf numFmtId="0" fontId="9" fillId="0" borderId="6" xfId="0" applyNumberFormat="1" applyFont="1" applyFill="1" applyBorder="1" applyAlignment="1" applyProtection="1">
      <alignment horizontal="left"/>
      <protection locked="0"/>
    </xf>
    <xf numFmtId="0" fontId="9" fillId="0" borderId="7" xfId="0" applyNumberFormat="1" applyFont="1" applyFill="1" applyBorder="1" applyAlignment="1" applyProtection="1">
      <alignment horizontal="left"/>
      <protection locked="0"/>
    </xf>
    <xf numFmtId="0" fontId="9" fillId="0" borderId="50" xfId="0" applyNumberFormat="1" applyFont="1" applyFill="1" applyBorder="1" applyAlignment="1" applyProtection="1">
      <alignment horizontal="left"/>
      <protection locked="0"/>
    </xf>
    <xf numFmtId="164" fontId="10" fillId="2" borderId="14" xfId="0" applyNumberFormat="1" applyFont="1" applyFill="1" applyBorder="1" applyAlignment="1">
      <alignment horizontal="center"/>
    </xf>
    <xf numFmtId="164" fontId="10" fillId="2" borderId="2" xfId="0" applyNumberFormat="1" applyFont="1" applyFill="1" applyBorder="1" applyAlignment="1">
      <alignment horizontal="center"/>
    </xf>
    <xf numFmtId="164" fontId="9" fillId="0" borderId="0" xfId="0" applyNumberFormat="1" applyFont="1" applyBorder="1" applyAlignment="1">
      <alignment horizontal="center" vertical="top"/>
    </xf>
    <xf numFmtId="164" fontId="10" fillId="2" borderId="13" xfId="0" applyNumberFormat="1" applyFont="1" applyFill="1" applyBorder="1" applyAlignment="1">
      <alignment horizontal="center"/>
    </xf>
    <xf numFmtId="0" fontId="7" fillId="2" borderId="49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164" fontId="7" fillId="2" borderId="32" xfId="0" applyNumberFormat="1" applyFont="1" applyFill="1" applyBorder="1" applyAlignment="1">
      <alignment horizontal="center" vertical="center"/>
    </xf>
    <xf numFmtId="164" fontId="7" fillId="2" borderId="55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wrapText="1"/>
    </xf>
    <xf numFmtId="166" fontId="9" fillId="0" borderId="25" xfId="0" applyNumberFormat="1" applyFont="1" applyFill="1" applyBorder="1" applyAlignment="1">
      <alignment horizontal="center"/>
    </xf>
    <xf numFmtId="166" fontId="9" fillId="0" borderId="28" xfId="0" applyNumberFormat="1" applyFont="1" applyFill="1" applyBorder="1" applyAlignment="1">
      <alignment horizontal="center"/>
    </xf>
    <xf numFmtId="166" fontId="9" fillId="0" borderId="31" xfId="0" applyNumberFormat="1" applyFont="1" applyFill="1" applyBorder="1" applyAlignment="1">
      <alignment horizontal="center"/>
    </xf>
    <xf numFmtId="166" fontId="9" fillId="0" borderId="30" xfId="0" applyNumberFormat="1" applyFont="1" applyFill="1" applyBorder="1" applyAlignment="1">
      <alignment horizontal="center"/>
    </xf>
    <xf numFmtId="166" fontId="9" fillId="6" borderId="25" xfId="0" applyNumberFormat="1" applyFont="1" applyFill="1" applyBorder="1" applyAlignment="1">
      <alignment horizontal="center"/>
    </xf>
    <xf numFmtId="166" fontId="9" fillId="6" borderId="28" xfId="0" applyNumberFormat="1" applyFont="1" applyFill="1" applyBorder="1" applyAlignment="1">
      <alignment horizontal="center"/>
    </xf>
    <xf numFmtId="166" fontId="9" fillId="6" borderId="31" xfId="0" applyNumberFormat="1" applyFont="1" applyFill="1" applyBorder="1" applyAlignment="1">
      <alignment horizontal="center"/>
    </xf>
    <xf numFmtId="166" fontId="9" fillId="6" borderId="30" xfId="0" applyNumberFormat="1" applyFont="1" applyFill="1" applyBorder="1" applyAlignment="1">
      <alignment horizontal="center"/>
    </xf>
    <xf numFmtId="0" fontId="32" fillId="0" borderId="24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0" fontId="8" fillId="0" borderId="47" xfId="0" applyFont="1" applyFill="1" applyBorder="1" applyAlignment="1" applyProtection="1">
      <alignment horizontal="right"/>
      <protection locked="0"/>
    </xf>
  </cellXfs>
  <cellStyles count="16">
    <cellStyle name="Currency 2" xfId="14"/>
    <cellStyle name="Currency 3" xfId="5"/>
    <cellStyle name="Normal" xfId="0" builtinId="0"/>
    <cellStyle name="Normal 2" xfId="1"/>
    <cellStyle name="Normal 2 2" xfId="9"/>
    <cellStyle name="Normal 3" xfId="2"/>
    <cellStyle name="Normal 3 2" xfId="10"/>
    <cellStyle name="Normal 3 3" xfId="7"/>
    <cellStyle name="Normal 4" xfId="6"/>
    <cellStyle name="Normal 4 2" xfId="11"/>
    <cellStyle name="Normal 5" xfId="8"/>
    <cellStyle name="Normal 6" xfId="13"/>
    <cellStyle name="Normal 7" xfId="12"/>
    <cellStyle name="Normal 8" xfId="4"/>
    <cellStyle name="Percent" xfId="15" builtinId="5"/>
    <cellStyle name="Percent 2" xfId="3"/>
  </cellStyles>
  <dxfs count="0"/>
  <tableStyles count="1" defaultTableStyle="TableStyleMedium2" defaultPivotStyle="PivotStyleLight16">
    <tableStyle name="SDI" pivot="0" count="0"/>
  </tableStyles>
  <colors>
    <mruColors>
      <color rgb="FFFFD7CD"/>
      <color rgb="FFFFDDDD"/>
      <color rgb="FFEEE1F7"/>
      <color rgb="FFE4D2F2"/>
      <color rgb="FFFFDEBD"/>
      <color rgb="FFFFD3A7"/>
      <color rgb="FFCCCCFF"/>
      <color rgb="FFE6F1DF"/>
      <color rgb="FFFFCABD"/>
      <color rgb="FFFACA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view3D>
      <c:rotX val="50"/>
      <c:rotY val="199"/>
      <c:depthPercent val="10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825172517226659E-2"/>
          <c:y val="4.3116055844038777E-2"/>
          <c:w val="0.94115417929839762"/>
          <c:h val="0.92427427733631629"/>
        </c:manualLayout>
      </c:layout>
      <c:pie3DChart>
        <c:varyColors val="1"/>
        <c:ser>
          <c:idx val="0"/>
          <c:order val="0"/>
          <c:tx>
            <c:strRef>
              <c:f>DASHBOARD!$A$21</c:f>
              <c:strCache>
                <c:ptCount val="1"/>
                <c:pt idx="0">
                  <c:v>DOCUMENTATION STATUS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2"/>
            <c:bubble3D val="0"/>
            <c:spPr>
              <a:solidFill>
                <a:schemeClr val="bg1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Lbls>
            <c:dLbl>
              <c:idx val="0"/>
              <c:layout>
                <c:manualLayout>
                  <c:x val="0.2051962209947498"/>
                  <c:y val="-0.176986793598921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22586616999605244"/>
                  <c:y val="0.129167623266937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9760589612884555"/>
                  <c:y val="0.156550683966587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8344735096182585"/>
                  <c:y val="-0.267654357749525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50800" dir="1800000" algn="ctr" rotWithShape="0">
                        <a:srgbClr val="000000">
                          <a:alpha val="43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(DASHBOARD!$F$25,DASHBOARD!$H$25,DASHBOARD!$F$28,DASHBOARD!$H$28)</c:f>
              <c:strCache>
                <c:ptCount val="4"/>
                <c:pt idx="0">
                  <c:v>Being Reviewed By Customer</c:v>
                </c:pt>
                <c:pt idx="1">
                  <c:v>Approved</c:v>
                </c:pt>
                <c:pt idx="2">
                  <c:v>Never Been Submitted</c:v>
                </c:pt>
                <c:pt idx="3">
                  <c:v>Returned w/ Comments</c:v>
                </c:pt>
              </c:strCache>
            </c:strRef>
          </c:cat>
          <c:val>
            <c:numRef>
              <c:f>(DASHBOARD!$F$27,DASHBOARD!$H$27,DASHBOARD!$F$30,DASHBOARD!$H$30)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view3D>
      <c:rotX val="50"/>
      <c:rotY val="199"/>
      <c:depthPercent val="10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825172517226659E-2"/>
          <c:y val="4.3116055844038777E-2"/>
          <c:w val="0.94115417929839762"/>
          <c:h val="0.92427427733631629"/>
        </c:manualLayout>
      </c:layout>
      <c:pie3DChart>
        <c:varyColors val="1"/>
        <c:ser>
          <c:idx val="0"/>
          <c:order val="0"/>
          <c:tx>
            <c:strRef>
              <c:f>DASHBOARD!$A$21</c:f>
              <c:strCache>
                <c:ptCount val="1"/>
                <c:pt idx="0">
                  <c:v>DOCUMENTATION STATUS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2"/>
            <c:bubble3D val="0"/>
            <c:spPr>
              <a:solidFill>
                <a:schemeClr val="bg1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Lbls>
            <c:dLbl>
              <c:idx val="0"/>
              <c:layout>
                <c:manualLayout>
                  <c:x val="0.2051962209947498"/>
                  <c:y val="-0.176986793598921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2586616999605244"/>
                  <c:y val="0.129167623266937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9760589612884555"/>
                  <c:y val="0.156550683966587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8344735096182585"/>
                  <c:y val="-0.267654357749525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50800" dir="1800000" algn="ctr" rotWithShape="0">
                        <a:srgbClr val="000000">
                          <a:alpha val="43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(DASHBOARD!$F$25,DASHBOARD!$H$25,DASHBOARD!$F$28,DASHBOARD!$H$28)</c:f>
              <c:strCache>
                <c:ptCount val="4"/>
                <c:pt idx="0">
                  <c:v>Being Reviewed By Customer</c:v>
                </c:pt>
                <c:pt idx="1">
                  <c:v>Approved</c:v>
                </c:pt>
                <c:pt idx="2">
                  <c:v>Never Been Submitted</c:v>
                </c:pt>
                <c:pt idx="3">
                  <c:v>Returned w/ Comments</c:v>
                </c:pt>
              </c:strCache>
            </c:strRef>
          </c:cat>
          <c:val>
            <c:numRef>
              <c:f>(DASHBOARD!$F$27,DASHBOARD!$H$27,DASHBOARD!$F$30,DASHBOARD!$H$30)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I$9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16566</xdr:colOff>
      <xdr:row>0</xdr:row>
      <xdr:rowOff>48744</xdr:rowOff>
    </xdr:from>
    <xdr:to>
      <xdr:col>16</xdr:col>
      <xdr:colOff>248478</xdr:colOff>
      <xdr:row>4</xdr:row>
      <xdr:rowOff>158308</xdr:rowOff>
    </xdr:to>
    <xdr:pic>
      <xdr:nvPicPr>
        <xdr:cNvPr id="2" name="Sundyne_Log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2732" t="4898" r="4373" b="2991"/>
        <a:stretch/>
      </xdr:blipFill>
      <xdr:spPr bwMode="auto">
        <a:xfrm>
          <a:off x="3797991" y="48744"/>
          <a:ext cx="2041662" cy="7572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132522</xdr:colOff>
      <xdr:row>34</xdr:row>
      <xdr:rowOff>33130</xdr:rowOff>
    </xdr:from>
    <xdr:to>
      <xdr:col>7</xdr:col>
      <xdr:colOff>341244</xdr:colOff>
      <xdr:row>44</xdr:row>
      <xdr:rowOff>130865</xdr:rowOff>
    </xdr:to>
    <xdr:pic>
      <xdr:nvPicPr>
        <xdr:cNvPr id="3" name="Image 1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980"/>
        <a:stretch/>
      </xdr:blipFill>
      <xdr:spPr bwMode="auto">
        <a:xfrm>
          <a:off x="494472" y="5719555"/>
          <a:ext cx="2408997" cy="1802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207065</xdr:colOff>
      <xdr:row>0</xdr:row>
      <xdr:rowOff>0</xdr:rowOff>
    </xdr:from>
    <xdr:ext cx="3111493" cy="426655"/>
    <xdr:sp macro="" textlink="">
      <xdr:nvSpPr>
        <xdr:cNvPr id="5" name="Rectangle 4"/>
        <xdr:cNvSpPr/>
      </xdr:nvSpPr>
      <xdr:spPr>
        <a:xfrm>
          <a:off x="207065" y="0"/>
          <a:ext cx="3111493" cy="42665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US" sz="22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Stencil" panose="040409050D0802020404" pitchFamily="82" charset="0"/>
            </a:rPr>
            <a:t>Project Dashboard</a:t>
          </a:r>
        </a:p>
      </xdr:txBody>
    </xdr:sp>
    <xdr:clientData/>
  </xdr:oneCellAnchor>
  <xdr:twoCellAnchor>
    <xdr:from>
      <xdr:col>11</xdr:col>
      <xdr:colOff>82825</xdr:colOff>
      <xdr:row>11</xdr:row>
      <xdr:rowOff>57978</xdr:rowOff>
    </xdr:from>
    <xdr:to>
      <xdr:col>30</xdr:col>
      <xdr:colOff>265043</xdr:colOff>
      <xdr:row>18</xdr:row>
      <xdr:rowOff>115957</xdr:rowOff>
    </xdr:to>
    <xdr:sp macro="" textlink="">
      <xdr:nvSpPr>
        <xdr:cNvPr id="6" name="TextBox 5"/>
        <xdr:cNvSpPr txBox="1"/>
      </xdr:nvSpPr>
      <xdr:spPr>
        <a:xfrm>
          <a:off x="4174434" y="1896717"/>
          <a:ext cx="5946913" cy="124239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508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5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25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25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132522</xdr:colOff>
      <xdr:row>25</xdr:row>
      <xdr:rowOff>24847</xdr:rowOff>
    </xdr:from>
    <xdr:to>
      <xdr:col>30</xdr:col>
      <xdr:colOff>314740</xdr:colOff>
      <xdr:row>32</xdr:row>
      <xdr:rowOff>66260</xdr:rowOff>
    </xdr:to>
    <xdr:sp macro="" textlink="">
      <xdr:nvSpPr>
        <xdr:cNvPr id="7" name="TextBox 6"/>
        <xdr:cNvSpPr txBox="1"/>
      </xdr:nvSpPr>
      <xdr:spPr>
        <a:xfrm>
          <a:off x="4224131" y="4248977"/>
          <a:ext cx="5946913" cy="124239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508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5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25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25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8282</xdr:colOff>
      <xdr:row>41</xdr:row>
      <xdr:rowOff>16565</xdr:rowOff>
    </xdr:from>
    <xdr:to>
      <xdr:col>23</xdr:col>
      <xdr:colOff>207065</xdr:colOff>
      <xdr:row>48</xdr:row>
      <xdr:rowOff>8283</xdr:rowOff>
    </xdr:to>
    <xdr:sp macro="" textlink="">
      <xdr:nvSpPr>
        <xdr:cNvPr id="8" name="TextBox 7"/>
        <xdr:cNvSpPr txBox="1"/>
      </xdr:nvSpPr>
      <xdr:spPr>
        <a:xfrm>
          <a:off x="4099891" y="6998804"/>
          <a:ext cx="3810000" cy="123410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444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18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18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18</xdr:col>
      <xdr:colOff>24849</xdr:colOff>
      <xdr:row>52</xdr:row>
      <xdr:rowOff>107675</xdr:rowOff>
    </xdr:from>
    <xdr:ext cx="4714047" cy="640240"/>
    <xdr:sp macro="" textlink="">
      <xdr:nvSpPr>
        <xdr:cNvPr id="9" name="Rectangle 8"/>
        <xdr:cNvSpPr/>
      </xdr:nvSpPr>
      <xdr:spPr>
        <a:xfrm>
          <a:off x="6236806" y="9052892"/>
          <a:ext cx="4714047" cy="64024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500" b="1" i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Example of Copied LOSH</a:t>
          </a:r>
        </a:p>
      </xdr:txBody>
    </xdr:sp>
    <xdr:clientData/>
  </xdr:oneCellAnchor>
  <xdr:oneCellAnchor>
    <xdr:from>
      <xdr:col>31</xdr:col>
      <xdr:colOff>165651</xdr:colOff>
      <xdr:row>49</xdr:row>
      <xdr:rowOff>99392</xdr:rowOff>
    </xdr:from>
    <xdr:ext cx="3271631" cy="499367"/>
    <xdr:sp macro="" textlink="">
      <xdr:nvSpPr>
        <xdr:cNvPr id="10" name="Rectangle 9"/>
        <xdr:cNvSpPr/>
      </xdr:nvSpPr>
      <xdr:spPr>
        <a:xfrm>
          <a:off x="10344977" y="8506240"/>
          <a:ext cx="3271631" cy="49936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1300" b="1" i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This</a:t>
          </a:r>
          <a:r>
            <a:rPr lang="en-US" sz="1300" b="1" i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information may be copied and pasted directily from the LOHS Excel document</a:t>
          </a:r>
          <a:endParaRPr lang="en-US" sz="1300" b="1" i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14</xdr:col>
      <xdr:colOff>8281</xdr:colOff>
      <xdr:row>52</xdr:row>
      <xdr:rowOff>24852</xdr:rowOff>
    </xdr:from>
    <xdr:to>
      <xdr:col>39</xdr:col>
      <xdr:colOff>323021</xdr:colOff>
      <xdr:row>55</xdr:row>
      <xdr:rowOff>115959</xdr:rowOff>
    </xdr:to>
    <xdr:sp macro="" textlink="">
      <xdr:nvSpPr>
        <xdr:cNvPr id="12" name="Left Bracket 11"/>
        <xdr:cNvSpPr/>
      </xdr:nvSpPr>
      <xdr:spPr>
        <a:xfrm rot="5400000">
          <a:off x="8688456" y="5309155"/>
          <a:ext cx="654325" cy="7976153"/>
        </a:xfrm>
        <a:prstGeom prst="leftBracket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8282</xdr:colOff>
      <xdr:row>54</xdr:row>
      <xdr:rowOff>57979</xdr:rowOff>
    </xdr:from>
    <xdr:to>
      <xdr:col>39</xdr:col>
      <xdr:colOff>323022</xdr:colOff>
      <xdr:row>57</xdr:row>
      <xdr:rowOff>165651</xdr:rowOff>
    </xdr:to>
    <xdr:sp macro="" textlink="">
      <xdr:nvSpPr>
        <xdr:cNvPr id="13" name="Left Bracket 12"/>
        <xdr:cNvSpPr/>
      </xdr:nvSpPr>
      <xdr:spPr>
        <a:xfrm rot="16200000">
          <a:off x="8688457" y="5723282"/>
          <a:ext cx="654325" cy="7976153"/>
        </a:xfrm>
        <a:prstGeom prst="leftBracket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356152</xdr:colOff>
      <xdr:row>34</xdr:row>
      <xdr:rowOff>182218</xdr:rowOff>
    </xdr:from>
    <xdr:to>
      <xdr:col>8</xdr:col>
      <xdr:colOff>430695</xdr:colOff>
      <xdr:row>43</xdr:row>
      <xdr:rowOff>149088</xdr:rowOff>
    </xdr:to>
    <xdr:sp macro="" textlink="">
      <xdr:nvSpPr>
        <xdr:cNvPr id="14" name="TextBox 13"/>
        <xdr:cNvSpPr txBox="1"/>
      </xdr:nvSpPr>
      <xdr:spPr>
        <a:xfrm>
          <a:off x="2468217" y="5963479"/>
          <a:ext cx="985630" cy="1515718"/>
        </a:xfrm>
        <a:prstGeom prst="rect">
          <a:avLst/>
        </a:prstGeom>
        <a:solidFill>
          <a:schemeClr val="lt1">
            <a:alpha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PASTE  </a:t>
          </a:r>
        </a:p>
        <a:p>
          <a:pPr algn="r"/>
          <a:endParaRPr lang="en-US" sz="850" b="1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A picture             </a:t>
          </a:r>
        </a:p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of</a:t>
          </a:r>
          <a:r>
            <a:rPr lang="en-US" sz="850" b="1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t</a:t>
          </a:r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he assembled         kit drawing.</a:t>
          </a:r>
          <a:r>
            <a:rPr lang="en-US" sz="850" b="1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endParaRPr lang="en-US" sz="850" b="1" i="1" baseline="0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Then resize     height to 2'' so that it fits in space provided</a:t>
          </a:r>
        </a:p>
      </xdr:txBody>
    </xdr:sp>
    <xdr:clientData/>
  </xdr:twoCellAnchor>
  <xdr:twoCellAnchor>
    <xdr:from>
      <xdr:col>3</xdr:col>
      <xdr:colOff>356153</xdr:colOff>
      <xdr:row>9</xdr:row>
      <xdr:rowOff>0</xdr:rowOff>
    </xdr:from>
    <xdr:to>
      <xdr:col>6</xdr:col>
      <xdr:colOff>24848</xdr:colOff>
      <xdr:row>15</xdr:row>
      <xdr:rowOff>165652</xdr:rowOff>
    </xdr:to>
    <xdr:sp macro="" textlink="">
      <xdr:nvSpPr>
        <xdr:cNvPr id="15" name="TextBox 14"/>
        <xdr:cNvSpPr txBox="1"/>
      </xdr:nvSpPr>
      <xdr:spPr>
        <a:xfrm>
          <a:off x="1374914" y="1499152"/>
          <a:ext cx="761999" cy="116784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9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9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24849</xdr:colOff>
      <xdr:row>33</xdr:row>
      <xdr:rowOff>1</xdr:rowOff>
    </xdr:from>
    <xdr:to>
      <xdr:col>8</xdr:col>
      <xdr:colOff>405848</xdr:colOff>
      <xdr:row>33</xdr:row>
      <xdr:rowOff>165653</xdr:rowOff>
    </xdr:to>
    <xdr:sp macro="" textlink="">
      <xdr:nvSpPr>
        <xdr:cNvPr id="16" name="TextBox 15"/>
        <xdr:cNvSpPr txBox="1"/>
      </xdr:nvSpPr>
      <xdr:spPr>
        <a:xfrm>
          <a:off x="24849" y="5590762"/>
          <a:ext cx="3404151" cy="16565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54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9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 within this cell!!!</a:t>
          </a:r>
          <a:endParaRPr lang="en-US" sz="9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198782</xdr:colOff>
      <xdr:row>35</xdr:row>
      <xdr:rowOff>49696</xdr:rowOff>
    </xdr:from>
    <xdr:to>
      <xdr:col>2</xdr:col>
      <xdr:colOff>207065</xdr:colOff>
      <xdr:row>37</xdr:row>
      <xdr:rowOff>74544</xdr:rowOff>
    </xdr:to>
    <xdr:sp macro="" textlink="">
      <xdr:nvSpPr>
        <xdr:cNvPr id="17" name="TextBox 16"/>
        <xdr:cNvSpPr txBox="1"/>
      </xdr:nvSpPr>
      <xdr:spPr>
        <a:xfrm>
          <a:off x="198782" y="6021457"/>
          <a:ext cx="704022" cy="3727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Picture</a:t>
          </a:r>
        </a:p>
        <a:p>
          <a:pPr algn="r"/>
          <a:r>
            <a:rPr lang="en-US" sz="90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example:</a:t>
          </a:r>
        </a:p>
      </xdr:txBody>
    </xdr:sp>
    <xdr:clientData/>
  </xdr:twoCellAnchor>
  <xdr:twoCellAnchor>
    <xdr:from>
      <xdr:col>0</xdr:col>
      <xdr:colOff>24849</xdr:colOff>
      <xdr:row>21</xdr:row>
      <xdr:rowOff>24847</xdr:rowOff>
    </xdr:from>
    <xdr:to>
      <xdr:col>4</xdr:col>
      <xdr:colOff>331304</xdr:colOff>
      <xdr:row>30</xdr:row>
      <xdr:rowOff>115955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91109</xdr:colOff>
      <xdr:row>22</xdr:row>
      <xdr:rowOff>107674</xdr:rowOff>
    </xdr:from>
    <xdr:to>
      <xdr:col>8</xdr:col>
      <xdr:colOff>57979</xdr:colOff>
      <xdr:row>30</xdr:row>
      <xdr:rowOff>74543</xdr:rowOff>
    </xdr:to>
    <xdr:sp macro="" textlink="">
      <xdr:nvSpPr>
        <xdr:cNvPr id="19" name="TextBox 18"/>
        <xdr:cNvSpPr txBox="1"/>
      </xdr:nvSpPr>
      <xdr:spPr>
        <a:xfrm>
          <a:off x="455544" y="3834848"/>
          <a:ext cx="2625587" cy="130865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 ALTER OR DELETE</a:t>
          </a:r>
          <a:r>
            <a:rPr lang="en-US" sz="9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the equations in this entire section!!! </a:t>
          </a:r>
          <a:endParaRPr lang="en-US" sz="9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16566</xdr:colOff>
      <xdr:row>0</xdr:row>
      <xdr:rowOff>48744</xdr:rowOff>
    </xdr:from>
    <xdr:to>
      <xdr:col>16</xdr:col>
      <xdr:colOff>248478</xdr:colOff>
      <xdr:row>4</xdr:row>
      <xdr:rowOff>158308</xdr:rowOff>
    </xdr:to>
    <xdr:pic>
      <xdr:nvPicPr>
        <xdr:cNvPr id="2" name="Sundyne_Log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2732" t="4898" r="4373" b="2991"/>
        <a:stretch/>
      </xdr:blipFill>
      <xdr:spPr bwMode="auto">
        <a:xfrm>
          <a:off x="3978966" y="48744"/>
          <a:ext cx="2036692" cy="7572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132522</xdr:colOff>
      <xdr:row>34</xdr:row>
      <xdr:rowOff>33130</xdr:rowOff>
    </xdr:from>
    <xdr:to>
      <xdr:col>7</xdr:col>
      <xdr:colOff>341244</xdr:colOff>
      <xdr:row>44</xdr:row>
      <xdr:rowOff>130865</xdr:rowOff>
    </xdr:to>
    <xdr:pic>
      <xdr:nvPicPr>
        <xdr:cNvPr id="3" name="Image 1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980"/>
        <a:stretch/>
      </xdr:blipFill>
      <xdr:spPr bwMode="auto">
        <a:xfrm>
          <a:off x="494472" y="5262355"/>
          <a:ext cx="2406513" cy="1803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24849</xdr:colOff>
      <xdr:row>21</xdr:row>
      <xdr:rowOff>24847</xdr:rowOff>
    </xdr:from>
    <xdr:to>
      <xdr:col>4</xdr:col>
      <xdr:colOff>331304</xdr:colOff>
      <xdr:row>30</xdr:row>
      <xdr:rowOff>115955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207065</xdr:colOff>
      <xdr:row>0</xdr:row>
      <xdr:rowOff>0</xdr:rowOff>
    </xdr:from>
    <xdr:ext cx="3111493" cy="426655"/>
    <xdr:sp macro="" textlink="">
      <xdr:nvSpPr>
        <xdr:cNvPr id="5" name="Rectangle 4"/>
        <xdr:cNvSpPr/>
      </xdr:nvSpPr>
      <xdr:spPr>
        <a:xfrm>
          <a:off x="207065" y="0"/>
          <a:ext cx="3111493" cy="42665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US" sz="22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Stencil" panose="040409050D0802020404" pitchFamily="82" charset="0"/>
            </a:rPr>
            <a:t>Project Dashboard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</xdr:row>
          <xdr:rowOff>38100</xdr:rowOff>
        </xdr:from>
        <xdr:to>
          <xdr:col>8</xdr:col>
          <xdr:colOff>1242060</xdr:colOff>
          <xdr:row>3</xdr:row>
          <xdr:rowOff>198120</xdr:rowOff>
        </xdr:to>
        <xdr:sp macro="" textlink="">
          <xdr:nvSpPr>
            <xdr:cNvPr id="4097" name="Option Button 1" descr="&#10;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Standard SDI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</xdr:row>
          <xdr:rowOff>30480</xdr:rowOff>
        </xdr:from>
        <xdr:to>
          <xdr:col>8</xdr:col>
          <xdr:colOff>1341120</xdr:colOff>
          <xdr:row>4</xdr:row>
          <xdr:rowOff>152400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SDI 2013C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38100</xdr:rowOff>
        </xdr:from>
        <xdr:to>
          <xdr:col>8</xdr:col>
          <xdr:colOff>1341120</xdr:colOff>
          <xdr:row>5</xdr:row>
          <xdr:rowOff>160020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Other Format (Manual)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O120"/>
  <sheetViews>
    <sheetView topLeftCell="A28" zoomScale="130" zoomScaleNormal="130" workbookViewId="0">
      <selection activeCell="D18" sqref="D18:E18"/>
    </sheetView>
  </sheetViews>
  <sheetFormatPr defaultColWidth="9.109375" defaultRowHeight="14.4" x14ac:dyDescent="0.3"/>
  <cols>
    <col min="1" max="1" width="5.44140625" style="1" customWidth="1"/>
    <col min="2" max="2" width="5" style="1" customWidth="1"/>
    <col min="3" max="3" width="4.88671875" style="1" customWidth="1"/>
    <col min="4" max="4" width="5.44140625" style="1" customWidth="1"/>
    <col min="5" max="5" width="5.33203125" style="1" customWidth="1"/>
    <col min="6" max="6" width="5.5546875" style="1" customWidth="1"/>
    <col min="7" max="8" width="6.88671875" style="1" customWidth="1"/>
    <col min="9" max="9" width="7.6640625" style="1" customWidth="1"/>
    <col min="10" max="10" width="4" style="1" customWidth="1"/>
    <col min="11" max="11" width="4.44140625" style="1" customWidth="1"/>
    <col min="12" max="13" width="4.6640625" style="1" customWidth="1"/>
    <col min="14" max="19" width="4.44140625" style="1" customWidth="1"/>
    <col min="20" max="21" width="4.6640625" style="1" customWidth="1"/>
    <col min="22" max="22" width="4.5546875" style="1" customWidth="1"/>
    <col min="23" max="23" width="4.44140625" style="1" customWidth="1"/>
    <col min="24" max="29" width="4.5546875" style="1" customWidth="1"/>
    <col min="30" max="30" width="5.33203125" style="1" customWidth="1"/>
    <col min="31" max="31" width="5.44140625" style="1" customWidth="1"/>
    <col min="32" max="32" width="5.109375" style="1" customWidth="1"/>
    <col min="33" max="33" width="4.109375" style="1" customWidth="1"/>
    <col min="34" max="38" width="4.33203125" style="1" customWidth="1"/>
    <col min="39" max="40" width="5" style="1" customWidth="1"/>
    <col min="41" max="68" width="4.5546875" style="1" customWidth="1"/>
    <col min="69" max="16384" width="9.109375" style="1"/>
  </cols>
  <sheetData>
    <row r="1" spans="1:67" ht="12.75" customHeight="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152" t="s">
        <v>3</v>
      </c>
      <c r="U1" s="153"/>
      <c r="V1" s="154"/>
      <c r="W1" s="185"/>
      <c r="X1" s="186"/>
      <c r="Y1" s="186"/>
      <c r="Z1" s="187"/>
      <c r="AA1" s="9"/>
      <c r="AB1" s="9"/>
      <c r="AC1" s="188" t="s">
        <v>0</v>
      </c>
      <c r="AD1" s="189"/>
      <c r="AE1" s="189"/>
      <c r="AF1" s="185"/>
      <c r="AG1" s="186"/>
      <c r="AH1" s="186"/>
      <c r="AI1" s="186"/>
      <c r="AJ1" s="186"/>
      <c r="AK1" s="186"/>
      <c r="AL1" s="186"/>
      <c r="AM1" s="186"/>
      <c r="AN1" s="186"/>
      <c r="AO1" s="186"/>
      <c r="AP1" s="187"/>
      <c r="AQ1" s="55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</row>
    <row r="2" spans="1:67" ht="13.5" customHeigh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90" t="s">
        <v>7</v>
      </c>
      <c r="U2" s="191"/>
      <c r="V2" s="192"/>
      <c r="W2" s="193" t="s">
        <v>30</v>
      </c>
      <c r="X2" s="194"/>
      <c r="Y2" s="194"/>
      <c r="Z2" s="195"/>
      <c r="AA2" s="9"/>
      <c r="AB2" s="9"/>
      <c r="AC2" s="196" t="s">
        <v>1</v>
      </c>
      <c r="AD2" s="197"/>
      <c r="AE2" s="197"/>
      <c r="AF2" s="198" t="s">
        <v>30</v>
      </c>
      <c r="AG2" s="199"/>
      <c r="AH2" s="199"/>
      <c r="AI2" s="199"/>
      <c r="AJ2" s="199"/>
      <c r="AK2" s="199"/>
      <c r="AL2" s="199"/>
      <c r="AM2" s="199"/>
      <c r="AN2" s="199"/>
      <c r="AO2" s="199"/>
      <c r="AP2" s="200"/>
      <c r="AQ2" s="55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</row>
    <row r="3" spans="1:67" ht="12" customHeight="1" x14ac:dyDescent="0.3">
      <c r="B3" s="216" t="s">
        <v>87</v>
      </c>
      <c r="C3" s="216"/>
      <c r="D3" s="216"/>
      <c r="E3" s="216"/>
      <c r="F3" s="216"/>
      <c r="G3" s="216"/>
      <c r="H3" s="216"/>
      <c r="I3" s="5"/>
      <c r="J3" s="9"/>
      <c r="K3" s="9"/>
      <c r="L3" s="9"/>
      <c r="M3" s="9"/>
      <c r="N3" s="9"/>
      <c r="O3" s="9"/>
      <c r="P3" s="9"/>
      <c r="Q3" s="9"/>
      <c r="R3" s="9"/>
      <c r="S3" s="9"/>
      <c r="T3" s="190" t="s">
        <v>69</v>
      </c>
      <c r="U3" s="191"/>
      <c r="V3" s="192"/>
      <c r="W3" s="193" t="s">
        <v>27</v>
      </c>
      <c r="X3" s="194"/>
      <c r="Y3" s="194"/>
      <c r="Z3" s="195"/>
      <c r="AA3" s="9"/>
      <c r="AB3" s="9"/>
      <c r="AC3" s="196" t="s">
        <v>4</v>
      </c>
      <c r="AD3" s="197"/>
      <c r="AE3" s="197"/>
      <c r="AF3" s="198" t="s">
        <v>27</v>
      </c>
      <c r="AG3" s="199"/>
      <c r="AH3" s="199"/>
      <c r="AI3" s="199"/>
      <c r="AJ3" s="199"/>
      <c r="AK3" s="199"/>
      <c r="AL3" s="199"/>
      <c r="AM3" s="199"/>
      <c r="AN3" s="199"/>
      <c r="AO3" s="199"/>
      <c r="AP3" s="200"/>
      <c r="AQ3" s="55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</row>
    <row r="4" spans="1:67" ht="12.75" customHeight="1" x14ac:dyDescent="0.3">
      <c r="B4" s="216"/>
      <c r="C4" s="216"/>
      <c r="D4" s="216"/>
      <c r="E4" s="216"/>
      <c r="F4" s="216"/>
      <c r="G4" s="216"/>
      <c r="H4" s="216"/>
      <c r="I4" s="5"/>
      <c r="J4" s="9"/>
      <c r="K4" s="9"/>
      <c r="L4" s="9"/>
      <c r="M4" s="9"/>
      <c r="N4" s="9"/>
      <c r="O4" s="9"/>
      <c r="P4" s="9"/>
      <c r="Q4" s="9"/>
      <c r="R4" s="9"/>
      <c r="S4" s="9"/>
      <c r="T4" s="196" t="s">
        <v>5</v>
      </c>
      <c r="U4" s="197"/>
      <c r="V4" s="197"/>
      <c r="W4" s="176"/>
      <c r="X4" s="176"/>
      <c r="Y4" s="176"/>
      <c r="Z4" s="177"/>
      <c r="AA4" s="9"/>
      <c r="AB4" s="9"/>
      <c r="AC4" s="196" t="s">
        <v>15</v>
      </c>
      <c r="AD4" s="197"/>
      <c r="AE4" s="197"/>
      <c r="AF4" s="217"/>
      <c r="AG4" s="218"/>
      <c r="AH4" s="218"/>
      <c r="AI4" s="218"/>
      <c r="AJ4" s="219"/>
      <c r="AK4" s="220" t="s">
        <v>2</v>
      </c>
      <c r="AL4" s="220"/>
      <c r="AM4" s="201"/>
      <c r="AN4" s="202"/>
      <c r="AO4" s="202"/>
      <c r="AP4" s="203"/>
      <c r="AQ4" s="55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</row>
    <row r="5" spans="1:67" ht="12.75" customHeight="1" thickBot="1" x14ac:dyDescent="0.35">
      <c r="F5" s="204" t="s">
        <v>9</v>
      </c>
      <c r="G5" s="204"/>
      <c r="H5" s="93" t="s">
        <v>77</v>
      </c>
      <c r="K5" s="9"/>
      <c r="L5" s="9"/>
      <c r="M5" s="9"/>
      <c r="N5" s="9"/>
      <c r="O5" s="9"/>
      <c r="P5" s="9"/>
      <c r="Q5" s="9"/>
      <c r="R5" s="9"/>
      <c r="S5" s="9"/>
      <c r="T5" s="205" t="s">
        <v>6</v>
      </c>
      <c r="U5" s="206"/>
      <c r="V5" s="206"/>
      <c r="W5" s="207"/>
      <c r="X5" s="207"/>
      <c r="Y5" s="207"/>
      <c r="Z5" s="208"/>
      <c r="AA5" s="9"/>
      <c r="AB5" s="9"/>
      <c r="AC5" s="205" t="s">
        <v>16</v>
      </c>
      <c r="AD5" s="206"/>
      <c r="AE5" s="206"/>
      <c r="AF5" s="209"/>
      <c r="AG5" s="210"/>
      <c r="AH5" s="210"/>
      <c r="AI5" s="210"/>
      <c r="AJ5" s="211"/>
      <c r="AK5" s="212" t="s">
        <v>8</v>
      </c>
      <c r="AL5" s="212"/>
      <c r="AM5" s="213"/>
      <c r="AN5" s="214"/>
      <c r="AO5" s="214"/>
      <c r="AP5" s="215"/>
      <c r="AQ5" s="55"/>
      <c r="AR5" s="54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</row>
    <row r="6" spans="1:67" ht="12.75" customHeight="1" x14ac:dyDescent="0.3">
      <c r="A6" s="4"/>
      <c r="B6" s="9"/>
      <c r="C6" s="9"/>
      <c r="K6" s="9"/>
      <c r="L6" s="9"/>
      <c r="M6" s="9"/>
      <c r="N6" s="9"/>
      <c r="O6" s="9"/>
      <c r="P6" s="9"/>
      <c r="Q6" s="9"/>
      <c r="R6" s="9"/>
      <c r="S6" s="9"/>
      <c r="T6" s="9"/>
      <c r="U6" s="39"/>
      <c r="V6" s="39"/>
      <c r="W6" s="39"/>
      <c r="X6" s="75"/>
      <c r="Y6" s="75"/>
      <c r="Z6" s="75"/>
      <c r="AA6" s="75"/>
      <c r="AB6" s="9"/>
      <c r="AC6" s="9"/>
      <c r="AD6" s="9"/>
      <c r="AE6" s="39"/>
      <c r="AF6" s="39"/>
      <c r="AG6" s="39"/>
      <c r="AH6" s="79"/>
      <c r="AI6" s="79"/>
      <c r="AJ6" s="79"/>
      <c r="AK6" s="39"/>
      <c r="AL6" s="39"/>
      <c r="AM6" s="41"/>
      <c r="AN6" s="41"/>
      <c r="AO6" s="9"/>
      <c r="AP6" s="9"/>
      <c r="AQ6" s="55"/>
      <c r="AR6" s="54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</row>
    <row r="7" spans="1:67" ht="12.75" customHeight="1" thickBot="1" x14ac:dyDescent="0.35">
      <c r="A7" s="155" t="s">
        <v>66</v>
      </c>
      <c r="B7" s="155"/>
      <c r="C7" s="155"/>
      <c r="D7" s="155"/>
      <c r="E7" s="155"/>
      <c r="F7" s="155"/>
      <c r="G7" s="155"/>
      <c r="H7" s="155"/>
      <c r="I7" s="155"/>
      <c r="J7" s="4"/>
      <c r="K7" s="155" t="s">
        <v>68</v>
      </c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9"/>
      <c r="AP7" s="9"/>
      <c r="AQ7" s="55"/>
      <c r="AR7" s="54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</row>
    <row r="8" spans="1:67" ht="12.75" customHeight="1" thickBot="1" x14ac:dyDescent="0.35">
      <c r="A8" s="156" t="s">
        <v>70</v>
      </c>
      <c r="B8" s="157"/>
      <c r="C8" s="157"/>
      <c r="D8" s="160" t="s">
        <v>10</v>
      </c>
      <c r="E8" s="160" t="s">
        <v>11</v>
      </c>
      <c r="F8" s="162"/>
      <c r="G8" s="162" t="s">
        <v>13</v>
      </c>
      <c r="H8" s="164"/>
      <c r="I8" s="165"/>
      <c r="J8" s="4"/>
      <c r="K8" s="237" t="s">
        <v>22</v>
      </c>
      <c r="L8" s="238"/>
      <c r="M8" s="239" t="s">
        <v>23</v>
      </c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21" t="s">
        <v>24</v>
      </c>
      <c r="Y8" s="222"/>
      <c r="Z8" s="222"/>
      <c r="AA8" s="223"/>
      <c r="AB8" s="221" t="s">
        <v>26</v>
      </c>
      <c r="AC8" s="223"/>
      <c r="AD8" s="221" t="s">
        <v>57</v>
      </c>
      <c r="AE8" s="222"/>
      <c r="AF8" s="223"/>
      <c r="AG8" s="224" t="s">
        <v>25</v>
      </c>
      <c r="AH8" s="225"/>
      <c r="AI8" s="225"/>
      <c r="AJ8" s="225"/>
      <c r="AK8" s="225"/>
      <c r="AL8" s="225"/>
      <c r="AM8" s="225"/>
      <c r="AN8" s="225"/>
      <c r="AO8" s="225"/>
      <c r="AP8" s="226"/>
      <c r="AQ8" s="55"/>
      <c r="AR8" s="54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</row>
    <row r="9" spans="1:67" ht="14.25" customHeight="1" thickBot="1" x14ac:dyDescent="0.35">
      <c r="A9" s="158"/>
      <c r="B9" s="159"/>
      <c r="C9" s="159"/>
      <c r="D9" s="161"/>
      <c r="E9" s="161"/>
      <c r="F9" s="163"/>
      <c r="G9" s="78" t="s">
        <v>71</v>
      </c>
      <c r="H9" s="43" t="s">
        <v>12</v>
      </c>
      <c r="I9" s="44" t="s">
        <v>35</v>
      </c>
      <c r="J9" s="4"/>
      <c r="K9" s="227"/>
      <c r="L9" s="228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30"/>
      <c r="Y9" s="231"/>
      <c r="Z9" s="231"/>
      <c r="AA9" s="232"/>
      <c r="AB9" s="233"/>
      <c r="AC9" s="234"/>
      <c r="AD9" s="235"/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6"/>
      <c r="AQ9" s="55"/>
      <c r="AR9" s="54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</row>
    <row r="10" spans="1:67" ht="13.5" customHeight="1" x14ac:dyDescent="0.3">
      <c r="A10" s="251"/>
      <c r="B10" s="252"/>
      <c r="C10" s="252"/>
      <c r="D10" s="42"/>
      <c r="E10" s="253" t="str">
        <f>IF(D10&gt;0,($E$17*D10)+$E$17," ")</f>
        <v xml:space="preserve"> </v>
      </c>
      <c r="F10" s="254"/>
      <c r="G10" s="84"/>
      <c r="H10" s="85"/>
      <c r="I10" s="86"/>
      <c r="J10" s="4"/>
      <c r="K10" s="181"/>
      <c r="L10" s="182"/>
      <c r="M10" s="255"/>
      <c r="N10" s="256"/>
      <c r="O10" s="256"/>
      <c r="P10" s="256"/>
      <c r="Q10" s="256"/>
      <c r="R10" s="256"/>
      <c r="S10" s="256"/>
      <c r="T10" s="256"/>
      <c r="U10" s="256"/>
      <c r="V10" s="256"/>
      <c r="W10" s="257"/>
      <c r="X10" s="246"/>
      <c r="Y10" s="247"/>
      <c r="Z10" s="247"/>
      <c r="AA10" s="248"/>
      <c r="AB10" s="249"/>
      <c r="AC10" s="250"/>
      <c r="AD10" s="240"/>
      <c r="AE10" s="240"/>
      <c r="AF10" s="240"/>
      <c r="AG10" s="240"/>
      <c r="AH10" s="240"/>
      <c r="AI10" s="240"/>
      <c r="AJ10" s="240"/>
      <c r="AK10" s="240"/>
      <c r="AL10" s="240"/>
      <c r="AM10" s="240"/>
      <c r="AN10" s="240"/>
      <c r="AO10" s="240"/>
      <c r="AP10" s="241"/>
      <c r="AQ10" s="55"/>
      <c r="AR10" s="54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</row>
    <row r="11" spans="1:67" ht="12.75" customHeight="1" x14ac:dyDescent="0.3">
      <c r="A11" s="242" t="s">
        <v>30</v>
      </c>
      <c r="B11" s="243"/>
      <c r="C11" s="243"/>
      <c r="D11" s="6"/>
      <c r="E11" s="244" t="str">
        <f t="shared" ref="E11:E16" si="0">IF(D11&gt;0,($E$17*D11)+$E$17," ")</f>
        <v xml:space="preserve"> </v>
      </c>
      <c r="F11" s="245"/>
      <c r="G11" s="87"/>
      <c r="H11" s="94" t="s">
        <v>78</v>
      </c>
      <c r="I11" s="95" t="s">
        <v>80</v>
      </c>
      <c r="J11" s="4"/>
      <c r="K11" s="181"/>
      <c r="L11" s="182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246"/>
      <c r="Y11" s="247"/>
      <c r="Z11" s="247"/>
      <c r="AA11" s="248"/>
      <c r="AB11" s="249"/>
      <c r="AC11" s="250"/>
      <c r="AD11" s="240"/>
      <c r="AE11" s="240"/>
      <c r="AF11" s="240"/>
      <c r="AG11" s="240"/>
      <c r="AH11" s="240"/>
      <c r="AI11" s="240"/>
      <c r="AJ11" s="240"/>
      <c r="AK11" s="240"/>
      <c r="AL11" s="240"/>
      <c r="AM11" s="240"/>
      <c r="AN11" s="240"/>
      <c r="AO11" s="240"/>
      <c r="AP11" s="241"/>
      <c r="AQ11" s="55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</row>
    <row r="12" spans="1:67" ht="12.75" customHeight="1" x14ac:dyDescent="0.3">
      <c r="A12" s="242" t="s">
        <v>27</v>
      </c>
      <c r="B12" s="243"/>
      <c r="C12" s="243"/>
      <c r="D12" s="6"/>
      <c r="E12" s="244" t="str">
        <f t="shared" si="0"/>
        <v xml:space="preserve"> </v>
      </c>
      <c r="F12" s="245"/>
      <c r="G12" s="87"/>
      <c r="H12" s="94" t="s">
        <v>82</v>
      </c>
      <c r="I12" s="95" t="s">
        <v>83</v>
      </c>
      <c r="J12" s="4"/>
      <c r="K12" s="181"/>
      <c r="L12" s="182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246"/>
      <c r="Y12" s="247"/>
      <c r="Z12" s="247"/>
      <c r="AA12" s="248"/>
      <c r="AB12" s="249"/>
      <c r="AC12" s="250"/>
      <c r="AD12" s="240"/>
      <c r="AE12" s="240"/>
      <c r="AF12" s="240"/>
      <c r="AG12" s="258" t="s">
        <v>53</v>
      </c>
      <c r="AH12" s="259"/>
      <c r="AI12" s="259"/>
      <c r="AJ12" s="259"/>
      <c r="AK12" s="259"/>
      <c r="AL12" s="259"/>
      <c r="AM12" s="259"/>
      <c r="AN12" s="259"/>
      <c r="AO12" s="259"/>
      <c r="AP12" s="260"/>
      <c r="AQ12" s="55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</row>
    <row r="13" spans="1:67" ht="12.75" customHeight="1" x14ac:dyDescent="0.3">
      <c r="A13" s="261"/>
      <c r="B13" s="243"/>
      <c r="C13" s="243"/>
      <c r="D13" s="6"/>
      <c r="E13" s="244" t="str">
        <f t="shared" si="0"/>
        <v xml:space="preserve"> </v>
      </c>
      <c r="F13" s="245"/>
      <c r="G13" s="87"/>
      <c r="H13" s="88"/>
      <c r="I13" s="89"/>
      <c r="J13" s="4"/>
      <c r="K13" s="181"/>
      <c r="L13" s="182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246"/>
      <c r="Y13" s="247"/>
      <c r="Z13" s="247"/>
      <c r="AA13" s="248"/>
      <c r="AB13" s="249"/>
      <c r="AC13" s="250"/>
      <c r="AD13" s="240"/>
      <c r="AE13" s="240"/>
      <c r="AF13" s="240"/>
      <c r="AG13" s="258" t="s">
        <v>54</v>
      </c>
      <c r="AH13" s="259"/>
      <c r="AI13" s="259"/>
      <c r="AJ13" s="259"/>
      <c r="AK13" s="259"/>
      <c r="AL13" s="259"/>
      <c r="AM13" s="259"/>
      <c r="AN13" s="259"/>
      <c r="AO13" s="259"/>
      <c r="AP13" s="260"/>
      <c r="AQ13" s="55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</row>
    <row r="14" spans="1:67" ht="12.75" customHeight="1" x14ac:dyDescent="0.3">
      <c r="A14" s="261"/>
      <c r="B14" s="243"/>
      <c r="C14" s="243"/>
      <c r="D14" s="6"/>
      <c r="E14" s="244" t="str">
        <f t="shared" si="0"/>
        <v xml:space="preserve"> </v>
      </c>
      <c r="F14" s="245"/>
      <c r="G14" s="87"/>
      <c r="H14" s="88"/>
      <c r="I14" s="89"/>
      <c r="J14" s="4"/>
      <c r="K14" s="181"/>
      <c r="L14" s="182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246"/>
      <c r="Y14" s="247"/>
      <c r="Z14" s="247"/>
      <c r="AA14" s="248"/>
      <c r="AB14" s="249"/>
      <c r="AC14" s="250"/>
      <c r="AD14" s="240"/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1"/>
      <c r="AQ14" s="55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</row>
    <row r="15" spans="1:67" ht="12.75" customHeight="1" x14ac:dyDescent="0.3">
      <c r="A15" s="261"/>
      <c r="B15" s="243"/>
      <c r="C15" s="243"/>
      <c r="D15" s="6"/>
      <c r="E15" s="244" t="str">
        <f t="shared" si="0"/>
        <v xml:space="preserve"> </v>
      </c>
      <c r="F15" s="245"/>
      <c r="G15" s="87"/>
      <c r="H15" s="88"/>
      <c r="I15" s="89"/>
      <c r="J15" s="4"/>
      <c r="K15" s="181"/>
      <c r="L15" s="182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246"/>
      <c r="Y15" s="247"/>
      <c r="Z15" s="247"/>
      <c r="AA15" s="248"/>
      <c r="AB15" s="249"/>
      <c r="AC15" s="250"/>
      <c r="AD15" s="240"/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1"/>
      <c r="AQ15" s="55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</row>
    <row r="16" spans="1:67" ht="13.5" customHeight="1" thickBot="1" x14ac:dyDescent="0.35">
      <c r="A16" s="264"/>
      <c r="B16" s="265"/>
      <c r="C16" s="265"/>
      <c r="D16" s="7"/>
      <c r="E16" s="266" t="str">
        <f t="shared" si="0"/>
        <v xml:space="preserve"> </v>
      </c>
      <c r="F16" s="267"/>
      <c r="G16" s="90"/>
      <c r="H16" s="91"/>
      <c r="I16" s="92"/>
      <c r="J16" s="4"/>
      <c r="K16" s="181"/>
      <c r="L16" s="182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246"/>
      <c r="Y16" s="247"/>
      <c r="Z16" s="247"/>
      <c r="AA16" s="248"/>
      <c r="AB16" s="249"/>
      <c r="AC16" s="250"/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1"/>
      <c r="AQ16" s="55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</row>
    <row r="17" spans="1:67" ht="14.25" customHeight="1" thickBot="1" x14ac:dyDescent="0.35">
      <c r="A17" s="262" t="s">
        <v>14</v>
      </c>
      <c r="B17" s="262"/>
      <c r="C17" s="262"/>
      <c r="D17" s="262"/>
      <c r="E17" s="263" t="s">
        <v>30</v>
      </c>
      <c r="F17" s="263"/>
      <c r="G17" s="4"/>
      <c r="H17" s="4"/>
      <c r="I17" s="4"/>
      <c r="J17" s="4"/>
      <c r="K17" s="181"/>
      <c r="L17" s="182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246"/>
      <c r="Y17" s="247"/>
      <c r="Z17" s="247"/>
      <c r="AA17" s="248"/>
      <c r="AB17" s="249"/>
      <c r="AC17" s="250"/>
      <c r="AD17" s="240"/>
      <c r="AE17" s="240"/>
      <c r="AF17" s="240"/>
      <c r="AG17" s="240"/>
      <c r="AH17" s="240"/>
      <c r="AI17" s="240"/>
      <c r="AJ17" s="240"/>
      <c r="AK17" s="240"/>
      <c r="AL17" s="240"/>
      <c r="AM17" s="240"/>
      <c r="AN17" s="240"/>
      <c r="AO17" s="240"/>
      <c r="AP17" s="241"/>
      <c r="AQ17" s="55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</row>
    <row r="18" spans="1:67" ht="12.75" customHeight="1" thickBot="1" x14ac:dyDescent="0.35">
      <c r="A18" s="166" t="s">
        <v>19</v>
      </c>
      <c r="B18" s="167" t="s">
        <v>74</v>
      </c>
      <c r="C18" s="168"/>
      <c r="D18" s="169" t="s">
        <v>75</v>
      </c>
      <c r="E18" s="169"/>
      <c r="F18" s="170" t="s">
        <v>11</v>
      </c>
      <c r="G18" s="171"/>
      <c r="H18" s="172" t="s">
        <v>102</v>
      </c>
      <c r="I18" s="172"/>
      <c r="J18" s="4"/>
      <c r="K18" s="173"/>
      <c r="L18" s="174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8"/>
      <c r="Y18" s="179"/>
      <c r="Z18" s="179"/>
      <c r="AA18" s="180"/>
      <c r="AB18" s="268"/>
      <c r="AC18" s="269"/>
      <c r="AD18" s="270"/>
      <c r="AE18" s="270"/>
      <c r="AF18" s="270"/>
      <c r="AG18" s="271"/>
      <c r="AH18" s="271"/>
      <c r="AI18" s="271"/>
      <c r="AJ18" s="271"/>
      <c r="AK18" s="271"/>
      <c r="AL18" s="271"/>
      <c r="AM18" s="271"/>
      <c r="AN18" s="271"/>
      <c r="AO18" s="271"/>
      <c r="AP18" s="272"/>
      <c r="AQ18" s="55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</row>
    <row r="19" spans="1:67" ht="13.5" customHeight="1" thickBot="1" x14ac:dyDescent="0.35">
      <c r="A19" s="166"/>
      <c r="B19" s="273" t="s">
        <v>78</v>
      </c>
      <c r="C19" s="274"/>
      <c r="D19" s="275" t="s">
        <v>81</v>
      </c>
      <c r="E19" s="276"/>
      <c r="F19" s="277" t="s">
        <v>79</v>
      </c>
      <c r="G19" s="278"/>
      <c r="H19" s="172"/>
      <c r="I19" s="172"/>
      <c r="J19" s="4"/>
      <c r="K19" s="181"/>
      <c r="L19" s="182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2"/>
      <c r="Y19" s="182"/>
      <c r="Z19" s="182"/>
      <c r="AA19" s="182"/>
      <c r="AB19" s="279"/>
      <c r="AC19" s="279"/>
      <c r="AD19" s="240"/>
      <c r="AE19" s="240"/>
      <c r="AF19" s="240"/>
      <c r="AG19" s="280"/>
      <c r="AH19" s="280"/>
      <c r="AI19" s="280"/>
      <c r="AJ19" s="280"/>
      <c r="AK19" s="280"/>
      <c r="AL19" s="280"/>
      <c r="AM19" s="280"/>
      <c r="AN19" s="280"/>
      <c r="AO19" s="280"/>
      <c r="AP19" s="281"/>
      <c r="AQ19" s="55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</row>
    <row r="20" spans="1:67" ht="12.75" customHeight="1" x14ac:dyDescent="0.3">
      <c r="A20" s="81"/>
      <c r="B20" s="81"/>
      <c r="C20" s="81"/>
      <c r="D20" s="81"/>
      <c r="E20" s="81"/>
      <c r="F20" s="81"/>
      <c r="G20" s="81"/>
      <c r="J20" s="4"/>
      <c r="K20" s="181"/>
      <c r="L20" s="182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2"/>
      <c r="Y20" s="182"/>
      <c r="Z20" s="182"/>
      <c r="AA20" s="182"/>
      <c r="AB20" s="279"/>
      <c r="AC20" s="279"/>
      <c r="AD20" s="240"/>
      <c r="AE20" s="240"/>
      <c r="AF20" s="240"/>
      <c r="AG20" s="280"/>
      <c r="AH20" s="280"/>
      <c r="AI20" s="280"/>
      <c r="AJ20" s="280"/>
      <c r="AK20" s="280"/>
      <c r="AL20" s="280"/>
      <c r="AM20" s="280"/>
      <c r="AN20" s="280"/>
      <c r="AO20" s="280"/>
      <c r="AP20" s="281"/>
      <c r="AQ20" s="55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</row>
    <row r="21" spans="1:67" ht="15.75" customHeight="1" thickBot="1" x14ac:dyDescent="0.35">
      <c r="A21" s="184" t="s">
        <v>67</v>
      </c>
      <c r="B21" s="184"/>
      <c r="C21" s="184"/>
      <c r="D21" s="184"/>
      <c r="E21" s="184"/>
      <c r="F21" s="184"/>
      <c r="G21" s="184"/>
      <c r="H21" s="184"/>
      <c r="I21" s="184"/>
      <c r="J21" s="4"/>
      <c r="K21" s="181"/>
      <c r="L21" s="182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2"/>
      <c r="Y21" s="182"/>
      <c r="Z21" s="182"/>
      <c r="AA21" s="182"/>
      <c r="AB21" s="279"/>
      <c r="AC21" s="279"/>
      <c r="AD21" s="240"/>
      <c r="AE21" s="240"/>
      <c r="AF21" s="240"/>
      <c r="AG21" s="280"/>
      <c r="AH21" s="280"/>
      <c r="AI21" s="280"/>
      <c r="AJ21" s="280"/>
      <c r="AK21" s="280"/>
      <c r="AL21" s="280"/>
      <c r="AM21" s="280"/>
      <c r="AN21" s="280"/>
      <c r="AO21" s="280"/>
      <c r="AP21" s="281"/>
      <c r="AQ21" s="55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</row>
    <row r="22" spans="1:67" ht="12.75" customHeight="1" thickBot="1" x14ac:dyDescent="0.35">
      <c r="A22" s="45"/>
      <c r="B22" s="46"/>
      <c r="C22" s="46"/>
      <c r="D22" s="46"/>
      <c r="E22" s="46"/>
      <c r="F22" s="282" t="s">
        <v>92</v>
      </c>
      <c r="G22" s="283"/>
      <c r="H22" s="286" t="s">
        <v>93</v>
      </c>
      <c r="I22" s="287"/>
      <c r="J22" s="4"/>
      <c r="K22" s="294"/>
      <c r="L22" s="295"/>
      <c r="M22" s="296"/>
      <c r="N22" s="296"/>
      <c r="O22" s="296"/>
      <c r="P22" s="296"/>
      <c r="Q22" s="296"/>
      <c r="R22" s="296"/>
      <c r="S22" s="296"/>
      <c r="T22" s="296"/>
      <c r="U22" s="296"/>
      <c r="V22" s="296"/>
      <c r="W22" s="296"/>
      <c r="X22" s="295"/>
      <c r="Y22" s="295"/>
      <c r="Z22" s="295"/>
      <c r="AA22" s="295"/>
      <c r="AB22" s="297"/>
      <c r="AC22" s="297"/>
      <c r="AD22" s="298"/>
      <c r="AE22" s="298"/>
      <c r="AF22" s="298"/>
      <c r="AG22" s="299"/>
      <c r="AH22" s="299"/>
      <c r="AI22" s="299"/>
      <c r="AJ22" s="299"/>
      <c r="AK22" s="299"/>
      <c r="AL22" s="299"/>
      <c r="AM22" s="299"/>
      <c r="AN22" s="299"/>
      <c r="AO22" s="299"/>
      <c r="AP22" s="300"/>
      <c r="AQ22" s="55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</row>
    <row r="23" spans="1:67" ht="12.75" customHeight="1" x14ac:dyDescent="0.3">
      <c r="A23" s="53"/>
      <c r="B23" s="56"/>
      <c r="C23" s="8"/>
      <c r="D23" s="8"/>
      <c r="E23" s="8"/>
      <c r="F23" s="284"/>
      <c r="G23" s="285"/>
      <c r="H23" s="288"/>
      <c r="I23" s="289"/>
      <c r="J23" s="4"/>
      <c r="K23" s="303"/>
      <c r="L23" s="304"/>
      <c r="M23" s="305"/>
      <c r="N23" s="305"/>
      <c r="O23" s="305"/>
      <c r="P23" s="305"/>
      <c r="Q23" s="305"/>
      <c r="R23" s="305"/>
      <c r="S23" s="305"/>
      <c r="T23" s="305"/>
      <c r="U23" s="305"/>
      <c r="V23" s="305"/>
      <c r="W23" s="305"/>
      <c r="X23" s="306"/>
      <c r="Y23" s="307"/>
      <c r="Z23" s="307"/>
      <c r="AA23" s="308"/>
      <c r="AB23" s="309"/>
      <c r="AC23" s="310"/>
      <c r="AD23" s="304"/>
      <c r="AE23" s="304"/>
      <c r="AF23" s="304"/>
      <c r="AG23" s="304"/>
      <c r="AH23" s="304"/>
      <c r="AI23" s="304"/>
      <c r="AJ23" s="304"/>
      <c r="AK23" s="304"/>
      <c r="AL23" s="304"/>
      <c r="AM23" s="304"/>
      <c r="AN23" s="304"/>
      <c r="AO23" s="304"/>
      <c r="AP23" s="311"/>
      <c r="AQ23" s="55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</row>
    <row r="24" spans="1:67" ht="12.75" customHeight="1" thickBot="1" x14ac:dyDescent="0.35">
      <c r="A24" s="48"/>
      <c r="B24" s="8"/>
      <c r="C24" s="8"/>
      <c r="D24" s="8"/>
      <c r="E24" s="8"/>
      <c r="F24" s="290">
        <f>COUNTA(SDI!$D$1:$D$906)</f>
        <v>0</v>
      </c>
      <c r="G24" s="291"/>
      <c r="H24" s="292">
        <f>COUNTIF(SDI!$J$1:$J$906,"F")+COUNTIF(SDI!$J$1:$J$906,"A")+COUNTIF(SDI!$J$1:$J$906,"C")+COUNTIF(SDI!$J$1:$J$906,"R")+COUNTIF(SDI!$J$1:$J$906,"I")+COUNTIF(SDI!$J$1:$J$906,"S")</f>
        <v>0</v>
      </c>
      <c r="I24" s="293"/>
      <c r="J24" s="4"/>
      <c r="K24" s="312"/>
      <c r="L24" s="301"/>
      <c r="M24" s="313"/>
      <c r="N24" s="313"/>
      <c r="O24" s="313"/>
      <c r="P24" s="313"/>
      <c r="Q24" s="313"/>
      <c r="R24" s="313"/>
      <c r="S24" s="313"/>
      <c r="T24" s="313"/>
      <c r="U24" s="313"/>
      <c r="V24" s="313"/>
      <c r="W24" s="313"/>
      <c r="X24" s="314"/>
      <c r="Y24" s="315"/>
      <c r="Z24" s="315"/>
      <c r="AA24" s="316"/>
      <c r="AB24" s="317"/>
      <c r="AC24" s="318"/>
      <c r="AD24" s="301"/>
      <c r="AE24" s="301"/>
      <c r="AF24" s="301"/>
      <c r="AG24" s="301"/>
      <c r="AH24" s="301"/>
      <c r="AI24" s="301"/>
      <c r="AJ24" s="301"/>
      <c r="AK24" s="301"/>
      <c r="AL24" s="301"/>
      <c r="AM24" s="301"/>
      <c r="AN24" s="301"/>
      <c r="AO24" s="301"/>
      <c r="AP24" s="302"/>
      <c r="AQ24" s="55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</row>
    <row r="25" spans="1:67" ht="12.75" customHeight="1" x14ac:dyDescent="0.3">
      <c r="A25" s="48"/>
      <c r="B25" s="8"/>
      <c r="C25" s="8"/>
      <c r="D25" s="8"/>
      <c r="E25" s="8"/>
      <c r="F25" s="128" t="s">
        <v>94</v>
      </c>
      <c r="G25" s="129"/>
      <c r="H25" s="132" t="s">
        <v>58</v>
      </c>
      <c r="I25" s="133"/>
      <c r="J25" s="4"/>
      <c r="K25" s="312"/>
      <c r="L25" s="301"/>
      <c r="M25" s="313"/>
      <c r="N25" s="313"/>
      <c r="O25" s="313"/>
      <c r="P25" s="313"/>
      <c r="Q25" s="313"/>
      <c r="R25" s="313"/>
      <c r="S25" s="313"/>
      <c r="T25" s="313"/>
      <c r="U25" s="313"/>
      <c r="V25" s="313"/>
      <c r="W25" s="313"/>
      <c r="X25" s="314"/>
      <c r="Y25" s="315"/>
      <c r="Z25" s="315"/>
      <c r="AA25" s="316"/>
      <c r="AB25" s="317"/>
      <c r="AC25" s="318"/>
      <c r="AD25" s="301"/>
      <c r="AE25" s="301"/>
      <c r="AF25" s="301"/>
      <c r="AG25" s="301"/>
      <c r="AH25" s="301"/>
      <c r="AI25" s="301"/>
      <c r="AJ25" s="301"/>
      <c r="AK25" s="301"/>
      <c r="AL25" s="301"/>
      <c r="AM25" s="301"/>
      <c r="AN25" s="301"/>
      <c r="AO25" s="301"/>
      <c r="AP25" s="302"/>
      <c r="AQ25" s="55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</row>
    <row r="26" spans="1:67" ht="12.75" customHeight="1" x14ac:dyDescent="0.3">
      <c r="A26" s="48"/>
      <c r="B26" s="8"/>
      <c r="C26" s="8"/>
      <c r="D26" s="8"/>
      <c r="E26" s="8"/>
      <c r="F26" s="130"/>
      <c r="G26" s="131"/>
      <c r="H26" s="134"/>
      <c r="I26" s="135"/>
      <c r="J26" s="4"/>
      <c r="K26" s="312"/>
      <c r="L26" s="301"/>
      <c r="M26" s="313"/>
      <c r="N26" s="313"/>
      <c r="O26" s="313"/>
      <c r="P26" s="313"/>
      <c r="Q26" s="313"/>
      <c r="R26" s="313"/>
      <c r="S26" s="313"/>
      <c r="T26" s="313"/>
      <c r="U26" s="313"/>
      <c r="V26" s="313"/>
      <c r="W26" s="313"/>
      <c r="X26" s="314"/>
      <c r="Y26" s="315"/>
      <c r="Z26" s="315"/>
      <c r="AA26" s="316"/>
      <c r="AB26" s="317"/>
      <c r="AC26" s="318"/>
      <c r="AD26" s="301"/>
      <c r="AE26" s="301"/>
      <c r="AF26" s="301"/>
      <c r="AG26" s="301"/>
      <c r="AH26" s="301"/>
      <c r="AI26" s="301"/>
      <c r="AJ26" s="301"/>
      <c r="AK26" s="301"/>
      <c r="AL26" s="301"/>
      <c r="AM26" s="301"/>
      <c r="AN26" s="301"/>
      <c r="AO26" s="301"/>
      <c r="AP26" s="302"/>
      <c r="AQ26" s="55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</row>
    <row r="27" spans="1:67" ht="12.75" customHeight="1" thickBot="1" x14ac:dyDescent="0.35">
      <c r="A27" s="48"/>
      <c r="B27" s="8"/>
      <c r="C27" s="8"/>
      <c r="D27" s="8"/>
      <c r="E27" s="8"/>
      <c r="F27" s="136">
        <f>COUNTIF(SDI!$J$19:$J$906,"S")</f>
        <v>0</v>
      </c>
      <c r="G27" s="137"/>
      <c r="H27" s="138">
        <f>COUNTIF(SDI!$J$1:$J$296,"F")+COUNTIF(SDI!$J$1:$J$296,"A")</f>
        <v>0</v>
      </c>
      <c r="I27" s="139"/>
      <c r="J27" s="4"/>
      <c r="K27" s="312"/>
      <c r="L27" s="301"/>
      <c r="M27" s="313"/>
      <c r="N27" s="313"/>
      <c r="O27" s="313"/>
      <c r="P27" s="313"/>
      <c r="Q27" s="313"/>
      <c r="R27" s="313"/>
      <c r="S27" s="313"/>
      <c r="T27" s="313"/>
      <c r="U27" s="313"/>
      <c r="V27" s="313"/>
      <c r="W27" s="313"/>
      <c r="X27" s="314"/>
      <c r="Y27" s="315"/>
      <c r="Z27" s="315"/>
      <c r="AA27" s="316"/>
      <c r="AB27" s="317"/>
      <c r="AC27" s="318"/>
      <c r="AD27" s="301"/>
      <c r="AE27" s="301"/>
      <c r="AF27" s="301"/>
      <c r="AG27" s="319" t="s">
        <v>53</v>
      </c>
      <c r="AH27" s="320"/>
      <c r="AI27" s="320"/>
      <c r="AJ27" s="320"/>
      <c r="AK27" s="320"/>
      <c r="AL27" s="320"/>
      <c r="AM27" s="320"/>
      <c r="AN27" s="320"/>
      <c r="AO27" s="320"/>
      <c r="AP27" s="321"/>
      <c r="AQ27" s="55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</row>
    <row r="28" spans="1:67" ht="14.25" customHeight="1" x14ac:dyDescent="0.3">
      <c r="A28" s="48"/>
      <c r="B28" s="8"/>
      <c r="C28" s="8"/>
      <c r="D28" s="8"/>
      <c r="E28" s="8"/>
      <c r="F28" s="140" t="s">
        <v>59</v>
      </c>
      <c r="G28" s="141"/>
      <c r="H28" s="144" t="s">
        <v>95</v>
      </c>
      <c r="I28" s="145"/>
      <c r="J28" s="4"/>
      <c r="K28" s="312"/>
      <c r="L28" s="301"/>
      <c r="M28" s="313"/>
      <c r="N28" s="313"/>
      <c r="O28" s="313"/>
      <c r="P28" s="313"/>
      <c r="Q28" s="313"/>
      <c r="R28" s="313"/>
      <c r="S28" s="313"/>
      <c r="T28" s="313"/>
      <c r="U28" s="313"/>
      <c r="V28" s="313"/>
      <c r="W28" s="313"/>
      <c r="X28" s="314"/>
      <c r="Y28" s="315"/>
      <c r="Z28" s="315"/>
      <c r="AA28" s="316"/>
      <c r="AB28" s="317"/>
      <c r="AC28" s="318"/>
      <c r="AD28" s="301"/>
      <c r="AE28" s="301"/>
      <c r="AF28" s="301"/>
      <c r="AG28" s="319" t="s">
        <v>54</v>
      </c>
      <c r="AH28" s="320"/>
      <c r="AI28" s="320"/>
      <c r="AJ28" s="320"/>
      <c r="AK28" s="320"/>
      <c r="AL28" s="320"/>
      <c r="AM28" s="320"/>
      <c r="AN28" s="320"/>
      <c r="AO28" s="320"/>
      <c r="AP28" s="321"/>
      <c r="AQ28" s="55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</row>
    <row r="29" spans="1:67" ht="12.75" customHeight="1" x14ac:dyDescent="0.3">
      <c r="A29" s="48"/>
      <c r="B29" s="8"/>
      <c r="C29" s="8"/>
      <c r="D29" s="8"/>
      <c r="E29" s="8"/>
      <c r="F29" s="142"/>
      <c r="G29" s="143"/>
      <c r="H29" s="146"/>
      <c r="I29" s="147"/>
      <c r="J29" s="4"/>
      <c r="K29" s="312"/>
      <c r="L29" s="301"/>
      <c r="M29" s="313"/>
      <c r="N29" s="313"/>
      <c r="O29" s="313"/>
      <c r="P29" s="313"/>
      <c r="Q29" s="313"/>
      <c r="R29" s="313"/>
      <c r="S29" s="313"/>
      <c r="T29" s="313"/>
      <c r="U29" s="313"/>
      <c r="V29" s="313"/>
      <c r="W29" s="313"/>
      <c r="X29" s="314"/>
      <c r="Y29" s="315"/>
      <c r="Z29" s="315"/>
      <c r="AA29" s="316"/>
      <c r="AB29" s="317"/>
      <c r="AC29" s="318"/>
      <c r="AD29" s="301"/>
      <c r="AE29" s="301"/>
      <c r="AF29" s="301"/>
      <c r="AG29" s="301"/>
      <c r="AH29" s="301"/>
      <c r="AI29" s="301"/>
      <c r="AJ29" s="301"/>
      <c r="AK29" s="301"/>
      <c r="AL29" s="301"/>
      <c r="AM29" s="301"/>
      <c r="AN29" s="301"/>
      <c r="AO29" s="301"/>
      <c r="AP29" s="302"/>
      <c r="AQ29" s="55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</row>
    <row r="30" spans="1:67" ht="12.75" customHeight="1" thickBot="1" x14ac:dyDescent="0.35">
      <c r="A30" s="48"/>
      <c r="B30" s="8"/>
      <c r="C30" s="8"/>
      <c r="D30" s="8"/>
      <c r="E30" s="8"/>
      <c r="F30" s="148">
        <f>COUNTIF(SDI!$K$1:$K$906,F28)</f>
        <v>0</v>
      </c>
      <c r="G30" s="149"/>
      <c r="H30" s="150">
        <f>COUNTIF(SDI!$J$1:$J$906,"C")+COUNTIF(SDI!$J$1:$J$906,"R")</f>
        <v>0</v>
      </c>
      <c r="I30" s="151"/>
      <c r="J30" s="4"/>
      <c r="K30" s="312"/>
      <c r="L30" s="301"/>
      <c r="M30" s="313"/>
      <c r="N30" s="313"/>
      <c r="O30" s="313"/>
      <c r="P30" s="313"/>
      <c r="Q30" s="313"/>
      <c r="R30" s="313"/>
      <c r="S30" s="313"/>
      <c r="T30" s="313"/>
      <c r="U30" s="313"/>
      <c r="V30" s="313"/>
      <c r="W30" s="313"/>
      <c r="X30" s="314"/>
      <c r="Y30" s="315"/>
      <c r="Z30" s="315"/>
      <c r="AA30" s="316"/>
      <c r="AB30" s="317"/>
      <c r="AC30" s="318"/>
      <c r="AD30" s="301"/>
      <c r="AE30" s="301"/>
      <c r="AF30" s="301"/>
      <c r="AG30" s="301"/>
      <c r="AH30" s="301"/>
      <c r="AI30" s="301"/>
      <c r="AJ30" s="301"/>
      <c r="AK30" s="301"/>
      <c r="AL30" s="301"/>
      <c r="AM30" s="301"/>
      <c r="AN30" s="301"/>
      <c r="AO30" s="301"/>
      <c r="AP30" s="302"/>
      <c r="AQ30" s="55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</row>
    <row r="31" spans="1:67" ht="14.25" customHeight="1" x14ac:dyDescent="0.3">
      <c r="A31" s="48"/>
      <c r="B31" s="8"/>
      <c r="C31" s="8"/>
      <c r="D31" s="8"/>
      <c r="E31" s="8"/>
      <c r="F31" s="96"/>
      <c r="G31" s="97"/>
      <c r="H31" s="96"/>
      <c r="I31" s="98"/>
      <c r="J31" s="4"/>
      <c r="K31" s="312"/>
      <c r="L31" s="301"/>
      <c r="M31" s="313"/>
      <c r="N31" s="313"/>
      <c r="O31" s="313"/>
      <c r="P31" s="313"/>
      <c r="Q31" s="313"/>
      <c r="R31" s="313"/>
      <c r="S31" s="313"/>
      <c r="T31" s="313"/>
      <c r="U31" s="313"/>
      <c r="V31" s="313"/>
      <c r="W31" s="313"/>
      <c r="X31" s="314"/>
      <c r="Y31" s="315"/>
      <c r="Z31" s="315"/>
      <c r="AA31" s="316"/>
      <c r="AB31" s="317"/>
      <c r="AC31" s="318"/>
      <c r="AD31" s="301"/>
      <c r="AE31" s="301"/>
      <c r="AF31" s="301"/>
      <c r="AG31" s="301"/>
      <c r="AH31" s="301"/>
      <c r="AI31" s="301"/>
      <c r="AJ31" s="301"/>
      <c r="AK31" s="301"/>
      <c r="AL31" s="301"/>
      <c r="AM31" s="301"/>
      <c r="AN31" s="301"/>
      <c r="AO31" s="301"/>
      <c r="AP31" s="302"/>
      <c r="AQ31" s="55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</row>
    <row r="32" spans="1:67" ht="13.5" customHeight="1" thickBot="1" x14ac:dyDescent="0.35">
      <c r="A32" s="126" t="s">
        <v>116</v>
      </c>
      <c r="B32" s="127"/>
      <c r="C32" s="127"/>
      <c r="D32" s="112" t="e">
        <f>H24/F24</f>
        <v>#DIV/0!</v>
      </c>
      <c r="E32" s="113" t="s">
        <v>60</v>
      </c>
      <c r="F32" s="113"/>
      <c r="G32" s="114" t="e">
        <f>H27/F24</f>
        <v>#DIV/0!</v>
      </c>
      <c r="H32" s="115" t="s">
        <v>58</v>
      </c>
      <c r="I32" s="116"/>
      <c r="J32" s="9"/>
      <c r="K32" s="312"/>
      <c r="L32" s="301"/>
      <c r="M32" s="313"/>
      <c r="N32" s="313"/>
      <c r="O32" s="313"/>
      <c r="P32" s="313"/>
      <c r="Q32" s="313"/>
      <c r="R32" s="313"/>
      <c r="S32" s="313"/>
      <c r="T32" s="313"/>
      <c r="U32" s="313"/>
      <c r="V32" s="313"/>
      <c r="W32" s="313"/>
      <c r="X32" s="314"/>
      <c r="Y32" s="315"/>
      <c r="Z32" s="315"/>
      <c r="AA32" s="316"/>
      <c r="AB32" s="317"/>
      <c r="AC32" s="318"/>
      <c r="AD32" s="301"/>
      <c r="AE32" s="301"/>
      <c r="AF32" s="301"/>
      <c r="AG32" s="322"/>
      <c r="AH32" s="322"/>
      <c r="AI32" s="322"/>
      <c r="AJ32" s="322"/>
      <c r="AK32" s="322"/>
      <c r="AL32" s="322"/>
      <c r="AM32" s="322"/>
      <c r="AN32" s="322"/>
      <c r="AO32" s="322"/>
      <c r="AP32" s="323"/>
      <c r="AQ32" s="55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</row>
    <row r="33" spans="1:67" ht="12.75" customHeight="1" x14ac:dyDescent="0.3">
      <c r="J33" s="4"/>
      <c r="K33" s="312"/>
      <c r="L33" s="301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6"/>
      <c r="AB33" s="317"/>
      <c r="AC33" s="318"/>
      <c r="AD33" s="301"/>
      <c r="AE33" s="301"/>
      <c r="AF33" s="301"/>
      <c r="AG33" s="322"/>
      <c r="AH33" s="322"/>
      <c r="AI33" s="322"/>
      <c r="AJ33" s="322"/>
      <c r="AK33" s="322"/>
      <c r="AL33" s="322"/>
      <c r="AM33" s="322"/>
      <c r="AN33" s="322"/>
      <c r="AO33" s="322"/>
      <c r="AP33" s="323"/>
      <c r="AQ33" s="55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</row>
    <row r="34" spans="1:67" ht="15" customHeight="1" thickBot="1" x14ac:dyDescent="0.35">
      <c r="A34" s="324"/>
      <c r="B34" s="324"/>
      <c r="C34" s="324"/>
      <c r="D34" s="324"/>
      <c r="E34" s="324"/>
      <c r="F34" s="324"/>
      <c r="G34" s="324"/>
      <c r="H34" s="324"/>
      <c r="I34" s="324"/>
      <c r="J34" s="4"/>
      <c r="K34" s="312"/>
      <c r="L34" s="301"/>
      <c r="M34" s="313"/>
      <c r="N34" s="313"/>
      <c r="O34" s="313"/>
      <c r="P34" s="313"/>
      <c r="Q34" s="313"/>
      <c r="R34" s="313"/>
      <c r="S34" s="313"/>
      <c r="T34" s="313"/>
      <c r="U34" s="313"/>
      <c r="V34" s="313"/>
      <c r="W34" s="313"/>
      <c r="X34" s="314"/>
      <c r="Y34" s="315"/>
      <c r="Z34" s="315"/>
      <c r="AA34" s="316"/>
      <c r="AB34" s="317"/>
      <c r="AC34" s="318"/>
      <c r="AD34" s="301"/>
      <c r="AE34" s="301"/>
      <c r="AF34" s="301"/>
      <c r="AG34" s="322"/>
      <c r="AH34" s="322"/>
      <c r="AI34" s="322"/>
      <c r="AJ34" s="322"/>
      <c r="AK34" s="322"/>
      <c r="AL34" s="322"/>
      <c r="AM34" s="322"/>
      <c r="AN34" s="322"/>
      <c r="AO34" s="322"/>
      <c r="AP34" s="323"/>
      <c r="AQ34" s="55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</row>
    <row r="35" spans="1:67" ht="15" customHeight="1" x14ac:dyDescent="0.3">
      <c r="A35" s="45"/>
      <c r="B35" s="46"/>
      <c r="C35" s="46"/>
      <c r="D35" s="46"/>
      <c r="E35" s="46"/>
      <c r="F35" s="46"/>
      <c r="G35" s="46"/>
      <c r="H35" s="46"/>
      <c r="I35" s="47"/>
      <c r="J35" s="4"/>
      <c r="K35" s="312"/>
      <c r="L35" s="301"/>
      <c r="M35" s="313"/>
      <c r="N35" s="313"/>
      <c r="O35" s="313"/>
      <c r="P35" s="313"/>
      <c r="Q35" s="313"/>
      <c r="R35" s="313"/>
      <c r="S35" s="313"/>
      <c r="T35" s="313"/>
      <c r="U35" s="313"/>
      <c r="V35" s="313"/>
      <c r="W35" s="313"/>
      <c r="X35" s="314"/>
      <c r="Y35" s="315"/>
      <c r="Z35" s="315"/>
      <c r="AA35" s="316"/>
      <c r="AB35" s="317"/>
      <c r="AC35" s="318"/>
      <c r="AD35" s="301"/>
      <c r="AE35" s="301"/>
      <c r="AF35" s="301"/>
      <c r="AG35" s="322"/>
      <c r="AH35" s="322"/>
      <c r="AI35" s="322"/>
      <c r="AJ35" s="322"/>
      <c r="AK35" s="322"/>
      <c r="AL35" s="322"/>
      <c r="AM35" s="322"/>
      <c r="AN35" s="322"/>
      <c r="AO35" s="322"/>
      <c r="AP35" s="323"/>
      <c r="AQ35" s="55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</row>
    <row r="36" spans="1:67" ht="12.75" customHeight="1" thickBot="1" x14ac:dyDescent="0.35">
      <c r="A36" s="48"/>
      <c r="B36" s="8"/>
      <c r="C36" s="8"/>
      <c r="D36" s="8"/>
      <c r="E36" s="8"/>
      <c r="F36" s="8"/>
      <c r="G36" s="8"/>
      <c r="H36" s="8"/>
      <c r="I36" s="49"/>
      <c r="J36" s="4"/>
      <c r="K36" s="325"/>
      <c r="L36" s="326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8"/>
      <c r="Y36" s="329"/>
      <c r="Z36" s="329"/>
      <c r="AA36" s="330"/>
      <c r="AB36" s="331"/>
      <c r="AC36" s="332"/>
      <c r="AD36" s="326"/>
      <c r="AE36" s="326"/>
      <c r="AF36" s="326"/>
      <c r="AG36" s="333"/>
      <c r="AH36" s="333"/>
      <c r="AI36" s="333"/>
      <c r="AJ36" s="333"/>
      <c r="AK36" s="333"/>
      <c r="AL36" s="333"/>
      <c r="AM36" s="333"/>
      <c r="AN36" s="333"/>
      <c r="AO36" s="333"/>
      <c r="AP36" s="334"/>
      <c r="AQ36" s="55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</row>
    <row r="37" spans="1:67" ht="14.25" customHeight="1" x14ac:dyDescent="0.3">
      <c r="A37" s="48"/>
      <c r="B37" s="8"/>
      <c r="C37" s="8"/>
      <c r="D37" s="8"/>
      <c r="E37" s="8"/>
      <c r="F37" s="8"/>
      <c r="G37" s="8"/>
      <c r="H37" s="8"/>
      <c r="I37" s="49"/>
      <c r="J37" s="4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55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</row>
    <row r="38" spans="1:67" ht="12.75" customHeight="1" thickBot="1" x14ac:dyDescent="0.35">
      <c r="A38" s="48"/>
      <c r="B38" s="8"/>
      <c r="C38" s="8"/>
      <c r="D38" s="8"/>
      <c r="E38" s="8"/>
      <c r="F38" s="8"/>
      <c r="G38" s="8"/>
      <c r="H38" s="8"/>
      <c r="I38" s="49"/>
      <c r="J38" s="4"/>
      <c r="K38" s="155" t="s">
        <v>33</v>
      </c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83"/>
      <c r="AA38" s="155" t="s">
        <v>34</v>
      </c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55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</row>
    <row r="39" spans="1:67" ht="12.75" customHeight="1" thickBot="1" x14ac:dyDescent="0.35">
      <c r="A39" s="48"/>
      <c r="B39" s="8"/>
      <c r="C39" s="8"/>
      <c r="D39" s="8"/>
      <c r="E39" s="8"/>
      <c r="F39" s="8"/>
      <c r="G39" s="8"/>
      <c r="H39" s="8"/>
      <c r="I39" s="49"/>
      <c r="J39" s="4"/>
      <c r="K39" s="343" t="s">
        <v>61</v>
      </c>
      <c r="L39" s="344"/>
      <c r="M39" s="345" t="s">
        <v>62</v>
      </c>
      <c r="N39" s="346"/>
      <c r="O39" s="346"/>
      <c r="P39" s="344"/>
      <c r="Q39" s="345" t="s">
        <v>63</v>
      </c>
      <c r="R39" s="346"/>
      <c r="S39" s="344"/>
      <c r="T39" s="345" t="s">
        <v>74</v>
      </c>
      <c r="U39" s="346"/>
      <c r="V39" s="344"/>
      <c r="W39" s="345" t="s">
        <v>76</v>
      </c>
      <c r="X39" s="346"/>
      <c r="Y39" s="346"/>
      <c r="Z39" s="77"/>
      <c r="AA39" s="347"/>
      <c r="AB39" s="348"/>
      <c r="AC39" s="348"/>
      <c r="AD39" s="348"/>
      <c r="AE39" s="348"/>
      <c r="AF39" s="348"/>
      <c r="AG39" s="348"/>
      <c r="AH39" s="348"/>
      <c r="AI39" s="348"/>
      <c r="AJ39" s="348"/>
      <c r="AK39" s="348"/>
      <c r="AL39" s="348"/>
      <c r="AM39" s="348"/>
      <c r="AN39" s="348"/>
      <c r="AO39" s="348"/>
      <c r="AP39" s="349"/>
      <c r="AQ39" s="55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</row>
    <row r="40" spans="1:67" ht="12.75" customHeight="1" x14ac:dyDescent="0.3">
      <c r="A40" s="48"/>
      <c r="B40" s="8"/>
      <c r="C40" s="8"/>
      <c r="D40" s="8"/>
      <c r="E40" s="8"/>
      <c r="F40" s="8"/>
      <c r="G40" s="8"/>
      <c r="H40" s="8"/>
      <c r="I40" s="49"/>
      <c r="J40" s="4"/>
      <c r="K40" s="335"/>
      <c r="L40" s="336"/>
      <c r="M40" s="337"/>
      <c r="N40" s="338"/>
      <c r="O40" s="338"/>
      <c r="P40" s="336"/>
      <c r="Q40" s="337"/>
      <c r="R40" s="338"/>
      <c r="S40" s="336"/>
      <c r="T40" s="339"/>
      <c r="U40" s="338"/>
      <c r="V40" s="336"/>
      <c r="W40" s="337"/>
      <c r="X40" s="338"/>
      <c r="Y40" s="338"/>
      <c r="Z40" s="77"/>
      <c r="AA40" s="340"/>
      <c r="AB40" s="341"/>
      <c r="AC40" s="341"/>
      <c r="AD40" s="341"/>
      <c r="AE40" s="341"/>
      <c r="AF40" s="341"/>
      <c r="AG40" s="341"/>
      <c r="AH40" s="341"/>
      <c r="AI40" s="341"/>
      <c r="AJ40" s="341"/>
      <c r="AK40" s="341"/>
      <c r="AL40" s="341"/>
      <c r="AM40" s="341"/>
      <c r="AN40" s="341"/>
      <c r="AO40" s="341"/>
      <c r="AP40" s="342"/>
      <c r="AQ40" s="55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</row>
    <row r="41" spans="1:67" ht="12.75" customHeight="1" x14ac:dyDescent="0.3">
      <c r="A41" s="48"/>
      <c r="B41" s="8"/>
      <c r="C41" s="8"/>
      <c r="D41" s="8"/>
      <c r="E41" s="8"/>
      <c r="F41" s="8"/>
      <c r="G41" s="8"/>
      <c r="H41" s="8"/>
      <c r="I41" s="49"/>
      <c r="J41" s="4"/>
      <c r="K41" s="350"/>
      <c r="L41" s="351"/>
      <c r="M41" s="352"/>
      <c r="N41" s="353"/>
      <c r="O41" s="353"/>
      <c r="P41" s="351"/>
      <c r="Q41" s="352"/>
      <c r="R41" s="353"/>
      <c r="S41" s="351"/>
      <c r="T41" s="352"/>
      <c r="U41" s="353"/>
      <c r="V41" s="351"/>
      <c r="W41" s="352"/>
      <c r="X41" s="353"/>
      <c r="Y41" s="353"/>
      <c r="Z41" s="77"/>
      <c r="AA41" s="340"/>
      <c r="AB41" s="341"/>
      <c r="AC41" s="341"/>
      <c r="AD41" s="341"/>
      <c r="AE41" s="341"/>
      <c r="AF41" s="341"/>
      <c r="AG41" s="341"/>
      <c r="AH41" s="341"/>
      <c r="AI41" s="341"/>
      <c r="AJ41" s="341"/>
      <c r="AK41" s="341"/>
      <c r="AL41" s="341"/>
      <c r="AM41" s="341"/>
      <c r="AN41" s="341"/>
      <c r="AO41" s="341"/>
      <c r="AP41" s="342"/>
      <c r="AQ41" s="55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</row>
    <row r="42" spans="1:67" ht="12.75" customHeight="1" x14ac:dyDescent="0.3">
      <c r="A42" s="48"/>
      <c r="B42" s="8"/>
      <c r="C42" s="8"/>
      <c r="D42" s="8"/>
      <c r="E42" s="8"/>
      <c r="F42" s="8"/>
      <c r="G42" s="8"/>
      <c r="H42" s="8"/>
      <c r="I42" s="49"/>
      <c r="J42" s="4"/>
      <c r="K42" s="350"/>
      <c r="L42" s="351"/>
      <c r="M42" s="352"/>
      <c r="N42" s="353"/>
      <c r="O42" s="353"/>
      <c r="P42" s="351"/>
      <c r="Q42" s="352"/>
      <c r="R42" s="353"/>
      <c r="S42" s="351"/>
      <c r="T42" s="352"/>
      <c r="U42" s="353"/>
      <c r="V42" s="351"/>
      <c r="W42" s="352"/>
      <c r="X42" s="353"/>
      <c r="Y42" s="353"/>
      <c r="Z42" s="77"/>
      <c r="AA42" s="340"/>
      <c r="AB42" s="341"/>
      <c r="AC42" s="341"/>
      <c r="AD42" s="341"/>
      <c r="AE42" s="341"/>
      <c r="AF42" s="341"/>
      <c r="AG42" s="341"/>
      <c r="AH42" s="341"/>
      <c r="AI42" s="341"/>
      <c r="AJ42" s="341"/>
      <c r="AK42" s="341"/>
      <c r="AL42" s="341"/>
      <c r="AM42" s="341"/>
      <c r="AN42" s="341"/>
      <c r="AO42" s="341"/>
      <c r="AP42" s="342"/>
      <c r="AQ42" s="55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</row>
    <row r="43" spans="1:67" ht="14.25" customHeight="1" x14ac:dyDescent="0.3">
      <c r="A43" s="48"/>
      <c r="B43" s="8"/>
      <c r="C43" s="8"/>
      <c r="D43" s="8"/>
      <c r="E43" s="8"/>
      <c r="F43" s="8"/>
      <c r="G43" s="8"/>
      <c r="H43" s="8"/>
      <c r="I43" s="49"/>
      <c r="J43" s="4"/>
      <c r="K43" s="350"/>
      <c r="L43" s="351"/>
      <c r="M43" s="352"/>
      <c r="N43" s="353"/>
      <c r="O43" s="353"/>
      <c r="P43" s="351"/>
      <c r="Q43" s="352"/>
      <c r="R43" s="353"/>
      <c r="S43" s="351"/>
      <c r="T43" s="352"/>
      <c r="U43" s="353"/>
      <c r="V43" s="351"/>
      <c r="W43" s="352"/>
      <c r="X43" s="353"/>
      <c r="Y43" s="353"/>
      <c r="Z43" s="77"/>
      <c r="AA43" s="354" t="s">
        <v>55</v>
      </c>
      <c r="AB43" s="355"/>
      <c r="AC43" s="355"/>
      <c r="AD43" s="355"/>
      <c r="AE43" s="355"/>
      <c r="AF43" s="355"/>
      <c r="AG43" s="355"/>
      <c r="AH43" s="355"/>
      <c r="AI43" s="355"/>
      <c r="AJ43" s="355"/>
      <c r="AK43" s="355"/>
      <c r="AL43" s="355"/>
      <c r="AM43" s="355"/>
      <c r="AN43" s="355"/>
      <c r="AO43" s="355"/>
      <c r="AP43" s="356"/>
      <c r="AQ43" s="55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</row>
    <row r="44" spans="1:67" ht="14.25" customHeight="1" x14ac:dyDescent="0.3">
      <c r="A44" s="48"/>
      <c r="B44" s="8"/>
      <c r="C44" s="8"/>
      <c r="D44" s="8"/>
      <c r="E44" s="8"/>
      <c r="F44" s="8"/>
      <c r="G44" s="8"/>
      <c r="H44" s="8"/>
      <c r="I44" s="49"/>
      <c r="J44" s="9"/>
      <c r="K44" s="350"/>
      <c r="L44" s="351"/>
      <c r="M44" s="352"/>
      <c r="N44" s="353"/>
      <c r="O44" s="353"/>
      <c r="P44" s="351"/>
      <c r="Q44" s="352"/>
      <c r="R44" s="353"/>
      <c r="S44" s="351"/>
      <c r="T44" s="352"/>
      <c r="U44" s="353"/>
      <c r="V44" s="351"/>
      <c r="W44" s="352"/>
      <c r="X44" s="353"/>
      <c r="Y44" s="353"/>
      <c r="Z44" s="77"/>
      <c r="AA44" s="354" t="s">
        <v>31</v>
      </c>
      <c r="AB44" s="355"/>
      <c r="AC44" s="355"/>
      <c r="AD44" s="355"/>
      <c r="AE44" s="355"/>
      <c r="AF44" s="355"/>
      <c r="AG44" s="355"/>
      <c r="AH44" s="355"/>
      <c r="AI44" s="355"/>
      <c r="AJ44" s="355"/>
      <c r="AK44" s="355"/>
      <c r="AL44" s="355"/>
      <c r="AM44" s="355"/>
      <c r="AN44" s="355"/>
      <c r="AO44" s="355"/>
      <c r="AP44" s="356"/>
      <c r="AQ44" s="55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</row>
    <row r="45" spans="1:67" ht="12.75" customHeight="1" thickBot="1" x14ac:dyDescent="0.35">
      <c r="A45" s="50"/>
      <c r="B45" s="51"/>
      <c r="C45" s="51"/>
      <c r="D45" s="51"/>
      <c r="E45" s="51"/>
      <c r="F45" s="51"/>
      <c r="G45" s="51"/>
      <c r="H45" s="51"/>
      <c r="I45" s="52"/>
      <c r="J45" s="9"/>
      <c r="K45" s="350"/>
      <c r="L45" s="351"/>
      <c r="M45" s="352"/>
      <c r="N45" s="353"/>
      <c r="O45" s="353"/>
      <c r="P45" s="351"/>
      <c r="Q45" s="352"/>
      <c r="R45" s="353"/>
      <c r="S45" s="351"/>
      <c r="T45" s="352"/>
      <c r="U45" s="353"/>
      <c r="V45" s="351"/>
      <c r="W45" s="352"/>
      <c r="X45" s="353"/>
      <c r="Y45" s="353"/>
      <c r="Z45" s="77"/>
      <c r="AA45" s="354" t="s">
        <v>32</v>
      </c>
      <c r="AB45" s="355"/>
      <c r="AC45" s="355"/>
      <c r="AD45" s="355"/>
      <c r="AE45" s="355"/>
      <c r="AF45" s="355"/>
      <c r="AG45" s="355"/>
      <c r="AH45" s="355"/>
      <c r="AI45" s="355"/>
      <c r="AJ45" s="355"/>
      <c r="AK45" s="355"/>
      <c r="AL45" s="355"/>
      <c r="AM45" s="355"/>
      <c r="AN45" s="355"/>
      <c r="AO45" s="355"/>
      <c r="AP45" s="356"/>
      <c r="AQ45" s="55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</row>
    <row r="46" spans="1:67" ht="14.25" customHeight="1" x14ac:dyDescent="0.3">
      <c r="A46" s="9"/>
      <c r="B46" s="9"/>
      <c r="C46" s="9"/>
      <c r="D46" s="9"/>
      <c r="E46" s="9"/>
      <c r="F46" s="9"/>
      <c r="G46" s="9"/>
      <c r="H46" s="9"/>
      <c r="I46" s="9"/>
      <c r="J46" s="9"/>
      <c r="K46" s="350"/>
      <c r="L46" s="351"/>
      <c r="M46" s="352"/>
      <c r="N46" s="353"/>
      <c r="O46" s="353"/>
      <c r="P46" s="351"/>
      <c r="Q46" s="352"/>
      <c r="R46" s="353"/>
      <c r="S46" s="351"/>
      <c r="T46" s="352"/>
      <c r="U46" s="353"/>
      <c r="V46" s="351"/>
      <c r="W46" s="352"/>
      <c r="X46" s="353"/>
      <c r="Y46" s="353"/>
      <c r="Z46" s="77"/>
      <c r="AA46" s="340"/>
      <c r="AB46" s="341"/>
      <c r="AC46" s="341"/>
      <c r="AD46" s="341"/>
      <c r="AE46" s="341"/>
      <c r="AF46" s="341"/>
      <c r="AG46" s="341"/>
      <c r="AH46" s="341"/>
      <c r="AI46" s="341"/>
      <c r="AJ46" s="341"/>
      <c r="AK46" s="341"/>
      <c r="AL46" s="341"/>
      <c r="AM46" s="341"/>
      <c r="AN46" s="341"/>
      <c r="AO46" s="341"/>
      <c r="AP46" s="342"/>
      <c r="AQ46" s="55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</row>
    <row r="47" spans="1:67" ht="14.25" customHeight="1" thickBot="1" x14ac:dyDescent="0.35">
      <c r="A47" s="155" t="s">
        <v>115</v>
      </c>
      <c r="B47" s="155"/>
      <c r="C47" s="155"/>
      <c r="D47" s="155"/>
      <c r="E47" s="155"/>
      <c r="F47" s="155"/>
      <c r="G47" s="155"/>
      <c r="H47" s="155"/>
      <c r="I47" s="155"/>
      <c r="J47" s="184"/>
      <c r="K47" s="350"/>
      <c r="L47" s="351"/>
      <c r="M47" s="352"/>
      <c r="N47" s="353"/>
      <c r="O47" s="353"/>
      <c r="P47" s="351"/>
      <c r="Q47" s="352"/>
      <c r="R47" s="353"/>
      <c r="S47" s="351"/>
      <c r="T47" s="352"/>
      <c r="U47" s="353"/>
      <c r="V47" s="351"/>
      <c r="W47" s="352"/>
      <c r="X47" s="353"/>
      <c r="Y47" s="353"/>
      <c r="Z47" s="77"/>
      <c r="AA47" s="340"/>
      <c r="AB47" s="341"/>
      <c r="AC47" s="341"/>
      <c r="AD47" s="341"/>
      <c r="AE47" s="341"/>
      <c r="AF47" s="341"/>
      <c r="AG47" s="341"/>
      <c r="AH47" s="341"/>
      <c r="AI47" s="341"/>
      <c r="AJ47" s="341"/>
      <c r="AK47" s="341"/>
      <c r="AL47" s="341"/>
      <c r="AM47" s="341"/>
      <c r="AN47" s="341"/>
      <c r="AO47" s="341"/>
      <c r="AP47" s="342"/>
      <c r="AQ47" s="55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</row>
    <row r="48" spans="1:67" ht="14.25" customHeight="1" thickBot="1" x14ac:dyDescent="0.35">
      <c r="A48" s="357" t="s">
        <v>28</v>
      </c>
      <c r="B48" s="358"/>
      <c r="C48" s="358"/>
      <c r="D48" s="358"/>
      <c r="E48" s="359"/>
      <c r="F48" s="359" t="s">
        <v>29</v>
      </c>
      <c r="G48" s="360"/>
      <c r="H48" s="360"/>
      <c r="I48" s="361"/>
      <c r="J48" s="77"/>
      <c r="K48" s="350"/>
      <c r="L48" s="351"/>
      <c r="M48" s="352"/>
      <c r="N48" s="353"/>
      <c r="O48" s="353"/>
      <c r="P48" s="351"/>
      <c r="Q48" s="352"/>
      <c r="R48" s="353"/>
      <c r="S48" s="351"/>
      <c r="T48" s="352"/>
      <c r="U48" s="353"/>
      <c r="V48" s="351"/>
      <c r="W48" s="352"/>
      <c r="X48" s="353"/>
      <c r="Y48" s="353"/>
      <c r="Z48" s="77"/>
      <c r="AA48" s="340"/>
      <c r="AB48" s="341"/>
      <c r="AC48" s="341"/>
      <c r="AD48" s="341"/>
      <c r="AE48" s="341"/>
      <c r="AF48" s="341"/>
      <c r="AG48" s="341"/>
      <c r="AH48" s="341"/>
      <c r="AI48" s="341"/>
      <c r="AJ48" s="341"/>
      <c r="AK48" s="341"/>
      <c r="AL48" s="341"/>
      <c r="AM48" s="341"/>
      <c r="AN48" s="341"/>
      <c r="AO48" s="341"/>
      <c r="AP48" s="342"/>
      <c r="AQ48" s="55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</row>
    <row r="49" spans="1:67" ht="14.25" customHeight="1" x14ac:dyDescent="0.3">
      <c r="A49" s="373"/>
      <c r="B49" s="374"/>
      <c r="C49" s="374"/>
      <c r="D49" s="374"/>
      <c r="E49" s="374"/>
      <c r="F49" s="375"/>
      <c r="G49" s="376"/>
      <c r="H49" s="376"/>
      <c r="I49" s="377"/>
      <c r="J49" s="77"/>
      <c r="K49" s="350"/>
      <c r="L49" s="351"/>
      <c r="M49" s="352"/>
      <c r="N49" s="353"/>
      <c r="O49" s="353"/>
      <c r="P49" s="351"/>
      <c r="Q49" s="352"/>
      <c r="R49" s="353"/>
      <c r="S49" s="351"/>
      <c r="T49" s="352"/>
      <c r="U49" s="353"/>
      <c r="V49" s="351"/>
      <c r="W49" s="352"/>
      <c r="X49" s="353"/>
      <c r="Y49" s="353"/>
      <c r="Z49" s="77"/>
      <c r="AA49" s="340"/>
      <c r="AB49" s="341"/>
      <c r="AC49" s="341"/>
      <c r="AD49" s="341"/>
      <c r="AE49" s="341"/>
      <c r="AF49" s="341"/>
      <c r="AG49" s="341"/>
      <c r="AH49" s="341"/>
      <c r="AI49" s="341"/>
      <c r="AJ49" s="341"/>
      <c r="AK49" s="341"/>
      <c r="AL49" s="341"/>
      <c r="AM49" s="341"/>
      <c r="AN49" s="341"/>
      <c r="AO49" s="341"/>
      <c r="AP49" s="342"/>
      <c r="AQ49" s="55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</row>
    <row r="50" spans="1:67" ht="13.5" customHeight="1" thickBot="1" x14ac:dyDescent="0.35">
      <c r="A50" s="362"/>
      <c r="B50" s="363"/>
      <c r="C50" s="363"/>
      <c r="D50" s="363"/>
      <c r="E50" s="363"/>
      <c r="F50" s="364"/>
      <c r="G50" s="365"/>
      <c r="H50" s="365"/>
      <c r="I50" s="366"/>
      <c r="J50" s="77"/>
      <c r="K50" s="367"/>
      <c r="L50" s="368"/>
      <c r="M50" s="369"/>
      <c r="N50" s="369"/>
      <c r="O50" s="369"/>
      <c r="P50" s="368"/>
      <c r="Q50" s="369"/>
      <c r="R50" s="369"/>
      <c r="S50" s="368"/>
      <c r="T50" s="369"/>
      <c r="U50" s="369"/>
      <c r="V50" s="368"/>
      <c r="W50" s="369"/>
      <c r="X50" s="369"/>
      <c r="Y50" s="369"/>
      <c r="Z50" s="77"/>
      <c r="AA50" s="370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2"/>
      <c r="AQ50" s="55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</row>
    <row r="51" spans="1:67" ht="14.25" customHeight="1" x14ac:dyDescent="0.3">
      <c r="A51" s="362"/>
      <c r="B51" s="363"/>
      <c r="C51" s="363"/>
      <c r="D51" s="363"/>
      <c r="E51" s="363"/>
      <c r="F51" s="364"/>
      <c r="G51" s="365"/>
      <c r="H51" s="365"/>
      <c r="I51" s="366"/>
      <c r="J51" s="77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Q51" s="55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</row>
    <row r="52" spans="1:67" ht="14.25" customHeight="1" thickBot="1" x14ac:dyDescent="0.35">
      <c r="A52" s="394" t="s">
        <v>30</v>
      </c>
      <c r="B52" s="395"/>
      <c r="C52" s="395"/>
      <c r="D52" s="395"/>
      <c r="E52" s="380"/>
      <c r="F52" s="380" t="s">
        <v>30</v>
      </c>
      <c r="G52" s="381"/>
      <c r="H52" s="381"/>
      <c r="I52" s="382"/>
      <c r="J52" s="77"/>
      <c r="K52" s="155" t="s">
        <v>114</v>
      </c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5"/>
      <c r="W52" s="155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Q52" s="55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</row>
    <row r="53" spans="1:67" ht="15" thickBot="1" x14ac:dyDescent="0.35">
      <c r="A53" s="394" t="s">
        <v>27</v>
      </c>
      <c r="B53" s="395"/>
      <c r="C53" s="395"/>
      <c r="D53" s="395"/>
      <c r="E53" s="380"/>
      <c r="F53" s="380" t="s">
        <v>27</v>
      </c>
      <c r="G53" s="381"/>
      <c r="H53" s="381"/>
      <c r="I53" s="382"/>
      <c r="J53" s="77"/>
      <c r="K53" s="396" t="s">
        <v>86</v>
      </c>
      <c r="L53" s="397"/>
      <c r="M53" s="397"/>
      <c r="N53" s="398"/>
      <c r="O53" s="399" t="s">
        <v>17</v>
      </c>
      <c r="P53" s="399"/>
      <c r="Q53" s="399"/>
      <c r="R53" s="399"/>
      <c r="S53" s="399"/>
      <c r="T53" s="399"/>
      <c r="U53" s="399"/>
      <c r="V53" s="399"/>
      <c r="W53" s="399"/>
      <c r="X53" s="399"/>
      <c r="Y53" s="399"/>
      <c r="Z53" s="399"/>
      <c r="AA53" s="400"/>
      <c r="AB53" s="403" t="s">
        <v>18</v>
      </c>
      <c r="AC53" s="399"/>
      <c r="AD53" s="399"/>
      <c r="AE53" s="399"/>
      <c r="AF53" s="399"/>
      <c r="AG53" s="399"/>
      <c r="AH53" s="399"/>
      <c r="AI53" s="399"/>
      <c r="AJ53" s="399"/>
      <c r="AK53" s="399"/>
      <c r="AL53" s="399"/>
      <c r="AM53" s="399"/>
      <c r="AN53" s="400"/>
      <c r="AQ53" s="55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</row>
    <row r="54" spans="1:67" ht="14.25" customHeight="1" thickBot="1" x14ac:dyDescent="0.35">
      <c r="A54" s="378"/>
      <c r="B54" s="379"/>
      <c r="C54" s="379"/>
      <c r="D54" s="379"/>
      <c r="E54" s="379"/>
      <c r="F54" s="380"/>
      <c r="G54" s="381"/>
      <c r="H54" s="381"/>
      <c r="I54" s="382"/>
      <c r="J54" s="77"/>
      <c r="K54" s="383" t="s">
        <v>65</v>
      </c>
      <c r="L54" s="384"/>
      <c r="M54" s="385" t="s">
        <v>64</v>
      </c>
      <c r="N54" s="386"/>
      <c r="O54" s="401"/>
      <c r="P54" s="401"/>
      <c r="Q54" s="401"/>
      <c r="R54" s="401"/>
      <c r="S54" s="401"/>
      <c r="T54" s="401"/>
      <c r="U54" s="401"/>
      <c r="V54" s="401"/>
      <c r="W54" s="401"/>
      <c r="X54" s="401"/>
      <c r="Y54" s="401"/>
      <c r="Z54" s="401"/>
      <c r="AA54" s="402"/>
      <c r="AB54" s="404"/>
      <c r="AC54" s="401"/>
      <c r="AD54" s="401"/>
      <c r="AE54" s="401"/>
      <c r="AF54" s="401"/>
      <c r="AG54" s="401"/>
      <c r="AH54" s="401"/>
      <c r="AI54" s="401"/>
      <c r="AJ54" s="401"/>
      <c r="AK54" s="401"/>
      <c r="AL54" s="401"/>
      <c r="AM54" s="401"/>
      <c r="AN54" s="402"/>
      <c r="AQ54" s="55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</row>
    <row r="55" spans="1:67" ht="14.25" customHeight="1" thickBot="1" x14ac:dyDescent="0.35">
      <c r="A55" s="378"/>
      <c r="B55" s="379"/>
      <c r="C55" s="379"/>
      <c r="D55" s="379"/>
      <c r="E55" s="379"/>
      <c r="F55" s="387"/>
      <c r="G55" s="388"/>
      <c r="H55" s="388"/>
      <c r="I55" s="389"/>
      <c r="J55" s="77"/>
      <c r="K55" s="390" t="s">
        <v>72</v>
      </c>
      <c r="L55" s="391"/>
      <c r="M55" s="392" t="s">
        <v>72</v>
      </c>
      <c r="N55" s="393"/>
      <c r="O55" s="10">
        <v>41462</v>
      </c>
      <c r="P55" s="11">
        <v>41469</v>
      </c>
      <c r="Q55" s="12">
        <v>41476</v>
      </c>
      <c r="R55" s="10">
        <v>41483</v>
      </c>
      <c r="S55" s="10">
        <v>41490</v>
      </c>
      <c r="T55" s="13">
        <v>41497</v>
      </c>
      <c r="U55" s="13">
        <v>41504</v>
      </c>
      <c r="V55" s="13">
        <v>41511</v>
      </c>
      <c r="W55" s="10">
        <v>41518</v>
      </c>
      <c r="X55" s="10">
        <v>41525</v>
      </c>
      <c r="Y55" s="13">
        <v>41532</v>
      </c>
      <c r="Z55" s="13">
        <v>41539</v>
      </c>
      <c r="AA55" s="14">
        <v>41546</v>
      </c>
      <c r="AB55" s="10">
        <v>41553</v>
      </c>
      <c r="AC55" s="13">
        <v>41560</v>
      </c>
      <c r="AD55" s="13">
        <v>41567</v>
      </c>
      <c r="AE55" s="15">
        <v>41574</v>
      </c>
      <c r="AF55" s="13">
        <v>41581</v>
      </c>
      <c r="AG55" s="13">
        <v>41588</v>
      </c>
      <c r="AH55" s="13">
        <v>41595</v>
      </c>
      <c r="AI55" s="15">
        <v>41602</v>
      </c>
      <c r="AJ55" s="13">
        <v>41974</v>
      </c>
      <c r="AK55" s="13">
        <v>41981</v>
      </c>
      <c r="AL55" s="13">
        <v>41988</v>
      </c>
      <c r="AM55" s="13">
        <v>41995</v>
      </c>
      <c r="AN55" s="14">
        <v>42002</v>
      </c>
      <c r="AQ55" s="55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</row>
    <row r="56" spans="1:67" ht="14.25" customHeight="1" thickBot="1" x14ac:dyDescent="0.35">
      <c r="A56" s="378"/>
      <c r="B56" s="379"/>
      <c r="C56" s="379"/>
      <c r="D56" s="379"/>
      <c r="E56" s="379"/>
      <c r="F56" s="387"/>
      <c r="G56" s="388"/>
      <c r="H56" s="388"/>
      <c r="I56" s="389"/>
      <c r="J56" s="77"/>
      <c r="K56" s="414" t="s">
        <v>73</v>
      </c>
      <c r="L56" s="415"/>
      <c r="M56" s="416" t="s">
        <v>73</v>
      </c>
      <c r="N56" s="417"/>
      <c r="O56" s="16"/>
      <c r="P56" s="17"/>
      <c r="Q56" s="17"/>
      <c r="R56" s="18"/>
      <c r="S56" s="19"/>
      <c r="T56" s="17"/>
      <c r="U56" s="17"/>
      <c r="V56" s="20"/>
      <c r="W56" s="21"/>
      <c r="X56" s="21"/>
      <c r="Y56" s="20"/>
      <c r="Z56" s="18"/>
      <c r="AA56" s="22"/>
      <c r="AB56" s="21"/>
      <c r="AC56" s="18"/>
      <c r="AD56" s="23">
        <v>41932</v>
      </c>
      <c r="AE56" s="24"/>
      <c r="AF56" s="18"/>
      <c r="AG56" s="18"/>
      <c r="AH56" s="25">
        <v>41958</v>
      </c>
      <c r="AI56" s="24"/>
      <c r="AJ56" s="18"/>
      <c r="AK56" s="18"/>
      <c r="AL56" s="18"/>
      <c r="AM56" s="18"/>
      <c r="AN56" s="26"/>
      <c r="AQ56" s="55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</row>
    <row r="57" spans="1:67" ht="14.25" customHeight="1" x14ac:dyDescent="0.3">
      <c r="A57" s="378"/>
      <c r="B57" s="379"/>
      <c r="C57" s="379"/>
      <c r="D57" s="379"/>
      <c r="E57" s="379"/>
      <c r="F57" s="387"/>
      <c r="G57" s="388"/>
      <c r="H57" s="388"/>
      <c r="I57" s="389"/>
      <c r="J57" s="77"/>
      <c r="K57" s="418" t="s">
        <v>78</v>
      </c>
      <c r="L57" s="419"/>
      <c r="M57" s="420" t="s">
        <v>80</v>
      </c>
      <c r="N57" s="421"/>
      <c r="O57" s="27"/>
      <c r="P57" s="28"/>
      <c r="Q57" s="28"/>
      <c r="R57" s="28"/>
      <c r="S57" s="28"/>
      <c r="T57" s="28"/>
      <c r="U57" s="2"/>
      <c r="V57" s="3"/>
      <c r="W57" s="28"/>
      <c r="X57" s="28"/>
      <c r="Y57" s="27"/>
      <c r="Z57" s="27"/>
      <c r="AA57" s="29"/>
      <c r="AB57" s="30"/>
      <c r="AC57" s="30"/>
      <c r="AD57" s="30"/>
      <c r="AE57" s="31" t="s">
        <v>20</v>
      </c>
      <c r="AF57" s="28"/>
      <c r="AG57" s="28"/>
      <c r="AH57" s="28"/>
      <c r="AI57" s="32"/>
      <c r="AJ57" s="28"/>
      <c r="AK57" s="28"/>
      <c r="AL57" s="28"/>
      <c r="AM57" s="28"/>
      <c r="AN57" s="29"/>
      <c r="AQ57" s="55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</row>
    <row r="58" spans="1:67" ht="14.25" customHeight="1" thickBot="1" x14ac:dyDescent="0.35">
      <c r="A58" s="405"/>
      <c r="B58" s="406"/>
      <c r="C58" s="406"/>
      <c r="D58" s="406"/>
      <c r="E58" s="406"/>
      <c r="F58" s="407"/>
      <c r="G58" s="408"/>
      <c r="H58" s="408"/>
      <c r="I58" s="409"/>
      <c r="J58" s="77"/>
      <c r="K58" s="410" t="s">
        <v>84</v>
      </c>
      <c r="L58" s="411"/>
      <c r="M58" s="412" t="s">
        <v>85</v>
      </c>
      <c r="N58" s="413"/>
      <c r="O58" s="33"/>
      <c r="P58" s="33"/>
      <c r="Q58" s="34"/>
      <c r="R58" s="34"/>
      <c r="S58" s="33"/>
      <c r="T58" s="34"/>
      <c r="U58" s="35"/>
      <c r="V58" s="36"/>
      <c r="W58" s="36"/>
      <c r="X58" s="36"/>
      <c r="Y58" s="36"/>
      <c r="Z58" s="36"/>
      <c r="AA58" s="36"/>
      <c r="AB58" s="35"/>
      <c r="AC58" s="35"/>
      <c r="AD58" s="35"/>
      <c r="AE58" s="35"/>
      <c r="AF58" s="37" t="s">
        <v>21</v>
      </c>
      <c r="AG58" s="34"/>
      <c r="AH58" s="34"/>
      <c r="AI58" s="37"/>
      <c r="AJ58" s="34"/>
      <c r="AK58" s="34"/>
      <c r="AL58" s="34"/>
      <c r="AM58" s="34"/>
      <c r="AN58" s="38"/>
      <c r="AQ58" s="55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</row>
    <row r="59" spans="1:67" ht="13.5" customHeight="1" x14ac:dyDescent="0.3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</row>
    <row r="60" spans="1:67" ht="13.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</row>
    <row r="61" spans="1:67" ht="13.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</row>
    <row r="62" spans="1:67" ht="13.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</row>
    <row r="63" spans="1:67" ht="13.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</row>
    <row r="64" spans="1:67" ht="13.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</row>
    <row r="65" spans="1:67" ht="13.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</row>
    <row r="66" spans="1:67" ht="13.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</row>
    <row r="67" spans="1:67" ht="13.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</row>
    <row r="68" spans="1:67" ht="13.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</row>
    <row r="69" spans="1:67" ht="13.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</row>
    <row r="70" spans="1:67" ht="13.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</row>
    <row r="71" spans="1:67" ht="13.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</row>
    <row r="72" spans="1:67" ht="13.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</row>
    <row r="73" spans="1:67" ht="13.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</row>
    <row r="74" spans="1:67" ht="13.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</row>
    <row r="75" spans="1:67" ht="13.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</row>
    <row r="76" spans="1:67" ht="13.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</row>
    <row r="77" spans="1:67" ht="13.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</row>
    <row r="78" spans="1:67" ht="13.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</row>
    <row r="79" spans="1:67" ht="13.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</row>
    <row r="80" spans="1:67" ht="13.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</row>
    <row r="81" spans="1:67" ht="13.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</row>
    <row r="82" spans="1:67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</row>
    <row r="83" spans="1:67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</row>
    <row r="84" spans="1:67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</row>
    <row r="85" spans="1:67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</row>
    <row r="86" spans="1:67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</row>
    <row r="87" spans="1:67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</row>
    <row r="88" spans="1:67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</row>
    <row r="89" spans="1:67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  <c r="BM89" s="54"/>
      <c r="BN89" s="54"/>
      <c r="BO89" s="54"/>
    </row>
    <row r="90" spans="1:67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</row>
    <row r="91" spans="1:67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  <c r="BM91" s="54"/>
      <c r="BN91" s="54"/>
      <c r="BO91" s="54"/>
    </row>
    <row r="92" spans="1:67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</row>
    <row r="93" spans="1:67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</row>
    <row r="94" spans="1:67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</row>
    <row r="95" spans="1:67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</row>
    <row r="96" spans="1:67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</row>
    <row r="97" spans="1:67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</row>
    <row r="98" spans="1:67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</row>
    <row r="99" spans="1:67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</row>
    <row r="100" spans="1:67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</row>
    <row r="101" spans="1:67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</row>
    <row r="102" spans="1:67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</row>
    <row r="103" spans="1:67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</row>
    <row r="104" spans="1:67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</row>
    <row r="105" spans="1:67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</row>
    <row r="106" spans="1:67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</row>
    <row r="107" spans="1:67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  <c r="BM107" s="54"/>
      <c r="BN107" s="54"/>
      <c r="BO107" s="54"/>
    </row>
    <row r="108" spans="1:67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</row>
    <row r="109" spans="1:67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</row>
    <row r="110" spans="1:67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</row>
    <row r="111" spans="1:67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</row>
    <row r="112" spans="1:67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</row>
    <row r="113" spans="1:67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</row>
    <row r="114" spans="1:67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</row>
    <row r="115" spans="1:67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</row>
    <row r="116" spans="1:67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</row>
    <row r="117" spans="1:67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</row>
    <row r="118" spans="1:67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</row>
    <row r="119" spans="1:67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</row>
    <row r="120" spans="1:67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</row>
  </sheetData>
  <mergeCells count="356">
    <mergeCell ref="A58:E58"/>
    <mergeCell ref="F58:I58"/>
    <mergeCell ref="K58:L58"/>
    <mergeCell ref="M58:N58"/>
    <mergeCell ref="A56:E56"/>
    <mergeCell ref="F56:I56"/>
    <mergeCell ref="K56:L56"/>
    <mergeCell ref="M56:N56"/>
    <mergeCell ref="A57:E57"/>
    <mergeCell ref="F57:I57"/>
    <mergeCell ref="K57:L57"/>
    <mergeCell ref="M57:N57"/>
    <mergeCell ref="A54:E54"/>
    <mergeCell ref="F54:I54"/>
    <mergeCell ref="K54:L54"/>
    <mergeCell ref="M54:N54"/>
    <mergeCell ref="A55:E55"/>
    <mergeCell ref="F55:I55"/>
    <mergeCell ref="K55:L55"/>
    <mergeCell ref="M55:N55"/>
    <mergeCell ref="A51:E51"/>
    <mergeCell ref="F51:I51"/>
    <mergeCell ref="A52:E52"/>
    <mergeCell ref="F52:I52"/>
    <mergeCell ref="K52:AN52"/>
    <mergeCell ref="A53:E53"/>
    <mergeCell ref="F53:I53"/>
    <mergeCell ref="K53:N53"/>
    <mergeCell ref="O53:AA54"/>
    <mergeCell ref="AB53:AN54"/>
    <mergeCell ref="W49:Y49"/>
    <mergeCell ref="AA49:AP49"/>
    <mergeCell ref="A50:E50"/>
    <mergeCell ref="F50:I50"/>
    <mergeCell ref="K50:L50"/>
    <mergeCell ref="M50:P50"/>
    <mergeCell ref="Q50:S50"/>
    <mergeCell ref="T50:V50"/>
    <mergeCell ref="W50:Y50"/>
    <mergeCell ref="AA50:AP50"/>
    <mergeCell ref="A49:E49"/>
    <mergeCell ref="F49:I49"/>
    <mergeCell ref="K49:L49"/>
    <mergeCell ref="M49:P49"/>
    <mergeCell ref="Q49:S49"/>
    <mergeCell ref="T49:V49"/>
    <mergeCell ref="AA47:AP47"/>
    <mergeCell ref="A48:E48"/>
    <mergeCell ref="F48:I48"/>
    <mergeCell ref="K48:L48"/>
    <mergeCell ref="M48:P48"/>
    <mergeCell ref="Q48:S48"/>
    <mergeCell ref="T48:V48"/>
    <mergeCell ref="W48:Y48"/>
    <mergeCell ref="AA48:AP48"/>
    <mergeCell ref="A47:J47"/>
    <mergeCell ref="K47:L47"/>
    <mergeCell ref="M47:P47"/>
    <mergeCell ref="Q47:S47"/>
    <mergeCell ref="T47:V47"/>
    <mergeCell ref="W47:Y47"/>
    <mergeCell ref="K46:L46"/>
    <mergeCell ref="M46:P46"/>
    <mergeCell ref="Q46:S46"/>
    <mergeCell ref="T46:V46"/>
    <mergeCell ref="W46:Y46"/>
    <mergeCell ref="AA46:AP46"/>
    <mergeCell ref="K45:L45"/>
    <mergeCell ref="M45:P45"/>
    <mergeCell ref="Q45:S45"/>
    <mergeCell ref="T45:V45"/>
    <mergeCell ref="W45:Y45"/>
    <mergeCell ref="AA45:AP45"/>
    <mergeCell ref="K44:L44"/>
    <mergeCell ref="M44:P44"/>
    <mergeCell ref="Q44:S44"/>
    <mergeCell ref="T44:V44"/>
    <mergeCell ref="W44:Y44"/>
    <mergeCell ref="AA44:AP44"/>
    <mergeCell ref="K43:L43"/>
    <mergeCell ref="M43:P43"/>
    <mergeCell ref="Q43:S43"/>
    <mergeCell ref="T43:V43"/>
    <mergeCell ref="W43:Y43"/>
    <mergeCell ref="AA43:AP43"/>
    <mergeCell ref="K42:L42"/>
    <mergeCell ref="M42:P42"/>
    <mergeCell ref="Q42:S42"/>
    <mergeCell ref="T42:V42"/>
    <mergeCell ref="W42:Y42"/>
    <mergeCell ref="AA42:AP42"/>
    <mergeCell ref="K41:L41"/>
    <mergeCell ref="M41:P41"/>
    <mergeCell ref="Q41:S41"/>
    <mergeCell ref="T41:V41"/>
    <mergeCell ref="W41:Y41"/>
    <mergeCell ref="AA41:AP41"/>
    <mergeCell ref="K40:L40"/>
    <mergeCell ref="M40:P40"/>
    <mergeCell ref="Q40:S40"/>
    <mergeCell ref="T40:V40"/>
    <mergeCell ref="W40:Y40"/>
    <mergeCell ref="AA40:AP40"/>
    <mergeCell ref="K38:Y38"/>
    <mergeCell ref="AA38:AP38"/>
    <mergeCell ref="K39:L39"/>
    <mergeCell ref="M39:P39"/>
    <mergeCell ref="Q39:S39"/>
    <mergeCell ref="T39:V39"/>
    <mergeCell ref="W39:Y39"/>
    <mergeCell ref="AA39:AP39"/>
    <mergeCell ref="K36:L36"/>
    <mergeCell ref="M36:W36"/>
    <mergeCell ref="X36:AA36"/>
    <mergeCell ref="AB36:AC36"/>
    <mergeCell ref="AD36:AF36"/>
    <mergeCell ref="AG36:AP36"/>
    <mergeCell ref="AG34:AP34"/>
    <mergeCell ref="K35:L35"/>
    <mergeCell ref="M35:W35"/>
    <mergeCell ref="X35:AA35"/>
    <mergeCell ref="AB35:AC35"/>
    <mergeCell ref="AD35:AF35"/>
    <mergeCell ref="AG35:AP35"/>
    <mergeCell ref="A34:I34"/>
    <mergeCell ref="K34:L34"/>
    <mergeCell ref="M34:W34"/>
    <mergeCell ref="X34:AA34"/>
    <mergeCell ref="AB34:AC34"/>
    <mergeCell ref="AD34:AF34"/>
    <mergeCell ref="K33:L33"/>
    <mergeCell ref="M33:W33"/>
    <mergeCell ref="X33:AA33"/>
    <mergeCell ref="AB33:AC33"/>
    <mergeCell ref="AD33:AF33"/>
    <mergeCell ref="AG33:AP33"/>
    <mergeCell ref="K32:L32"/>
    <mergeCell ref="M32:W32"/>
    <mergeCell ref="X32:AA32"/>
    <mergeCell ref="AB32:AC32"/>
    <mergeCell ref="AD32:AF32"/>
    <mergeCell ref="AG32:AP32"/>
    <mergeCell ref="K31:L31"/>
    <mergeCell ref="M31:W31"/>
    <mergeCell ref="X31:AA31"/>
    <mergeCell ref="AB31:AC31"/>
    <mergeCell ref="AD31:AF31"/>
    <mergeCell ref="AG31:AP31"/>
    <mergeCell ref="K30:L30"/>
    <mergeCell ref="M30:W30"/>
    <mergeCell ref="X30:AA30"/>
    <mergeCell ref="AB30:AC30"/>
    <mergeCell ref="AD30:AF30"/>
    <mergeCell ref="AG30:AP30"/>
    <mergeCell ref="K29:L29"/>
    <mergeCell ref="M29:W29"/>
    <mergeCell ref="X29:AA29"/>
    <mergeCell ref="AB29:AC29"/>
    <mergeCell ref="AD29:AF29"/>
    <mergeCell ref="AG29:AP29"/>
    <mergeCell ref="K28:L28"/>
    <mergeCell ref="M28:W28"/>
    <mergeCell ref="X28:AA28"/>
    <mergeCell ref="AB28:AC28"/>
    <mergeCell ref="AD28:AF28"/>
    <mergeCell ref="AG28:AP28"/>
    <mergeCell ref="K27:L27"/>
    <mergeCell ref="M27:W27"/>
    <mergeCell ref="X27:AA27"/>
    <mergeCell ref="AB27:AC27"/>
    <mergeCell ref="AD27:AF27"/>
    <mergeCell ref="AG27:AP27"/>
    <mergeCell ref="AB23:AC23"/>
    <mergeCell ref="AD23:AF23"/>
    <mergeCell ref="AG23:AP23"/>
    <mergeCell ref="K26:L26"/>
    <mergeCell ref="M26:W26"/>
    <mergeCell ref="X26:AA26"/>
    <mergeCell ref="AB26:AC26"/>
    <mergeCell ref="AD26:AF26"/>
    <mergeCell ref="AG26:AP26"/>
    <mergeCell ref="K25:L25"/>
    <mergeCell ref="M25:W25"/>
    <mergeCell ref="X25:AA25"/>
    <mergeCell ref="AB25:AC25"/>
    <mergeCell ref="AD25:AF25"/>
    <mergeCell ref="AG25:AP25"/>
    <mergeCell ref="K24:L24"/>
    <mergeCell ref="M24:W24"/>
    <mergeCell ref="X24:AA24"/>
    <mergeCell ref="AB24:AC24"/>
    <mergeCell ref="AD24:AF24"/>
    <mergeCell ref="F22:G23"/>
    <mergeCell ref="H22:I23"/>
    <mergeCell ref="F24:G24"/>
    <mergeCell ref="H24:I24"/>
    <mergeCell ref="X20:AA20"/>
    <mergeCell ref="AB20:AC20"/>
    <mergeCell ref="AD20:AF20"/>
    <mergeCell ref="AG20:AP20"/>
    <mergeCell ref="AG21:AP21"/>
    <mergeCell ref="K22:L22"/>
    <mergeCell ref="M22:W22"/>
    <mergeCell ref="X22:AA22"/>
    <mergeCell ref="AB22:AC22"/>
    <mergeCell ref="AD22:AF22"/>
    <mergeCell ref="AG22:AP22"/>
    <mergeCell ref="K21:L21"/>
    <mergeCell ref="M21:W21"/>
    <mergeCell ref="X21:AA21"/>
    <mergeCell ref="AB21:AC21"/>
    <mergeCell ref="AD21:AF21"/>
    <mergeCell ref="AG24:AP24"/>
    <mergeCell ref="K23:L23"/>
    <mergeCell ref="M23:W23"/>
    <mergeCell ref="X23:AA23"/>
    <mergeCell ref="AB18:AC18"/>
    <mergeCell ref="AD18:AF18"/>
    <mergeCell ref="AG18:AP18"/>
    <mergeCell ref="B19:C19"/>
    <mergeCell ref="D19:E19"/>
    <mergeCell ref="F19:G19"/>
    <mergeCell ref="K19:L19"/>
    <mergeCell ref="M19:W19"/>
    <mergeCell ref="X19:AA19"/>
    <mergeCell ref="AB19:AC19"/>
    <mergeCell ref="AD19:AF19"/>
    <mergeCell ref="AG19:AP19"/>
    <mergeCell ref="AD16:AF16"/>
    <mergeCell ref="AG16:AP16"/>
    <mergeCell ref="A17:D17"/>
    <mergeCell ref="E17:F17"/>
    <mergeCell ref="K17:L17"/>
    <mergeCell ref="M17:W17"/>
    <mergeCell ref="X17:AA17"/>
    <mergeCell ref="AB17:AC17"/>
    <mergeCell ref="AD17:AF17"/>
    <mergeCell ref="AG17:AP17"/>
    <mergeCell ref="A16:C16"/>
    <mergeCell ref="E16:F16"/>
    <mergeCell ref="K16:L16"/>
    <mergeCell ref="M16:W16"/>
    <mergeCell ref="X16:AA16"/>
    <mergeCell ref="AB16:AC16"/>
    <mergeCell ref="AD14:AF14"/>
    <mergeCell ref="AG14:AP14"/>
    <mergeCell ref="A15:C15"/>
    <mergeCell ref="E15:F15"/>
    <mergeCell ref="K15:L15"/>
    <mergeCell ref="M15:W15"/>
    <mergeCell ref="X15:AA15"/>
    <mergeCell ref="AB15:AC15"/>
    <mergeCell ref="AD15:AF15"/>
    <mergeCell ref="AG15:AP15"/>
    <mergeCell ref="A14:C14"/>
    <mergeCell ref="E14:F14"/>
    <mergeCell ref="K14:L14"/>
    <mergeCell ref="M14:W14"/>
    <mergeCell ref="X14:AA14"/>
    <mergeCell ref="AB14:AC14"/>
    <mergeCell ref="AD12:AF12"/>
    <mergeCell ref="AG12:AP12"/>
    <mergeCell ref="A13:C13"/>
    <mergeCell ref="E13:F13"/>
    <mergeCell ref="K13:L13"/>
    <mergeCell ref="M13:W13"/>
    <mergeCell ref="X13:AA13"/>
    <mergeCell ref="AB13:AC13"/>
    <mergeCell ref="AD13:AF13"/>
    <mergeCell ref="AG13:AP13"/>
    <mergeCell ref="A12:C12"/>
    <mergeCell ref="E12:F12"/>
    <mergeCell ref="K12:L12"/>
    <mergeCell ref="M12:W12"/>
    <mergeCell ref="X12:AA12"/>
    <mergeCell ref="AB12:AC12"/>
    <mergeCell ref="AD10:AF10"/>
    <mergeCell ref="AG10:AP10"/>
    <mergeCell ref="A11:C11"/>
    <mergeCell ref="E11:F11"/>
    <mergeCell ref="K11:L11"/>
    <mergeCell ref="M11:W11"/>
    <mergeCell ref="X11:AA11"/>
    <mergeCell ref="AB11:AC11"/>
    <mergeCell ref="AD11:AF11"/>
    <mergeCell ref="AG11:AP11"/>
    <mergeCell ref="A10:C10"/>
    <mergeCell ref="E10:F10"/>
    <mergeCell ref="K10:L10"/>
    <mergeCell ref="M10:W10"/>
    <mergeCell ref="X10:AA10"/>
    <mergeCell ref="AB10:AC10"/>
    <mergeCell ref="AC4:AE4"/>
    <mergeCell ref="AF4:AJ4"/>
    <mergeCell ref="AK4:AL4"/>
    <mergeCell ref="AD8:AF8"/>
    <mergeCell ref="AG8:AP8"/>
    <mergeCell ref="K9:L9"/>
    <mergeCell ref="M9:W9"/>
    <mergeCell ref="X9:AA9"/>
    <mergeCell ref="AB9:AC9"/>
    <mergeCell ref="AD9:AF9"/>
    <mergeCell ref="AG9:AP9"/>
    <mergeCell ref="K7:AN7"/>
    <mergeCell ref="K8:L8"/>
    <mergeCell ref="M8:W8"/>
    <mergeCell ref="X8:AA8"/>
    <mergeCell ref="AB8:AC8"/>
    <mergeCell ref="K20:L20"/>
    <mergeCell ref="M20:W20"/>
    <mergeCell ref="A21:I21"/>
    <mergeCell ref="W1:Z1"/>
    <mergeCell ref="AC1:AE1"/>
    <mergeCell ref="AF1:AP1"/>
    <mergeCell ref="T2:V2"/>
    <mergeCell ref="W2:Z2"/>
    <mergeCell ref="AC2:AE2"/>
    <mergeCell ref="AF2:AP2"/>
    <mergeCell ref="AM4:AP4"/>
    <mergeCell ref="F5:G5"/>
    <mergeCell ref="T5:V5"/>
    <mergeCell ref="W5:Z5"/>
    <mergeCell ref="AC5:AE5"/>
    <mergeCell ref="AF5:AJ5"/>
    <mergeCell ref="AK5:AL5"/>
    <mergeCell ref="AM5:AP5"/>
    <mergeCell ref="B3:H4"/>
    <mergeCell ref="T3:V3"/>
    <mergeCell ref="W3:Z3"/>
    <mergeCell ref="AC3:AE3"/>
    <mergeCell ref="AF3:AP3"/>
    <mergeCell ref="T4:V4"/>
    <mergeCell ref="T1:V1"/>
    <mergeCell ref="A7:I7"/>
    <mergeCell ref="A8:C9"/>
    <mergeCell ref="D8:D9"/>
    <mergeCell ref="E8:F9"/>
    <mergeCell ref="G8:I8"/>
    <mergeCell ref="A18:A19"/>
    <mergeCell ref="B18:C18"/>
    <mergeCell ref="D18:E18"/>
    <mergeCell ref="F18:G18"/>
    <mergeCell ref="H18:I19"/>
    <mergeCell ref="K18:L18"/>
    <mergeCell ref="M18:W18"/>
    <mergeCell ref="W4:Z4"/>
    <mergeCell ref="X18:AA18"/>
    <mergeCell ref="A32:C32"/>
    <mergeCell ref="F25:G26"/>
    <mergeCell ref="H25:I26"/>
    <mergeCell ref="F27:G27"/>
    <mergeCell ref="H27:I27"/>
    <mergeCell ref="F28:G29"/>
    <mergeCell ref="H28:I29"/>
    <mergeCell ref="F30:G30"/>
    <mergeCell ref="H30:I30"/>
  </mergeCells>
  <pageMargins left="0.5" right="0.5" top="0.25" bottom="0.25" header="0.3" footer="0.3"/>
  <pageSetup paperSize="1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474"/>
  <sheetViews>
    <sheetView tabSelected="1" zoomScaleNormal="100" workbookViewId="0">
      <selection activeCell="K8" sqref="K8:L8"/>
    </sheetView>
  </sheetViews>
  <sheetFormatPr defaultColWidth="9.109375" defaultRowHeight="14.4" x14ac:dyDescent="0.3"/>
  <cols>
    <col min="1" max="1" width="5.44140625" style="1" customWidth="1"/>
    <col min="2" max="2" width="5" style="1" customWidth="1"/>
    <col min="3" max="3" width="4.88671875" style="1" customWidth="1"/>
    <col min="4" max="4" width="5.44140625" style="1" customWidth="1"/>
    <col min="5" max="5" width="5.33203125" style="1" customWidth="1"/>
    <col min="6" max="6" width="5.5546875" style="1" customWidth="1"/>
    <col min="7" max="7" width="6.88671875" style="1" customWidth="1"/>
    <col min="8" max="8" width="6.6640625" style="1" customWidth="1"/>
    <col min="9" max="9" width="7.88671875" style="1" customWidth="1"/>
    <col min="10" max="10" width="4" style="1" customWidth="1"/>
    <col min="11" max="11" width="4.44140625" style="1" customWidth="1"/>
    <col min="12" max="13" width="4.6640625" style="1" customWidth="1"/>
    <col min="14" max="18" width="4.44140625" style="1" customWidth="1"/>
    <col min="19" max="19" width="4" style="1" customWidth="1"/>
    <col min="20" max="20" width="4.5546875" style="1" customWidth="1"/>
    <col min="21" max="22" width="4.6640625" style="1" customWidth="1"/>
    <col min="23" max="23" width="4.44140625" style="1" customWidth="1"/>
    <col min="24" max="29" width="4.5546875" style="1" customWidth="1"/>
    <col min="30" max="30" width="5.5546875" style="1" customWidth="1"/>
    <col min="31" max="32" width="5.44140625" style="1" customWidth="1"/>
    <col min="33" max="33" width="4.33203125" style="1" customWidth="1"/>
    <col min="34" max="34" width="4.44140625" style="1" customWidth="1"/>
    <col min="35" max="35" width="4.33203125" style="1" customWidth="1"/>
    <col min="36" max="37" width="4.44140625" style="1" customWidth="1"/>
    <col min="38" max="38" width="4.33203125" style="1" customWidth="1"/>
    <col min="39" max="40" width="4.6640625" style="1" customWidth="1"/>
    <col min="41" max="68" width="4.5546875" style="1" customWidth="1"/>
    <col min="69" max="16384" width="9.109375" style="1"/>
  </cols>
  <sheetData>
    <row r="1" spans="1:76" ht="12.75" customHeight="1" x14ac:dyDescent="0.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152" t="s">
        <v>118</v>
      </c>
      <c r="U1" s="153"/>
      <c r="V1" s="154"/>
      <c r="W1" s="185"/>
      <c r="X1" s="186"/>
      <c r="Y1" s="186"/>
      <c r="Z1" s="187"/>
      <c r="AA1" s="9"/>
      <c r="AB1" s="9"/>
      <c r="AC1" s="188" t="s">
        <v>122</v>
      </c>
      <c r="AD1" s="189"/>
      <c r="AE1" s="189"/>
      <c r="AF1" s="185"/>
      <c r="AG1" s="186"/>
      <c r="AH1" s="186"/>
      <c r="AI1" s="186"/>
      <c r="AJ1" s="186"/>
      <c r="AK1" s="186"/>
      <c r="AL1" s="186"/>
      <c r="AM1" s="186"/>
      <c r="AN1" s="186"/>
      <c r="AO1" s="186"/>
      <c r="AP1" s="187"/>
      <c r="AQ1" s="55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/>
      <c r="BQ1"/>
      <c r="BR1"/>
      <c r="BS1"/>
      <c r="BT1"/>
      <c r="BU1"/>
      <c r="BV1"/>
      <c r="BW1"/>
      <c r="BX1"/>
    </row>
    <row r="2" spans="1:76" ht="13.5" customHeigh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90" t="s">
        <v>119</v>
      </c>
      <c r="U2" s="191"/>
      <c r="V2" s="192"/>
      <c r="W2" s="455"/>
      <c r="X2" s="456"/>
      <c r="Y2" s="456"/>
      <c r="Z2" s="457"/>
      <c r="AA2" s="9"/>
      <c r="AB2" s="9"/>
      <c r="AC2" s="196" t="s">
        <v>123</v>
      </c>
      <c r="AD2" s="197"/>
      <c r="AE2" s="197"/>
      <c r="AF2" s="451"/>
      <c r="AG2" s="452"/>
      <c r="AH2" s="452"/>
      <c r="AI2" s="452"/>
      <c r="AJ2" s="452"/>
      <c r="AK2" s="452"/>
      <c r="AL2" s="452"/>
      <c r="AM2" s="452"/>
      <c r="AN2" s="452"/>
      <c r="AO2" s="452"/>
      <c r="AP2" s="453"/>
      <c r="AQ2" s="55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/>
      <c r="BQ2"/>
      <c r="BR2"/>
      <c r="BS2"/>
      <c r="BT2"/>
      <c r="BU2"/>
      <c r="BV2"/>
      <c r="BW2"/>
      <c r="BX2"/>
    </row>
    <row r="3" spans="1:76" ht="12" customHeight="1" x14ac:dyDescent="0.3">
      <c r="B3" s="454" t="s">
        <v>99</v>
      </c>
      <c r="C3" s="454"/>
      <c r="D3" s="454"/>
      <c r="E3" s="454"/>
      <c r="F3" s="454"/>
      <c r="G3" s="454"/>
      <c r="H3" s="454"/>
      <c r="I3" s="5"/>
      <c r="J3" s="9"/>
      <c r="K3" s="9"/>
      <c r="L3" s="9"/>
      <c r="M3" s="9"/>
      <c r="N3" s="9"/>
      <c r="O3" s="9"/>
      <c r="P3" s="9"/>
      <c r="Q3" s="9"/>
      <c r="R3" s="9"/>
      <c r="S3" s="9"/>
      <c r="T3" s="190" t="s">
        <v>120</v>
      </c>
      <c r="U3" s="191"/>
      <c r="V3" s="192"/>
      <c r="W3" s="455"/>
      <c r="X3" s="456"/>
      <c r="Y3" s="456"/>
      <c r="Z3" s="457"/>
      <c r="AA3" s="9"/>
      <c r="AB3" s="9"/>
      <c r="AC3" s="196" t="s">
        <v>124</v>
      </c>
      <c r="AD3" s="197"/>
      <c r="AE3" s="197"/>
      <c r="AF3" s="451"/>
      <c r="AG3" s="452"/>
      <c r="AH3" s="452"/>
      <c r="AI3" s="452"/>
      <c r="AJ3" s="452"/>
      <c r="AK3" s="452"/>
      <c r="AL3" s="452"/>
      <c r="AM3" s="452"/>
      <c r="AN3" s="452"/>
      <c r="AO3" s="452"/>
      <c r="AP3" s="453"/>
      <c r="AQ3" s="55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/>
      <c r="BQ3"/>
      <c r="BR3"/>
      <c r="BS3"/>
      <c r="BT3"/>
      <c r="BU3"/>
      <c r="BV3"/>
      <c r="BW3"/>
      <c r="BX3"/>
    </row>
    <row r="4" spans="1:76" ht="12.75" customHeight="1" x14ac:dyDescent="0.3">
      <c r="B4" s="454"/>
      <c r="C4" s="454"/>
      <c r="D4" s="454"/>
      <c r="E4" s="454"/>
      <c r="F4" s="454"/>
      <c r="G4" s="454"/>
      <c r="H4" s="454"/>
      <c r="I4" s="5"/>
      <c r="J4" s="9"/>
      <c r="K4" s="9"/>
      <c r="L4" s="9"/>
      <c r="M4" s="9"/>
      <c r="N4" s="9"/>
      <c r="O4" s="9"/>
      <c r="P4" s="9"/>
      <c r="Q4" s="9"/>
      <c r="R4" s="9"/>
      <c r="S4" s="9"/>
      <c r="T4" s="196" t="s">
        <v>121</v>
      </c>
      <c r="U4" s="197"/>
      <c r="V4" s="197"/>
      <c r="W4" s="176"/>
      <c r="X4" s="176"/>
      <c r="Y4" s="176"/>
      <c r="Z4" s="177"/>
      <c r="AA4" s="9"/>
      <c r="AB4" s="9"/>
      <c r="AC4" s="196" t="s">
        <v>125</v>
      </c>
      <c r="AD4" s="197"/>
      <c r="AE4" s="197"/>
      <c r="AF4" s="217"/>
      <c r="AG4" s="218"/>
      <c r="AH4" s="218"/>
      <c r="AI4" s="218"/>
      <c r="AJ4" s="219"/>
      <c r="AK4" s="479" t="s">
        <v>127</v>
      </c>
      <c r="AL4" s="479"/>
      <c r="AM4" s="201"/>
      <c r="AN4" s="202"/>
      <c r="AO4" s="202"/>
      <c r="AP4" s="203"/>
      <c r="AQ4" s="55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/>
      <c r="BQ4"/>
      <c r="BR4"/>
      <c r="BS4"/>
      <c r="BT4"/>
      <c r="BU4"/>
      <c r="BV4"/>
      <c r="BW4"/>
      <c r="BX4"/>
    </row>
    <row r="5" spans="1:76" ht="12.75" customHeight="1" thickBot="1" x14ac:dyDescent="0.35">
      <c r="F5" s="204" t="s">
        <v>9</v>
      </c>
      <c r="G5" s="204"/>
      <c r="H5" s="76" t="s">
        <v>100</v>
      </c>
      <c r="K5" s="9"/>
      <c r="L5" s="9"/>
      <c r="M5" s="9"/>
      <c r="N5" s="9"/>
      <c r="O5" s="9"/>
      <c r="P5" s="9"/>
      <c r="Q5" s="9"/>
      <c r="R5" s="9"/>
      <c r="S5" s="9"/>
      <c r="T5" s="205" t="s">
        <v>117</v>
      </c>
      <c r="U5" s="206"/>
      <c r="V5" s="206"/>
      <c r="W5" s="207"/>
      <c r="X5" s="207"/>
      <c r="Y5" s="207"/>
      <c r="Z5" s="208"/>
      <c r="AA5" s="9"/>
      <c r="AB5" s="9"/>
      <c r="AC5" s="205" t="s">
        <v>126</v>
      </c>
      <c r="AD5" s="206"/>
      <c r="AE5" s="206"/>
      <c r="AF5" s="209"/>
      <c r="AG5" s="210"/>
      <c r="AH5" s="210"/>
      <c r="AI5" s="210"/>
      <c r="AJ5" s="211"/>
      <c r="AK5" s="206" t="s">
        <v>128</v>
      </c>
      <c r="AL5" s="206"/>
      <c r="AM5" s="213"/>
      <c r="AN5" s="214"/>
      <c r="AO5" s="214"/>
      <c r="AP5" s="215"/>
      <c r="AQ5" s="55"/>
      <c r="AR5" s="54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/>
      <c r="BQ5"/>
      <c r="BR5"/>
      <c r="BS5"/>
      <c r="BT5"/>
      <c r="BU5"/>
      <c r="BV5"/>
      <c r="BW5"/>
      <c r="BX5"/>
    </row>
    <row r="6" spans="1:76" ht="12.75" customHeight="1" x14ac:dyDescent="0.3">
      <c r="A6" s="4"/>
      <c r="B6" s="9"/>
      <c r="C6" s="9"/>
      <c r="K6" s="9"/>
      <c r="L6" s="9"/>
      <c r="M6" s="9"/>
      <c r="N6" s="9"/>
      <c r="O6" s="9"/>
      <c r="P6" s="9"/>
      <c r="Q6" s="9"/>
      <c r="R6" s="9"/>
      <c r="S6" s="9"/>
      <c r="T6" s="9"/>
      <c r="U6" s="39"/>
      <c r="V6" s="39"/>
      <c r="W6" s="39"/>
      <c r="X6" s="75"/>
      <c r="Y6" s="75"/>
      <c r="Z6" s="75"/>
      <c r="AA6" s="75"/>
      <c r="AB6" s="9"/>
      <c r="AC6" s="9"/>
      <c r="AD6" s="9"/>
      <c r="AE6" s="39"/>
      <c r="AF6" s="39"/>
      <c r="AG6" s="39"/>
      <c r="AH6" s="40"/>
      <c r="AI6" s="40"/>
      <c r="AJ6" s="40"/>
      <c r="AK6" s="39"/>
      <c r="AL6" s="39"/>
      <c r="AM6" s="41"/>
      <c r="AN6" s="41"/>
      <c r="AO6" s="9"/>
      <c r="AP6" s="9"/>
      <c r="AQ6" s="55"/>
      <c r="AR6" s="54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/>
      <c r="BQ6"/>
      <c r="BR6"/>
      <c r="BS6"/>
      <c r="BT6"/>
      <c r="BU6"/>
      <c r="BV6"/>
      <c r="BW6"/>
      <c r="BX6"/>
    </row>
    <row r="7" spans="1:76" ht="12.75" customHeight="1" thickBot="1" x14ac:dyDescent="0.35">
      <c r="A7" s="155" t="s">
        <v>98</v>
      </c>
      <c r="B7" s="155"/>
      <c r="C7" s="155"/>
      <c r="D7" s="155"/>
      <c r="E7" s="155"/>
      <c r="F7" s="155"/>
      <c r="G7" s="155"/>
      <c r="H7" s="155"/>
      <c r="I7" s="155"/>
      <c r="J7" s="4"/>
      <c r="K7" s="155" t="s">
        <v>109</v>
      </c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  <c r="AG7" s="155"/>
      <c r="AH7" s="155"/>
      <c r="AI7" s="155"/>
      <c r="AJ7" s="155"/>
      <c r="AK7" s="155"/>
      <c r="AL7" s="155"/>
      <c r="AM7" s="155"/>
      <c r="AN7" s="155"/>
      <c r="AO7" s="9"/>
      <c r="AP7" s="9"/>
      <c r="AQ7" s="55"/>
      <c r="AR7" s="54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/>
      <c r="BQ7"/>
      <c r="BR7"/>
      <c r="BS7"/>
      <c r="BT7"/>
      <c r="BU7"/>
      <c r="BV7"/>
      <c r="BW7"/>
      <c r="BX7"/>
    </row>
    <row r="8" spans="1:76" ht="12.75" customHeight="1" thickBot="1" x14ac:dyDescent="0.35">
      <c r="A8" s="156" t="s">
        <v>70</v>
      </c>
      <c r="B8" s="157"/>
      <c r="C8" s="157"/>
      <c r="D8" s="160" t="s">
        <v>10</v>
      </c>
      <c r="E8" s="160" t="s">
        <v>11</v>
      </c>
      <c r="F8" s="162"/>
      <c r="G8" s="162" t="s">
        <v>13</v>
      </c>
      <c r="H8" s="164"/>
      <c r="I8" s="165"/>
      <c r="J8" s="4"/>
      <c r="K8" s="237" t="s">
        <v>22</v>
      </c>
      <c r="L8" s="238"/>
      <c r="M8" s="239" t="s">
        <v>23</v>
      </c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21" t="s">
        <v>24</v>
      </c>
      <c r="Y8" s="222"/>
      <c r="Z8" s="222"/>
      <c r="AA8" s="223"/>
      <c r="AB8" s="221" t="s">
        <v>26</v>
      </c>
      <c r="AC8" s="223"/>
      <c r="AD8" s="221" t="s">
        <v>57</v>
      </c>
      <c r="AE8" s="222"/>
      <c r="AF8" s="223"/>
      <c r="AG8" s="224" t="s">
        <v>25</v>
      </c>
      <c r="AH8" s="225"/>
      <c r="AI8" s="225"/>
      <c r="AJ8" s="225"/>
      <c r="AK8" s="225"/>
      <c r="AL8" s="225"/>
      <c r="AM8" s="225"/>
      <c r="AN8" s="225"/>
      <c r="AO8" s="225"/>
      <c r="AP8" s="226"/>
      <c r="AQ8" s="55"/>
      <c r="AR8" s="54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/>
      <c r="BQ8"/>
      <c r="BR8"/>
      <c r="BS8"/>
      <c r="BT8"/>
      <c r="BU8"/>
      <c r="BV8"/>
      <c r="BW8"/>
      <c r="BX8"/>
    </row>
    <row r="9" spans="1:76" ht="14.25" customHeight="1" thickBot="1" x14ac:dyDescent="0.35">
      <c r="A9" s="158"/>
      <c r="B9" s="159"/>
      <c r="C9" s="159"/>
      <c r="D9" s="161"/>
      <c r="E9" s="161"/>
      <c r="F9" s="163"/>
      <c r="G9" s="74" t="s">
        <v>71</v>
      </c>
      <c r="H9" s="43" t="s">
        <v>12</v>
      </c>
      <c r="I9" s="44" t="s">
        <v>35</v>
      </c>
      <c r="J9" s="4"/>
      <c r="K9" s="227" t="e">
        <f>DocCode(Calculations!K3)</f>
        <v>#VALUE!</v>
      </c>
      <c r="L9" s="228"/>
      <c r="M9" s="229" t="e">
        <f>DocDesc(Calculations!K3)</f>
        <v>#VALUE!</v>
      </c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30" t="e">
        <f>DocStatus(Calculations!K3)</f>
        <v>#VALUE!</v>
      </c>
      <c r="Y9" s="231"/>
      <c r="Z9" s="231"/>
      <c r="AA9" s="232"/>
      <c r="AB9" s="233" t="e">
        <f>DocDate(Calculations!K3)</f>
        <v>#VALUE!</v>
      </c>
      <c r="AC9" s="234"/>
      <c r="AD9" s="235" t="e">
        <f>DocPerson(Calculations!K3)</f>
        <v>#VALUE!</v>
      </c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6"/>
      <c r="AQ9" s="55"/>
      <c r="AR9" s="54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/>
      <c r="BQ9"/>
      <c r="BR9"/>
      <c r="BS9"/>
      <c r="BT9"/>
      <c r="BU9"/>
      <c r="BV9"/>
      <c r="BW9"/>
      <c r="BX9"/>
    </row>
    <row r="10" spans="1:76" ht="13.5" customHeight="1" x14ac:dyDescent="0.3">
      <c r="A10" s="251"/>
      <c r="B10" s="252"/>
      <c r="C10" s="252"/>
      <c r="D10" s="123" t="s">
        <v>97</v>
      </c>
      <c r="E10" s="458" t="e">
        <f>IF(D10&gt;0,($E$17*D10)," ")</f>
        <v>#VALUE!</v>
      </c>
      <c r="F10" s="458"/>
      <c r="G10" s="84"/>
      <c r="H10" s="85"/>
      <c r="I10" s="86"/>
      <c r="J10" s="4"/>
      <c r="K10" s="181" t="e">
        <f>DocCode(Calculations!K4)</f>
        <v>#VALUE!</v>
      </c>
      <c r="L10" s="182"/>
      <c r="M10" s="183" t="e">
        <f>DocDesc(Calculations!K4)</f>
        <v>#VALUE!</v>
      </c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246" t="e">
        <f>DocStatus(Calculations!K4)</f>
        <v>#VALUE!</v>
      </c>
      <c r="Y10" s="247"/>
      <c r="Z10" s="247"/>
      <c r="AA10" s="248"/>
      <c r="AB10" s="249" t="e">
        <f>DocDate(Calculations!K4)</f>
        <v>#VALUE!</v>
      </c>
      <c r="AC10" s="250"/>
      <c r="AD10" s="240" t="e">
        <f>DocPerson(Calculations!K4)</f>
        <v>#VALUE!</v>
      </c>
      <c r="AE10" s="240"/>
      <c r="AF10" s="240"/>
      <c r="AG10" s="240"/>
      <c r="AH10" s="240"/>
      <c r="AI10" s="240"/>
      <c r="AJ10" s="240"/>
      <c r="AK10" s="240"/>
      <c r="AL10" s="240"/>
      <c r="AM10" s="240"/>
      <c r="AN10" s="240"/>
      <c r="AO10" s="240"/>
      <c r="AP10" s="241"/>
      <c r="AQ10" s="55"/>
      <c r="AR10" s="54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/>
      <c r="BQ10"/>
      <c r="BR10"/>
      <c r="BS10"/>
      <c r="BT10"/>
      <c r="BU10"/>
      <c r="BV10"/>
      <c r="BW10"/>
      <c r="BX10"/>
    </row>
    <row r="11" spans="1:76" ht="12.75" customHeight="1" x14ac:dyDescent="0.3">
      <c r="A11" s="261"/>
      <c r="B11" s="243"/>
      <c r="C11" s="243"/>
      <c r="D11" s="123" t="s">
        <v>97</v>
      </c>
      <c r="E11" s="459" t="e">
        <f t="shared" ref="E11:E16" si="0">IF(D11&gt;0,($E$17*D11)," ")</f>
        <v>#VALUE!</v>
      </c>
      <c r="F11" s="459"/>
      <c r="G11" s="87"/>
      <c r="H11" s="88"/>
      <c r="I11" s="89"/>
      <c r="K11" s="181" t="e">
        <f>DocCode(Calculations!K5)</f>
        <v>#VALUE!</v>
      </c>
      <c r="L11" s="182"/>
      <c r="M11" s="183" t="e">
        <f>DocDesc(Calculations!K5)</f>
        <v>#VALUE!</v>
      </c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246" t="e">
        <f>DocStatus(Calculations!K5)</f>
        <v>#VALUE!</v>
      </c>
      <c r="Y11" s="247"/>
      <c r="Z11" s="247"/>
      <c r="AA11" s="248"/>
      <c r="AB11" s="249" t="e">
        <f>DocDate(Calculations!K5)</f>
        <v>#VALUE!</v>
      </c>
      <c r="AC11" s="250"/>
      <c r="AD11" s="240" t="e">
        <f>DocPerson(Calculations!K5)</f>
        <v>#VALUE!</v>
      </c>
      <c r="AE11" s="240"/>
      <c r="AF11" s="240"/>
      <c r="AG11" s="240"/>
      <c r="AH11" s="240"/>
      <c r="AI11" s="240"/>
      <c r="AJ11" s="240"/>
      <c r="AK11" s="240"/>
      <c r="AL11" s="240"/>
      <c r="AM11" s="240"/>
      <c r="AN11" s="240"/>
      <c r="AO11" s="240"/>
      <c r="AP11" s="241"/>
      <c r="AQ11" s="55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/>
      <c r="BQ11"/>
      <c r="BR11"/>
      <c r="BS11"/>
      <c r="BT11"/>
      <c r="BU11"/>
      <c r="BV11"/>
      <c r="BW11"/>
      <c r="BX11"/>
    </row>
    <row r="12" spans="1:76" ht="12.75" customHeight="1" x14ac:dyDescent="0.3">
      <c r="A12" s="261"/>
      <c r="B12" s="243"/>
      <c r="C12" s="243"/>
      <c r="D12" s="123" t="s">
        <v>97</v>
      </c>
      <c r="E12" s="459" t="e">
        <f t="shared" si="0"/>
        <v>#VALUE!</v>
      </c>
      <c r="F12" s="459"/>
      <c r="G12" s="87"/>
      <c r="H12" s="88"/>
      <c r="I12" s="89"/>
      <c r="J12" s="125"/>
      <c r="K12" s="181" t="e">
        <f>DocCode(Calculations!K6)</f>
        <v>#VALUE!</v>
      </c>
      <c r="L12" s="182"/>
      <c r="M12" s="183" t="e">
        <f>DocDesc(Calculations!K6)</f>
        <v>#VALUE!</v>
      </c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246" t="e">
        <f>DocStatus(Calculations!K6)</f>
        <v>#VALUE!</v>
      </c>
      <c r="Y12" s="247"/>
      <c r="Z12" s="247"/>
      <c r="AA12" s="248"/>
      <c r="AB12" s="249" t="e">
        <f>DocDate(Calculations!K6)</f>
        <v>#VALUE!</v>
      </c>
      <c r="AC12" s="250"/>
      <c r="AD12" s="240" t="e">
        <f>DocPerson(Calculations!K6)</f>
        <v>#VALUE!</v>
      </c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1"/>
      <c r="AQ12" s="55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/>
      <c r="BQ12"/>
      <c r="BR12"/>
      <c r="BS12"/>
      <c r="BT12"/>
      <c r="BU12"/>
      <c r="BV12"/>
      <c r="BW12"/>
      <c r="BX12"/>
    </row>
    <row r="13" spans="1:76" ht="12.75" customHeight="1" x14ac:dyDescent="0.3">
      <c r="A13" s="261"/>
      <c r="B13" s="243"/>
      <c r="C13" s="243"/>
      <c r="D13" s="123" t="s">
        <v>97</v>
      </c>
      <c r="E13" s="459" t="e">
        <f t="shared" si="0"/>
        <v>#VALUE!</v>
      </c>
      <c r="F13" s="459"/>
      <c r="G13" s="87"/>
      <c r="H13" s="88"/>
      <c r="I13" s="89"/>
      <c r="J13" s="422" t="s">
        <v>49</v>
      </c>
      <c r="K13" s="181" t="e">
        <f>DocCode(Calculations!K7)</f>
        <v>#VALUE!</v>
      </c>
      <c r="L13" s="182"/>
      <c r="M13" s="183" t="e">
        <f>DocDesc(Calculations!K7)</f>
        <v>#VALUE!</v>
      </c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246" t="e">
        <f>DocStatus(Calculations!K7)</f>
        <v>#VALUE!</v>
      </c>
      <c r="Y13" s="247"/>
      <c r="Z13" s="247"/>
      <c r="AA13" s="248"/>
      <c r="AB13" s="249" t="e">
        <f>DocDate(Calculations!K7)</f>
        <v>#VALUE!</v>
      </c>
      <c r="AC13" s="250"/>
      <c r="AD13" s="240" t="e">
        <f>DocPerson(Calculations!K7)</f>
        <v>#VALUE!</v>
      </c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1"/>
      <c r="AQ13" s="55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/>
      <c r="BQ13"/>
      <c r="BR13"/>
      <c r="BS13"/>
      <c r="BT13"/>
      <c r="BU13"/>
      <c r="BV13"/>
      <c r="BW13"/>
      <c r="BX13"/>
    </row>
    <row r="14" spans="1:76" ht="12.75" customHeight="1" x14ac:dyDescent="0.3">
      <c r="A14" s="261"/>
      <c r="B14" s="243"/>
      <c r="C14" s="243"/>
      <c r="D14" s="123" t="s">
        <v>97</v>
      </c>
      <c r="E14" s="459" t="e">
        <f t="shared" si="0"/>
        <v>#VALUE!</v>
      </c>
      <c r="F14" s="459"/>
      <c r="G14" s="87"/>
      <c r="H14" s="88"/>
      <c r="I14" s="89"/>
      <c r="J14" s="422"/>
      <c r="K14" s="181" t="e">
        <f>DocCode(Calculations!K8)</f>
        <v>#VALUE!</v>
      </c>
      <c r="L14" s="182"/>
      <c r="M14" s="183" t="e">
        <f>DocDesc(Calculations!K8)</f>
        <v>#VALUE!</v>
      </c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246" t="e">
        <f>DocStatus(Calculations!K8)</f>
        <v>#VALUE!</v>
      </c>
      <c r="Y14" s="247"/>
      <c r="Z14" s="247"/>
      <c r="AA14" s="248"/>
      <c r="AB14" s="249" t="e">
        <f>DocDate(Calculations!K8)</f>
        <v>#VALUE!</v>
      </c>
      <c r="AC14" s="250"/>
      <c r="AD14" s="240" t="e">
        <f>DocPerson(Calculations!K8)</f>
        <v>#VALUE!</v>
      </c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1"/>
      <c r="AQ14" s="55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/>
      <c r="BQ14"/>
      <c r="BR14"/>
      <c r="BS14"/>
      <c r="BT14"/>
      <c r="BU14"/>
      <c r="BV14"/>
      <c r="BW14"/>
      <c r="BX14"/>
    </row>
    <row r="15" spans="1:76" ht="12.75" customHeight="1" x14ac:dyDescent="0.3">
      <c r="A15" s="261"/>
      <c r="B15" s="243"/>
      <c r="C15" s="243"/>
      <c r="D15" s="123" t="s">
        <v>97</v>
      </c>
      <c r="E15" s="459" t="e">
        <f t="shared" si="0"/>
        <v>#VALUE!</v>
      </c>
      <c r="F15" s="459"/>
      <c r="G15" s="87"/>
      <c r="H15" s="88"/>
      <c r="I15" s="89"/>
      <c r="J15" s="422"/>
      <c r="K15" s="181" t="e">
        <f>DocCode(Calculations!K9)</f>
        <v>#VALUE!</v>
      </c>
      <c r="L15" s="182"/>
      <c r="M15" s="183" t="e">
        <f>DocDesc(Calculations!K9)</f>
        <v>#VALUE!</v>
      </c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246" t="e">
        <f>DocStatus(Calculations!K9)</f>
        <v>#VALUE!</v>
      </c>
      <c r="Y15" s="247"/>
      <c r="Z15" s="247"/>
      <c r="AA15" s="248"/>
      <c r="AB15" s="249" t="e">
        <f>DocDate(Calculations!K9)</f>
        <v>#VALUE!</v>
      </c>
      <c r="AC15" s="250"/>
      <c r="AD15" s="240" t="e">
        <f>DocPerson(Calculations!K9)</f>
        <v>#VALUE!</v>
      </c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1"/>
      <c r="AQ15" s="55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/>
      <c r="BQ15"/>
      <c r="BR15"/>
      <c r="BS15"/>
      <c r="BT15"/>
      <c r="BU15"/>
      <c r="BV15"/>
      <c r="BW15"/>
      <c r="BX15"/>
    </row>
    <row r="16" spans="1:76" ht="13.5" customHeight="1" thickBot="1" x14ac:dyDescent="0.35">
      <c r="A16" s="264"/>
      <c r="B16" s="265"/>
      <c r="C16" s="265"/>
      <c r="D16" s="124" t="s">
        <v>97</v>
      </c>
      <c r="E16" s="461" t="e">
        <f t="shared" si="0"/>
        <v>#VALUE!</v>
      </c>
      <c r="F16" s="461"/>
      <c r="G16" s="90"/>
      <c r="H16" s="91"/>
      <c r="I16" s="92"/>
      <c r="J16" s="422"/>
      <c r="K16" s="181" t="e">
        <f>DocCode(Calculations!K10)</f>
        <v>#VALUE!</v>
      </c>
      <c r="L16" s="182"/>
      <c r="M16" s="183" t="e">
        <f>DocDesc(Calculations!K10)</f>
        <v>#VALUE!</v>
      </c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246" t="e">
        <f>DocStatus(Calculations!K10)</f>
        <v>#VALUE!</v>
      </c>
      <c r="Y16" s="247"/>
      <c r="Z16" s="247"/>
      <c r="AA16" s="248"/>
      <c r="AB16" s="249" t="e">
        <f>DocDate(Calculations!K10)</f>
        <v>#VALUE!</v>
      </c>
      <c r="AC16" s="250"/>
      <c r="AD16" s="240" t="e">
        <f>DocPerson(Calculations!K10)</f>
        <v>#VALUE!</v>
      </c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1"/>
      <c r="AQ16" s="55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/>
      <c r="BQ16"/>
      <c r="BR16"/>
      <c r="BS16"/>
      <c r="BT16"/>
      <c r="BU16"/>
      <c r="BV16"/>
      <c r="BW16"/>
      <c r="BX16"/>
    </row>
    <row r="17" spans="1:76" ht="14.25" customHeight="1" thickBot="1" x14ac:dyDescent="0.35">
      <c r="A17" s="262" t="s">
        <v>14</v>
      </c>
      <c r="B17" s="262"/>
      <c r="C17" s="262"/>
      <c r="D17" s="262"/>
      <c r="E17" s="460" t="s">
        <v>96</v>
      </c>
      <c r="F17" s="460"/>
      <c r="G17" s="4"/>
      <c r="H17" s="4"/>
      <c r="I17" s="46"/>
      <c r="J17" s="423"/>
      <c r="K17" s="181" t="e">
        <f>DocCode(Calculations!K11)</f>
        <v>#VALUE!</v>
      </c>
      <c r="L17" s="182"/>
      <c r="M17" s="183" t="e">
        <f>DocDesc(Calculations!K11)</f>
        <v>#VALUE!</v>
      </c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246" t="e">
        <f>DocStatus(Calculations!K11)</f>
        <v>#VALUE!</v>
      </c>
      <c r="Y17" s="247"/>
      <c r="Z17" s="247"/>
      <c r="AA17" s="248"/>
      <c r="AB17" s="249" t="e">
        <f>DocDate(Calculations!K11)</f>
        <v>#VALUE!</v>
      </c>
      <c r="AC17" s="250"/>
      <c r="AD17" s="240" t="e">
        <f>DocPerson(Calculations!K11)</f>
        <v>#VALUE!</v>
      </c>
      <c r="AE17" s="240"/>
      <c r="AF17" s="240"/>
      <c r="AG17" s="240"/>
      <c r="AH17" s="240"/>
      <c r="AI17" s="240"/>
      <c r="AJ17" s="240"/>
      <c r="AK17" s="240"/>
      <c r="AL17" s="240"/>
      <c r="AM17" s="240"/>
      <c r="AN17" s="240"/>
      <c r="AO17" s="240"/>
      <c r="AP17" s="241"/>
      <c r="AQ17" s="55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/>
      <c r="BQ17"/>
      <c r="BR17"/>
      <c r="BS17"/>
      <c r="BT17"/>
      <c r="BU17"/>
      <c r="BV17"/>
      <c r="BW17"/>
      <c r="BX17"/>
    </row>
    <row r="18" spans="1:76" ht="12.75" customHeight="1" thickBot="1" x14ac:dyDescent="0.35">
      <c r="A18" s="166" t="s">
        <v>19</v>
      </c>
      <c r="B18" s="462" t="s">
        <v>74</v>
      </c>
      <c r="C18" s="463"/>
      <c r="D18" s="169" t="s">
        <v>75</v>
      </c>
      <c r="E18" s="169"/>
      <c r="F18" s="464" t="s">
        <v>11</v>
      </c>
      <c r="G18" s="465"/>
      <c r="H18" s="466" t="s">
        <v>103</v>
      </c>
      <c r="I18" s="466"/>
      <c r="J18" s="4"/>
      <c r="K18" s="173" t="e">
        <f>DocCode(Calculations!K12)</f>
        <v>#VALUE!</v>
      </c>
      <c r="L18" s="174"/>
      <c r="M18" s="175" t="e">
        <f>DocDesc(Calculations!K12)</f>
        <v>#VALUE!</v>
      </c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8" t="e">
        <f>DocStatus(Calculations!K12)</f>
        <v>#VALUE!</v>
      </c>
      <c r="Y18" s="179"/>
      <c r="Z18" s="179"/>
      <c r="AA18" s="180"/>
      <c r="AB18" s="268" t="e">
        <f>DocDate(Calculations!K12)</f>
        <v>#VALUE!</v>
      </c>
      <c r="AC18" s="269"/>
      <c r="AD18" s="270" t="e">
        <f>DocPerson(Calculations!K12)</f>
        <v>#VALUE!</v>
      </c>
      <c r="AE18" s="270"/>
      <c r="AF18" s="270"/>
      <c r="AG18" s="271"/>
      <c r="AH18" s="271"/>
      <c r="AI18" s="271"/>
      <c r="AJ18" s="271"/>
      <c r="AK18" s="271"/>
      <c r="AL18" s="271"/>
      <c r="AM18" s="271"/>
      <c r="AN18" s="271"/>
      <c r="AO18" s="271"/>
      <c r="AP18" s="272"/>
      <c r="AQ18" s="55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/>
      <c r="BQ18"/>
      <c r="BR18"/>
      <c r="BS18"/>
      <c r="BT18"/>
      <c r="BU18"/>
      <c r="BV18"/>
      <c r="BW18"/>
      <c r="BX18"/>
    </row>
    <row r="19" spans="1:76" ht="13.5" customHeight="1" thickBot="1" x14ac:dyDescent="0.35">
      <c r="A19" s="166"/>
      <c r="B19" s="447"/>
      <c r="C19" s="448"/>
      <c r="D19" s="449"/>
      <c r="E19" s="450"/>
      <c r="F19" s="445"/>
      <c r="G19" s="446"/>
      <c r="H19" s="466"/>
      <c r="I19" s="466"/>
      <c r="J19" s="4"/>
      <c r="K19" s="181" t="e">
        <f>DocCode(Calculations!K13)</f>
        <v>#VALUE!</v>
      </c>
      <c r="L19" s="182"/>
      <c r="M19" s="183" t="e">
        <f>DocDesc(Calculations!K13)</f>
        <v>#VALUE!</v>
      </c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2" t="e">
        <f>DocStatus(Calculations!K13)</f>
        <v>#VALUE!</v>
      </c>
      <c r="Y19" s="182"/>
      <c r="Z19" s="182"/>
      <c r="AA19" s="182"/>
      <c r="AB19" s="279" t="e">
        <f>DocDate(Calculations!K13)</f>
        <v>#VALUE!</v>
      </c>
      <c r="AC19" s="279"/>
      <c r="AD19" s="240" t="e">
        <f>DocPerson(Calculations!K13)</f>
        <v>#VALUE!</v>
      </c>
      <c r="AE19" s="240"/>
      <c r="AF19" s="240"/>
      <c r="AG19" s="280"/>
      <c r="AH19" s="280"/>
      <c r="AI19" s="280"/>
      <c r="AJ19" s="280"/>
      <c r="AK19" s="280"/>
      <c r="AL19" s="280"/>
      <c r="AM19" s="280"/>
      <c r="AN19" s="280"/>
      <c r="AO19" s="280"/>
      <c r="AP19" s="281"/>
      <c r="AQ19" s="55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X19"/>
    </row>
    <row r="20" spans="1:76" ht="12.75" customHeight="1" x14ac:dyDescent="0.3">
      <c r="A20" s="81"/>
      <c r="B20" s="81"/>
      <c r="C20" s="81"/>
      <c r="D20" s="81"/>
      <c r="E20" s="81"/>
      <c r="F20" s="81"/>
      <c r="G20" s="81"/>
      <c r="J20" s="4"/>
      <c r="K20" s="181" t="e">
        <f>DocCode(Calculations!K14)</f>
        <v>#VALUE!</v>
      </c>
      <c r="L20" s="182"/>
      <c r="M20" s="183" t="e">
        <f>DocDesc(Calculations!K14)</f>
        <v>#VALUE!</v>
      </c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2" t="e">
        <f>DocStatus(Calculations!K14)</f>
        <v>#VALUE!</v>
      </c>
      <c r="Y20" s="182"/>
      <c r="Z20" s="182"/>
      <c r="AA20" s="182"/>
      <c r="AB20" s="279" t="e">
        <f>DocDate(Calculations!K14)</f>
        <v>#VALUE!</v>
      </c>
      <c r="AC20" s="279"/>
      <c r="AD20" s="240" t="e">
        <f>DocPerson(Calculations!K14)</f>
        <v>#VALUE!</v>
      </c>
      <c r="AE20" s="240"/>
      <c r="AF20" s="240"/>
      <c r="AG20" s="280"/>
      <c r="AH20" s="280"/>
      <c r="AI20" s="280"/>
      <c r="AJ20" s="280"/>
      <c r="AK20" s="280"/>
      <c r="AL20" s="280"/>
      <c r="AM20" s="280"/>
      <c r="AN20" s="280"/>
      <c r="AO20" s="280"/>
      <c r="AP20" s="281"/>
      <c r="AQ20" s="55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X20"/>
    </row>
    <row r="21" spans="1:76" ht="15.75" customHeight="1" thickBot="1" x14ac:dyDescent="0.35">
      <c r="A21" s="184" t="s">
        <v>67</v>
      </c>
      <c r="B21" s="184"/>
      <c r="C21" s="184"/>
      <c r="D21" s="184"/>
      <c r="E21" s="184"/>
      <c r="F21" s="184"/>
      <c r="G21" s="184"/>
      <c r="H21" s="184"/>
      <c r="I21" s="184"/>
      <c r="J21" s="4"/>
      <c r="K21" s="181" t="e">
        <f>DocCode(Calculations!K15)</f>
        <v>#VALUE!</v>
      </c>
      <c r="L21" s="182"/>
      <c r="M21" s="183" t="e">
        <f>DocDesc(Calculations!K15)</f>
        <v>#VALUE!</v>
      </c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2" t="e">
        <f>DocStatus(Calculations!K15)</f>
        <v>#VALUE!</v>
      </c>
      <c r="Y21" s="182"/>
      <c r="Z21" s="182"/>
      <c r="AA21" s="182"/>
      <c r="AB21" s="279" t="e">
        <f>DocDate(Calculations!K15)</f>
        <v>#VALUE!</v>
      </c>
      <c r="AC21" s="279"/>
      <c r="AD21" s="240" t="e">
        <f>DocPerson(Calculations!K15)</f>
        <v>#VALUE!</v>
      </c>
      <c r="AE21" s="240"/>
      <c r="AF21" s="240"/>
      <c r="AG21" s="280"/>
      <c r="AH21" s="280"/>
      <c r="AI21" s="280"/>
      <c r="AJ21" s="280"/>
      <c r="AK21" s="280"/>
      <c r="AL21" s="280"/>
      <c r="AM21" s="280"/>
      <c r="AN21" s="280"/>
      <c r="AO21" s="280"/>
      <c r="AP21" s="281"/>
      <c r="AQ21" s="55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X21"/>
    </row>
    <row r="22" spans="1:76" ht="12.75" customHeight="1" thickBot="1" x14ac:dyDescent="0.35">
      <c r="A22" s="45"/>
      <c r="B22" s="46"/>
      <c r="C22" s="46"/>
      <c r="D22" s="46"/>
      <c r="E22" s="46"/>
      <c r="F22" s="282" t="s">
        <v>92</v>
      </c>
      <c r="G22" s="283"/>
      <c r="H22" s="286" t="s">
        <v>93</v>
      </c>
      <c r="I22" s="287"/>
      <c r="J22" s="4"/>
      <c r="K22" s="294" t="e">
        <f>DocCode(Calculations!K16)</f>
        <v>#VALUE!</v>
      </c>
      <c r="L22" s="295"/>
      <c r="M22" s="296" t="e">
        <f>DocDesc(Calculations!K16)</f>
        <v>#VALUE!</v>
      </c>
      <c r="N22" s="296"/>
      <c r="O22" s="296"/>
      <c r="P22" s="296"/>
      <c r="Q22" s="296"/>
      <c r="R22" s="296"/>
      <c r="S22" s="296"/>
      <c r="T22" s="296"/>
      <c r="U22" s="296"/>
      <c r="V22" s="296"/>
      <c r="W22" s="296"/>
      <c r="X22" s="295" t="e">
        <f>DocStatus(Calculations!K16)</f>
        <v>#VALUE!</v>
      </c>
      <c r="Y22" s="295"/>
      <c r="Z22" s="295"/>
      <c r="AA22" s="295"/>
      <c r="AB22" s="297" t="e">
        <f>DocDate(Calculations!K16)</f>
        <v>#VALUE!</v>
      </c>
      <c r="AC22" s="297"/>
      <c r="AD22" s="298" t="e">
        <f>DocPerson(Calculations!K16)</f>
        <v>#VALUE!</v>
      </c>
      <c r="AE22" s="298"/>
      <c r="AF22" s="298"/>
      <c r="AG22" s="299"/>
      <c r="AH22" s="299"/>
      <c r="AI22" s="299"/>
      <c r="AJ22" s="299"/>
      <c r="AK22" s="299"/>
      <c r="AL22" s="299"/>
      <c r="AM22" s="299"/>
      <c r="AN22" s="299"/>
      <c r="AO22" s="299"/>
      <c r="AP22" s="300"/>
      <c r="AQ22" s="55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X22"/>
    </row>
    <row r="23" spans="1:76" ht="12.75" customHeight="1" x14ac:dyDescent="0.3">
      <c r="A23" s="53"/>
      <c r="B23" s="56"/>
      <c r="C23" s="8"/>
      <c r="D23" s="8"/>
      <c r="E23" s="8"/>
      <c r="F23" s="284"/>
      <c r="G23" s="285"/>
      <c r="H23" s="288"/>
      <c r="I23" s="289"/>
      <c r="J23" s="4"/>
      <c r="K23" s="303" t="e">
        <f>DocCode(Calculations!L3)</f>
        <v>#VALUE!</v>
      </c>
      <c r="L23" s="304"/>
      <c r="M23" s="305" t="e">
        <f>DocDesc(Calculations!L3)</f>
        <v>#VALUE!</v>
      </c>
      <c r="N23" s="305"/>
      <c r="O23" s="305"/>
      <c r="P23" s="305"/>
      <c r="Q23" s="305"/>
      <c r="R23" s="305"/>
      <c r="S23" s="305"/>
      <c r="T23" s="305"/>
      <c r="U23" s="305"/>
      <c r="V23" s="305"/>
      <c r="W23" s="305"/>
      <c r="X23" s="306" t="e">
        <f>DocStatus(Calculations!L3)</f>
        <v>#VALUE!</v>
      </c>
      <c r="Y23" s="307"/>
      <c r="Z23" s="307"/>
      <c r="AA23" s="308"/>
      <c r="AB23" s="309" t="e">
        <f>DocDate(Calculations!L3)</f>
        <v>#VALUE!</v>
      </c>
      <c r="AC23" s="310"/>
      <c r="AD23" s="304" t="e">
        <f>DocPerson(Calculations!L3)</f>
        <v>#VALUE!</v>
      </c>
      <c r="AE23" s="304"/>
      <c r="AF23" s="304"/>
      <c r="AG23" s="304"/>
      <c r="AH23" s="304"/>
      <c r="AI23" s="304"/>
      <c r="AJ23" s="304"/>
      <c r="AK23" s="304"/>
      <c r="AL23" s="304"/>
      <c r="AM23" s="304"/>
      <c r="AN23" s="304"/>
      <c r="AO23" s="304"/>
      <c r="AP23" s="311"/>
      <c r="AQ23" s="55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X23"/>
    </row>
    <row r="24" spans="1:76" ht="12.75" customHeight="1" thickBot="1" x14ac:dyDescent="0.35">
      <c r="A24" s="48"/>
      <c r="B24" s="8"/>
      <c r="C24" s="8"/>
      <c r="D24" s="8"/>
      <c r="E24" s="8"/>
      <c r="F24" s="290">
        <f>COUNTA(SDI!$D$1:$D$906)</f>
        <v>0</v>
      </c>
      <c r="G24" s="291"/>
      <c r="H24" s="292">
        <f>COUNTIF(SDI!$J$1:$J$906,"F")+COUNTIF(SDI!$J$1:$J$906,"A")+COUNTIF(SDI!$J$1:$J$906,"C")+COUNTIF(SDI!$J$1:$J$906,"R")+COUNTIF(SDI!$J$1:$J$906,"I")+COUNTIF(SDI!$J$1:$J$906,"S")</f>
        <v>0</v>
      </c>
      <c r="I24" s="293"/>
      <c r="J24" s="4"/>
      <c r="K24" s="312" t="e">
        <f>DocCode(Calculations!L4)</f>
        <v>#VALUE!</v>
      </c>
      <c r="L24" s="301"/>
      <c r="M24" s="313" t="e">
        <f>DocDesc(Calculations!L4)</f>
        <v>#VALUE!</v>
      </c>
      <c r="N24" s="313"/>
      <c r="O24" s="313"/>
      <c r="P24" s="313"/>
      <c r="Q24" s="313"/>
      <c r="R24" s="313"/>
      <c r="S24" s="313"/>
      <c r="T24" s="313"/>
      <c r="U24" s="313"/>
      <c r="V24" s="313"/>
      <c r="W24" s="313"/>
      <c r="X24" s="314" t="e">
        <f>DocStatus(Calculations!L4)</f>
        <v>#VALUE!</v>
      </c>
      <c r="Y24" s="315"/>
      <c r="Z24" s="315"/>
      <c r="AA24" s="316"/>
      <c r="AB24" s="317" t="e">
        <f>DocDate(Calculations!L4)</f>
        <v>#VALUE!</v>
      </c>
      <c r="AC24" s="318"/>
      <c r="AD24" s="301" t="e">
        <f>DocPerson(Calculations!L4)</f>
        <v>#VALUE!</v>
      </c>
      <c r="AE24" s="301"/>
      <c r="AF24" s="301"/>
      <c r="AG24" s="301"/>
      <c r="AH24" s="301"/>
      <c r="AI24" s="301"/>
      <c r="AJ24" s="301"/>
      <c r="AK24" s="301"/>
      <c r="AL24" s="301"/>
      <c r="AM24" s="301"/>
      <c r="AN24" s="301"/>
      <c r="AO24" s="301"/>
      <c r="AP24" s="302"/>
      <c r="AQ24" s="55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X24"/>
    </row>
    <row r="25" spans="1:76" ht="12.75" customHeight="1" x14ac:dyDescent="0.3">
      <c r="A25" s="48"/>
      <c r="B25" s="8"/>
      <c r="C25" s="8"/>
      <c r="D25" s="8"/>
      <c r="E25" s="8"/>
      <c r="F25" s="128" t="s">
        <v>94</v>
      </c>
      <c r="G25" s="129"/>
      <c r="H25" s="132" t="s">
        <v>58</v>
      </c>
      <c r="I25" s="133"/>
      <c r="K25" s="312" t="e">
        <f>DocCode(Calculations!L5)</f>
        <v>#VALUE!</v>
      </c>
      <c r="L25" s="301"/>
      <c r="M25" s="313" t="e">
        <f>DocDesc(Calculations!L5)</f>
        <v>#VALUE!</v>
      </c>
      <c r="N25" s="313"/>
      <c r="O25" s="313"/>
      <c r="P25" s="313"/>
      <c r="Q25" s="313"/>
      <c r="R25" s="313"/>
      <c r="S25" s="313"/>
      <c r="T25" s="313"/>
      <c r="U25" s="313"/>
      <c r="V25" s="313"/>
      <c r="W25" s="313"/>
      <c r="X25" s="314" t="e">
        <f>DocStatus(Calculations!L5)</f>
        <v>#VALUE!</v>
      </c>
      <c r="Y25" s="315"/>
      <c r="Z25" s="315"/>
      <c r="AA25" s="316"/>
      <c r="AB25" s="317" t="e">
        <f>DocDate(Calculations!L5)</f>
        <v>#VALUE!</v>
      </c>
      <c r="AC25" s="318"/>
      <c r="AD25" s="301" t="e">
        <f>DocPerson(Calculations!L5)</f>
        <v>#VALUE!</v>
      </c>
      <c r="AE25" s="301"/>
      <c r="AF25" s="301"/>
      <c r="AG25" s="301"/>
      <c r="AH25" s="301"/>
      <c r="AI25" s="301"/>
      <c r="AJ25" s="301"/>
      <c r="AK25" s="301"/>
      <c r="AL25" s="301"/>
      <c r="AM25" s="301"/>
      <c r="AN25" s="301"/>
      <c r="AO25" s="301"/>
      <c r="AP25" s="302"/>
      <c r="AQ25" s="55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X25"/>
    </row>
    <row r="26" spans="1:76" ht="12.75" customHeight="1" x14ac:dyDescent="0.3">
      <c r="A26" s="48"/>
      <c r="B26" s="8"/>
      <c r="C26" s="8"/>
      <c r="D26" s="8"/>
      <c r="E26" s="8"/>
      <c r="F26" s="130"/>
      <c r="G26" s="131"/>
      <c r="H26" s="134"/>
      <c r="I26" s="135"/>
      <c r="J26" s="125"/>
      <c r="K26" s="312" t="e">
        <f>DocCode(Calculations!L6)</f>
        <v>#VALUE!</v>
      </c>
      <c r="L26" s="301"/>
      <c r="M26" s="313" t="e">
        <f>DocDesc(Calculations!L6)</f>
        <v>#VALUE!</v>
      </c>
      <c r="N26" s="313"/>
      <c r="O26" s="313"/>
      <c r="P26" s="313"/>
      <c r="Q26" s="313"/>
      <c r="R26" s="313"/>
      <c r="S26" s="313"/>
      <c r="T26" s="313"/>
      <c r="U26" s="313"/>
      <c r="V26" s="313"/>
      <c r="W26" s="313"/>
      <c r="X26" s="314" t="e">
        <f>DocStatus(Calculations!L6)</f>
        <v>#VALUE!</v>
      </c>
      <c r="Y26" s="315"/>
      <c r="Z26" s="315"/>
      <c r="AA26" s="316"/>
      <c r="AB26" s="317" t="e">
        <f>DocDate(Calculations!L6)</f>
        <v>#VALUE!</v>
      </c>
      <c r="AC26" s="318"/>
      <c r="AD26" s="301" t="e">
        <f>DocPerson(Calculations!L6)</f>
        <v>#VALUE!</v>
      </c>
      <c r="AE26" s="301"/>
      <c r="AF26" s="301"/>
      <c r="AG26" s="301"/>
      <c r="AH26" s="301"/>
      <c r="AI26" s="301"/>
      <c r="AJ26" s="301"/>
      <c r="AK26" s="301"/>
      <c r="AL26" s="301"/>
      <c r="AM26" s="301"/>
      <c r="AN26" s="301"/>
      <c r="AO26" s="301"/>
      <c r="AP26" s="302"/>
      <c r="AQ26" s="55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X26"/>
    </row>
    <row r="27" spans="1:76" ht="12.75" customHeight="1" thickBot="1" x14ac:dyDescent="0.35">
      <c r="A27" s="48"/>
      <c r="B27" s="8"/>
      <c r="C27" s="8"/>
      <c r="D27" s="8"/>
      <c r="E27" s="8"/>
      <c r="F27" s="136">
        <f>COUNTIF(SDI!$J$19:$J$906,"S")</f>
        <v>0</v>
      </c>
      <c r="G27" s="137"/>
      <c r="H27" s="138">
        <f>COUNTIF(SDI!$J$1:$J$296,"F")+COUNTIF(SDI!$J$1:$J$296,"A")</f>
        <v>0</v>
      </c>
      <c r="I27" s="139"/>
      <c r="J27" s="422" t="s">
        <v>48</v>
      </c>
      <c r="K27" s="312" t="e">
        <f>DocCode(Calculations!L7)</f>
        <v>#VALUE!</v>
      </c>
      <c r="L27" s="301"/>
      <c r="M27" s="313" t="e">
        <f>DocDesc(Calculations!L7)</f>
        <v>#VALUE!</v>
      </c>
      <c r="N27" s="313"/>
      <c r="O27" s="313"/>
      <c r="P27" s="313"/>
      <c r="Q27" s="313"/>
      <c r="R27" s="313"/>
      <c r="S27" s="313"/>
      <c r="T27" s="313"/>
      <c r="U27" s="313"/>
      <c r="V27" s="313"/>
      <c r="W27" s="313"/>
      <c r="X27" s="314" t="e">
        <f>DocStatus(Calculations!L7)</f>
        <v>#VALUE!</v>
      </c>
      <c r="Y27" s="315"/>
      <c r="Z27" s="315"/>
      <c r="AA27" s="316"/>
      <c r="AB27" s="317" t="e">
        <f>DocDate(Calculations!L7)</f>
        <v>#VALUE!</v>
      </c>
      <c r="AC27" s="318"/>
      <c r="AD27" s="301" t="e">
        <f>DocPerson(Calculations!L7)</f>
        <v>#VALUE!</v>
      </c>
      <c r="AE27" s="301"/>
      <c r="AF27" s="301"/>
      <c r="AG27" s="301"/>
      <c r="AH27" s="301"/>
      <c r="AI27" s="301"/>
      <c r="AJ27" s="301"/>
      <c r="AK27" s="301"/>
      <c r="AL27" s="301"/>
      <c r="AM27" s="301"/>
      <c r="AN27" s="301"/>
      <c r="AO27" s="301"/>
      <c r="AP27" s="302"/>
      <c r="AQ27" s="55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X27"/>
    </row>
    <row r="28" spans="1:76" ht="14.25" customHeight="1" x14ac:dyDescent="0.3">
      <c r="A28" s="48"/>
      <c r="B28" s="8"/>
      <c r="C28" s="8"/>
      <c r="D28" s="8"/>
      <c r="E28" s="8"/>
      <c r="F28" s="140" t="s">
        <v>59</v>
      </c>
      <c r="G28" s="141"/>
      <c r="H28" s="144" t="s">
        <v>95</v>
      </c>
      <c r="I28" s="145"/>
      <c r="J28" s="422"/>
      <c r="K28" s="312" t="e">
        <f>DocCode(Calculations!L8)</f>
        <v>#VALUE!</v>
      </c>
      <c r="L28" s="301"/>
      <c r="M28" s="313" t="e">
        <f>DocDesc(Calculations!L8)</f>
        <v>#VALUE!</v>
      </c>
      <c r="N28" s="313"/>
      <c r="O28" s="313"/>
      <c r="P28" s="313"/>
      <c r="Q28" s="313"/>
      <c r="R28" s="313"/>
      <c r="S28" s="313"/>
      <c r="T28" s="313"/>
      <c r="U28" s="313"/>
      <c r="V28" s="313"/>
      <c r="W28" s="313"/>
      <c r="X28" s="314" t="e">
        <f>DocStatus(Calculations!L8)</f>
        <v>#VALUE!</v>
      </c>
      <c r="Y28" s="315"/>
      <c r="Z28" s="315"/>
      <c r="AA28" s="316"/>
      <c r="AB28" s="317" t="e">
        <f>DocDate(Calculations!L8)</f>
        <v>#VALUE!</v>
      </c>
      <c r="AC28" s="318"/>
      <c r="AD28" s="301" t="e">
        <f>DocPerson(Calculations!L8)</f>
        <v>#VALUE!</v>
      </c>
      <c r="AE28" s="301"/>
      <c r="AF28" s="301"/>
      <c r="AG28" s="301"/>
      <c r="AH28" s="301"/>
      <c r="AI28" s="301"/>
      <c r="AJ28" s="301"/>
      <c r="AK28" s="301"/>
      <c r="AL28" s="301"/>
      <c r="AM28" s="301"/>
      <c r="AN28" s="301"/>
      <c r="AO28" s="301"/>
      <c r="AP28" s="302"/>
      <c r="AQ28" s="55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X28"/>
    </row>
    <row r="29" spans="1:76" ht="12.75" customHeight="1" x14ac:dyDescent="0.3">
      <c r="A29" s="48"/>
      <c r="B29" s="8"/>
      <c r="C29" s="8"/>
      <c r="D29" s="8"/>
      <c r="E29" s="8"/>
      <c r="F29" s="142"/>
      <c r="G29" s="143"/>
      <c r="H29" s="146"/>
      <c r="I29" s="147"/>
      <c r="J29" s="422"/>
      <c r="K29" s="312" t="e">
        <f>DocCode(Calculations!L9)</f>
        <v>#VALUE!</v>
      </c>
      <c r="L29" s="301"/>
      <c r="M29" s="313" t="e">
        <f>DocDesc(Calculations!L9)</f>
        <v>#VALUE!</v>
      </c>
      <c r="N29" s="313"/>
      <c r="O29" s="313"/>
      <c r="P29" s="313"/>
      <c r="Q29" s="313"/>
      <c r="R29" s="313"/>
      <c r="S29" s="313"/>
      <c r="T29" s="313"/>
      <c r="U29" s="313"/>
      <c r="V29" s="313"/>
      <c r="W29" s="313"/>
      <c r="X29" s="314" t="e">
        <f>DocStatus(Calculations!L9)</f>
        <v>#VALUE!</v>
      </c>
      <c r="Y29" s="315"/>
      <c r="Z29" s="315"/>
      <c r="AA29" s="316"/>
      <c r="AB29" s="317" t="e">
        <f>DocDate(Calculations!L9)</f>
        <v>#VALUE!</v>
      </c>
      <c r="AC29" s="318"/>
      <c r="AD29" s="301" t="e">
        <f>DocPerson(Calculations!L9)</f>
        <v>#VALUE!</v>
      </c>
      <c r="AE29" s="301"/>
      <c r="AF29" s="301"/>
      <c r="AG29" s="301"/>
      <c r="AH29" s="301"/>
      <c r="AI29" s="301"/>
      <c r="AJ29" s="301"/>
      <c r="AK29" s="301"/>
      <c r="AL29" s="301"/>
      <c r="AM29" s="301"/>
      <c r="AN29" s="301"/>
      <c r="AO29" s="301"/>
      <c r="AP29" s="302"/>
      <c r="AQ29" s="55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X29"/>
    </row>
    <row r="30" spans="1:76" ht="12.75" customHeight="1" thickBot="1" x14ac:dyDescent="0.35">
      <c r="A30" s="48"/>
      <c r="B30" s="8"/>
      <c r="C30" s="8"/>
      <c r="D30" s="8"/>
      <c r="E30" s="8"/>
      <c r="F30" s="148">
        <f>COUNTIF(SDI!$K$1:$K$906,F28)</f>
        <v>0</v>
      </c>
      <c r="G30" s="149"/>
      <c r="H30" s="150">
        <f>COUNTIF(SDI!$J$1:$J$906,"C")+COUNTIF(SDI!$J$1:$J$906,"R")</f>
        <v>0</v>
      </c>
      <c r="I30" s="151"/>
      <c r="J30" s="422"/>
      <c r="K30" s="312" t="e">
        <f>DocCode(Calculations!L10)</f>
        <v>#VALUE!</v>
      </c>
      <c r="L30" s="301"/>
      <c r="M30" s="313" t="e">
        <f>DocDesc(Calculations!L10)</f>
        <v>#VALUE!</v>
      </c>
      <c r="N30" s="313"/>
      <c r="O30" s="313"/>
      <c r="P30" s="313"/>
      <c r="Q30" s="313"/>
      <c r="R30" s="313"/>
      <c r="S30" s="313"/>
      <c r="T30" s="313"/>
      <c r="U30" s="313"/>
      <c r="V30" s="313"/>
      <c r="W30" s="313"/>
      <c r="X30" s="314" t="e">
        <f>DocStatus(Calculations!L10)</f>
        <v>#VALUE!</v>
      </c>
      <c r="Y30" s="315"/>
      <c r="Z30" s="315"/>
      <c r="AA30" s="316"/>
      <c r="AB30" s="317" t="e">
        <f>DocDate(Calculations!L10)</f>
        <v>#VALUE!</v>
      </c>
      <c r="AC30" s="318"/>
      <c r="AD30" s="301" t="e">
        <f>DocPerson(Calculations!L10)</f>
        <v>#VALUE!</v>
      </c>
      <c r="AE30" s="301"/>
      <c r="AF30" s="301"/>
      <c r="AG30" s="301"/>
      <c r="AH30" s="301"/>
      <c r="AI30" s="301"/>
      <c r="AJ30" s="301"/>
      <c r="AK30" s="301"/>
      <c r="AL30" s="301"/>
      <c r="AM30" s="301"/>
      <c r="AN30" s="301"/>
      <c r="AO30" s="301"/>
      <c r="AP30" s="302"/>
      <c r="AQ30" s="55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/>
      <c r="BQ30"/>
      <c r="BR30"/>
      <c r="BS30"/>
      <c r="BT30"/>
      <c r="BU30"/>
      <c r="BV30"/>
      <c r="BW30"/>
      <c r="BX30"/>
    </row>
    <row r="31" spans="1:76" ht="14.25" customHeight="1" x14ac:dyDescent="0.3">
      <c r="A31" s="48"/>
      <c r="B31" s="8"/>
      <c r="C31" s="8"/>
      <c r="D31" s="8"/>
      <c r="E31" s="8"/>
      <c r="F31" s="96"/>
      <c r="G31" s="97"/>
      <c r="H31" s="96"/>
      <c r="I31" s="98"/>
      <c r="J31" s="422"/>
      <c r="K31" s="312" t="e">
        <f>DocCode(Calculations!L11)</f>
        <v>#VALUE!</v>
      </c>
      <c r="L31" s="301"/>
      <c r="M31" s="313" t="e">
        <f>DocDesc(Calculations!L11)</f>
        <v>#VALUE!</v>
      </c>
      <c r="N31" s="313"/>
      <c r="O31" s="313"/>
      <c r="P31" s="313"/>
      <c r="Q31" s="313"/>
      <c r="R31" s="313"/>
      <c r="S31" s="313"/>
      <c r="T31" s="313"/>
      <c r="U31" s="313"/>
      <c r="V31" s="313"/>
      <c r="W31" s="313"/>
      <c r="X31" s="314" t="e">
        <f>DocStatus(Calculations!L11)</f>
        <v>#VALUE!</v>
      </c>
      <c r="Y31" s="315"/>
      <c r="Z31" s="315"/>
      <c r="AA31" s="316"/>
      <c r="AB31" s="317" t="e">
        <f>DocDate(Calculations!L11)</f>
        <v>#VALUE!</v>
      </c>
      <c r="AC31" s="318"/>
      <c r="AD31" s="301" t="e">
        <f>DocPerson(Calculations!L11)</f>
        <v>#VALUE!</v>
      </c>
      <c r="AE31" s="301"/>
      <c r="AF31" s="301"/>
      <c r="AG31" s="301"/>
      <c r="AH31" s="301"/>
      <c r="AI31" s="301"/>
      <c r="AJ31" s="301"/>
      <c r="AK31" s="301"/>
      <c r="AL31" s="301"/>
      <c r="AM31" s="301"/>
      <c r="AN31" s="301"/>
      <c r="AO31" s="301"/>
      <c r="AP31" s="302"/>
      <c r="AQ31" s="55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/>
      <c r="BQ31"/>
      <c r="BR31"/>
      <c r="BS31"/>
      <c r="BT31"/>
      <c r="BU31"/>
      <c r="BV31"/>
      <c r="BW31"/>
      <c r="BX31"/>
    </row>
    <row r="32" spans="1:76" ht="13.5" customHeight="1" thickBot="1" x14ac:dyDescent="0.35">
      <c r="A32" s="126" t="s">
        <v>113</v>
      </c>
      <c r="B32" s="127"/>
      <c r="C32" s="127"/>
      <c r="D32" s="112" t="e">
        <f>H24/F24</f>
        <v>#DIV/0!</v>
      </c>
      <c r="E32" s="113" t="s">
        <v>60</v>
      </c>
      <c r="F32" s="113"/>
      <c r="G32" s="114" t="e">
        <f>H27/F24</f>
        <v>#DIV/0!</v>
      </c>
      <c r="H32" s="115" t="s">
        <v>58</v>
      </c>
      <c r="I32" s="116"/>
      <c r="J32" s="9"/>
      <c r="K32" s="312" t="e">
        <f>DocCode(Calculations!L12)</f>
        <v>#VALUE!</v>
      </c>
      <c r="L32" s="301"/>
      <c r="M32" s="313" t="e">
        <f>DocDesc(Calculations!L12)</f>
        <v>#VALUE!</v>
      </c>
      <c r="N32" s="313"/>
      <c r="O32" s="313"/>
      <c r="P32" s="313"/>
      <c r="Q32" s="313"/>
      <c r="R32" s="313"/>
      <c r="S32" s="313"/>
      <c r="T32" s="313"/>
      <c r="U32" s="313"/>
      <c r="V32" s="313"/>
      <c r="W32" s="313"/>
      <c r="X32" s="314" t="e">
        <f>DocStatus(Calculations!L12)</f>
        <v>#VALUE!</v>
      </c>
      <c r="Y32" s="315"/>
      <c r="Z32" s="315"/>
      <c r="AA32" s="316"/>
      <c r="AB32" s="317" t="e">
        <f>DocDate(Calculations!L12)</f>
        <v>#VALUE!</v>
      </c>
      <c r="AC32" s="318"/>
      <c r="AD32" s="301" t="e">
        <f>DocPerson(Calculations!L12)</f>
        <v>#VALUE!</v>
      </c>
      <c r="AE32" s="301"/>
      <c r="AF32" s="301"/>
      <c r="AG32" s="322"/>
      <c r="AH32" s="322"/>
      <c r="AI32" s="322"/>
      <c r="AJ32" s="322"/>
      <c r="AK32" s="322"/>
      <c r="AL32" s="322"/>
      <c r="AM32" s="322"/>
      <c r="AN32" s="322"/>
      <c r="AO32" s="322"/>
      <c r="AP32" s="323"/>
      <c r="AQ32" s="55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/>
      <c r="BQ32"/>
      <c r="BR32"/>
      <c r="BS32"/>
      <c r="BT32"/>
      <c r="BU32"/>
      <c r="BV32"/>
      <c r="BW32"/>
      <c r="BX32"/>
    </row>
    <row r="33" spans="1:76" ht="12.75" customHeight="1" x14ac:dyDescent="0.3">
      <c r="J33" s="4"/>
      <c r="K33" s="312" t="e">
        <f>DocCode(Calculations!L13)</f>
        <v>#VALUE!</v>
      </c>
      <c r="L33" s="301"/>
      <c r="M33" s="313" t="e">
        <f>DocDesc(Calculations!L13)</f>
        <v>#VALUE!</v>
      </c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 t="e">
        <f>DocStatus(Calculations!L13)</f>
        <v>#VALUE!</v>
      </c>
      <c r="Y33" s="315"/>
      <c r="Z33" s="315"/>
      <c r="AA33" s="316"/>
      <c r="AB33" s="317" t="e">
        <f>DocDate(Calculations!L13)</f>
        <v>#VALUE!</v>
      </c>
      <c r="AC33" s="318"/>
      <c r="AD33" s="301" t="e">
        <f>DocPerson(Calculations!L13)</f>
        <v>#VALUE!</v>
      </c>
      <c r="AE33" s="301"/>
      <c r="AF33" s="301"/>
      <c r="AG33" s="322"/>
      <c r="AH33" s="322"/>
      <c r="AI33" s="322"/>
      <c r="AJ33" s="322"/>
      <c r="AK33" s="322"/>
      <c r="AL33" s="322"/>
      <c r="AM33" s="322"/>
      <c r="AN33" s="322"/>
      <c r="AO33" s="322"/>
      <c r="AP33" s="323"/>
      <c r="AQ33" s="55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/>
      <c r="BQ33"/>
      <c r="BR33"/>
      <c r="BS33"/>
      <c r="BT33"/>
      <c r="BU33"/>
      <c r="BV33"/>
      <c r="BW33"/>
      <c r="BX33"/>
    </row>
    <row r="34" spans="1:76" ht="15" customHeight="1" thickBot="1" x14ac:dyDescent="0.35">
      <c r="A34" s="184">
        <f>AM5</f>
        <v>0</v>
      </c>
      <c r="B34" s="184"/>
      <c r="C34" s="184"/>
      <c r="D34" s="184"/>
      <c r="E34" s="184"/>
      <c r="F34" s="184"/>
      <c r="G34" s="184"/>
      <c r="H34" s="184"/>
      <c r="I34" s="184"/>
      <c r="J34" s="4"/>
      <c r="K34" s="312" t="e">
        <f>DocCode(Calculations!L14)</f>
        <v>#VALUE!</v>
      </c>
      <c r="L34" s="301"/>
      <c r="M34" s="313" t="e">
        <f>DocDesc(Calculations!L14)</f>
        <v>#VALUE!</v>
      </c>
      <c r="N34" s="313"/>
      <c r="O34" s="313"/>
      <c r="P34" s="313"/>
      <c r="Q34" s="313"/>
      <c r="R34" s="313"/>
      <c r="S34" s="313"/>
      <c r="T34" s="313"/>
      <c r="U34" s="313"/>
      <c r="V34" s="313"/>
      <c r="W34" s="313"/>
      <c r="X34" s="314" t="e">
        <f>DocStatus(Calculations!L14)</f>
        <v>#VALUE!</v>
      </c>
      <c r="Y34" s="315"/>
      <c r="Z34" s="315"/>
      <c r="AA34" s="316"/>
      <c r="AB34" s="317" t="e">
        <f>DocDate(Calculations!L14)</f>
        <v>#VALUE!</v>
      </c>
      <c r="AC34" s="318"/>
      <c r="AD34" s="301" t="e">
        <f>DocPerson(Calculations!L14)</f>
        <v>#VALUE!</v>
      </c>
      <c r="AE34" s="301"/>
      <c r="AF34" s="301"/>
      <c r="AG34" s="322"/>
      <c r="AH34" s="322"/>
      <c r="AI34" s="322"/>
      <c r="AJ34" s="322"/>
      <c r="AK34" s="322"/>
      <c r="AL34" s="322"/>
      <c r="AM34" s="322"/>
      <c r="AN34" s="322"/>
      <c r="AO34" s="322"/>
      <c r="AP34" s="323"/>
      <c r="AQ34" s="55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/>
      <c r="BQ34"/>
      <c r="BR34"/>
      <c r="BS34"/>
      <c r="BT34"/>
      <c r="BU34"/>
      <c r="BV34"/>
      <c r="BW34"/>
      <c r="BX34"/>
    </row>
    <row r="35" spans="1:76" ht="15" customHeight="1" x14ac:dyDescent="0.3">
      <c r="A35" s="45"/>
      <c r="B35" s="46"/>
      <c r="C35" s="46"/>
      <c r="D35" s="46"/>
      <c r="E35" s="46"/>
      <c r="F35" s="46"/>
      <c r="G35" s="46"/>
      <c r="H35" s="46"/>
      <c r="I35" s="47"/>
      <c r="J35" s="4"/>
      <c r="K35" s="312" t="e">
        <f>DocCode(Calculations!L15)</f>
        <v>#VALUE!</v>
      </c>
      <c r="L35" s="301"/>
      <c r="M35" s="313" t="e">
        <f>DocDesc(Calculations!L15)</f>
        <v>#VALUE!</v>
      </c>
      <c r="N35" s="313"/>
      <c r="O35" s="313"/>
      <c r="P35" s="313"/>
      <c r="Q35" s="313"/>
      <c r="R35" s="313"/>
      <c r="S35" s="313"/>
      <c r="T35" s="313"/>
      <c r="U35" s="313"/>
      <c r="V35" s="313"/>
      <c r="W35" s="313"/>
      <c r="X35" s="314" t="e">
        <f>DocStatus(Calculations!L15)</f>
        <v>#VALUE!</v>
      </c>
      <c r="Y35" s="315"/>
      <c r="Z35" s="315"/>
      <c r="AA35" s="316"/>
      <c r="AB35" s="317" t="e">
        <f>DocDate(Calculations!L15)</f>
        <v>#VALUE!</v>
      </c>
      <c r="AC35" s="318"/>
      <c r="AD35" s="301" t="e">
        <f>DocPerson(Calculations!L15)</f>
        <v>#VALUE!</v>
      </c>
      <c r="AE35" s="301"/>
      <c r="AF35" s="301"/>
      <c r="AG35" s="322"/>
      <c r="AH35" s="322"/>
      <c r="AI35" s="322"/>
      <c r="AJ35" s="322"/>
      <c r="AK35" s="322"/>
      <c r="AL35" s="322"/>
      <c r="AM35" s="322"/>
      <c r="AN35" s="322"/>
      <c r="AO35" s="322"/>
      <c r="AP35" s="323"/>
      <c r="AQ35" s="55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/>
      <c r="BQ35"/>
      <c r="BR35"/>
      <c r="BS35"/>
      <c r="BT35"/>
      <c r="BU35"/>
      <c r="BV35"/>
      <c r="BW35"/>
      <c r="BX35"/>
    </row>
    <row r="36" spans="1:76" ht="12.75" customHeight="1" thickBot="1" x14ac:dyDescent="0.35">
      <c r="A36" s="48"/>
      <c r="B36" s="8"/>
      <c r="C36" s="8"/>
      <c r="D36" s="8"/>
      <c r="E36" s="8"/>
      <c r="F36" s="8"/>
      <c r="G36" s="8"/>
      <c r="H36" s="8"/>
      <c r="I36" s="49"/>
      <c r="J36" s="4"/>
      <c r="K36" s="325" t="e">
        <f>DocCode(Calculations!L16)</f>
        <v>#VALUE!</v>
      </c>
      <c r="L36" s="326"/>
      <c r="M36" s="327" t="e">
        <f>DocDesc(Calculations!L16)</f>
        <v>#VALUE!</v>
      </c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8" t="e">
        <f>DocStatus(Calculations!L16)</f>
        <v>#VALUE!</v>
      </c>
      <c r="Y36" s="329"/>
      <c r="Z36" s="329"/>
      <c r="AA36" s="330"/>
      <c r="AB36" s="331" t="e">
        <f>DocDate(Calculations!L16)</f>
        <v>#VALUE!</v>
      </c>
      <c r="AC36" s="332"/>
      <c r="AD36" s="326" t="e">
        <f>DocPerson(Calculations!L16)</f>
        <v>#VALUE!</v>
      </c>
      <c r="AE36" s="326"/>
      <c r="AF36" s="326"/>
      <c r="AG36" s="333"/>
      <c r="AH36" s="333"/>
      <c r="AI36" s="333"/>
      <c r="AJ36" s="333"/>
      <c r="AK36" s="333"/>
      <c r="AL36" s="333"/>
      <c r="AM36" s="333"/>
      <c r="AN36" s="333"/>
      <c r="AO36" s="333"/>
      <c r="AP36" s="334"/>
      <c r="AQ36" s="55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/>
      <c r="BQ36"/>
      <c r="BR36"/>
      <c r="BS36"/>
      <c r="BT36"/>
      <c r="BU36"/>
      <c r="BV36"/>
      <c r="BW36"/>
      <c r="BX36"/>
    </row>
    <row r="37" spans="1:76" ht="14.25" customHeight="1" x14ac:dyDescent="0.3">
      <c r="A37" s="48"/>
      <c r="B37" s="8"/>
      <c r="C37" s="8"/>
      <c r="D37" s="8"/>
      <c r="E37" s="8"/>
      <c r="F37" s="8"/>
      <c r="G37" s="8"/>
      <c r="H37" s="8"/>
      <c r="I37" s="49"/>
      <c r="J37" s="4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55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/>
      <c r="BQ37"/>
      <c r="BR37"/>
      <c r="BS37"/>
      <c r="BT37"/>
      <c r="BU37"/>
      <c r="BV37"/>
      <c r="BW37"/>
      <c r="BX37"/>
    </row>
    <row r="38" spans="1:76" ht="12.75" customHeight="1" thickBot="1" x14ac:dyDescent="0.35">
      <c r="A38" s="48"/>
      <c r="B38" s="8"/>
      <c r="C38" s="8"/>
      <c r="D38" s="8"/>
      <c r="E38" s="8"/>
      <c r="F38" s="8"/>
      <c r="G38" s="8"/>
      <c r="H38" s="8"/>
      <c r="I38" s="49"/>
      <c r="J38" s="4"/>
      <c r="K38" s="155" t="s">
        <v>33</v>
      </c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83"/>
      <c r="AA38" s="155" t="s">
        <v>105</v>
      </c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55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/>
      <c r="BQ38"/>
      <c r="BR38"/>
      <c r="BS38"/>
      <c r="BT38"/>
      <c r="BU38"/>
      <c r="BV38"/>
      <c r="BW38"/>
      <c r="BX38"/>
    </row>
    <row r="39" spans="1:76" ht="12.75" customHeight="1" thickBot="1" x14ac:dyDescent="0.35">
      <c r="A39" s="48"/>
      <c r="B39" s="8"/>
      <c r="C39" s="8"/>
      <c r="D39" s="8"/>
      <c r="E39" s="8"/>
      <c r="F39" s="8"/>
      <c r="G39" s="8"/>
      <c r="H39" s="8"/>
      <c r="I39" s="49"/>
      <c r="J39" s="4"/>
      <c r="K39" s="343" t="s">
        <v>61</v>
      </c>
      <c r="L39" s="344"/>
      <c r="M39" s="345" t="s">
        <v>62</v>
      </c>
      <c r="N39" s="346"/>
      <c r="O39" s="346"/>
      <c r="P39" s="344"/>
      <c r="Q39" s="345" t="s">
        <v>63</v>
      </c>
      <c r="R39" s="346"/>
      <c r="S39" s="344"/>
      <c r="T39" s="345" t="s">
        <v>74</v>
      </c>
      <c r="U39" s="346"/>
      <c r="V39" s="344"/>
      <c r="W39" s="345" t="s">
        <v>76</v>
      </c>
      <c r="X39" s="346"/>
      <c r="Y39" s="346"/>
      <c r="Z39" s="77"/>
      <c r="AA39" s="347" t="s">
        <v>104</v>
      </c>
      <c r="AB39" s="348"/>
      <c r="AC39" s="348"/>
      <c r="AD39" s="348"/>
      <c r="AE39" s="348"/>
      <c r="AF39" s="348"/>
      <c r="AG39" s="348"/>
      <c r="AH39" s="348"/>
      <c r="AI39" s="348"/>
      <c r="AJ39" s="348"/>
      <c r="AK39" s="348"/>
      <c r="AL39" s="348"/>
      <c r="AM39" s="348"/>
      <c r="AN39" s="348"/>
      <c r="AO39" s="348"/>
      <c r="AP39" s="349"/>
      <c r="AQ39" s="55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/>
      <c r="BQ39"/>
      <c r="BR39"/>
      <c r="BS39"/>
      <c r="BT39"/>
      <c r="BU39"/>
      <c r="BV39"/>
      <c r="BW39"/>
      <c r="BX39"/>
    </row>
    <row r="40" spans="1:76" ht="12.75" customHeight="1" x14ac:dyDescent="0.3">
      <c r="A40" s="48"/>
      <c r="B40" s="8"/>
      <c r="C40" s="8"/>
      <c r="D40" s="8"/>
      <c r="E40" s="8"/>
      <c r="F40" s="8"/>
      <c r="G40" s="8"/>
      <c r="H40" s="8"/>
      <c r="I40" s="49"/>
      <c r="J40" s="4"/>
      <c r="K40" s="438" t="e">
        <f>taskPercentComplete(Calculations!B3,Calculations!D$6)</f>
        <v>#VALUE!</v>
      </c>
      <c r="L40" s="439"/>
      <c r="M40" s="440" t="e">
        <f>taskName(Calculations!B3,Calculations!D$3)</f>
        <v>#VALUE!</v>
      </c>
      <c r="N40" s="440"/>
      <c r="O40" s="440"/>
      <c r="P40" s="440"/>
      <c r="Q40" s="444" t="e">
        <f>taskDuration(Calculations!B3,Calculations!D$9)</f>
        <v>#VALUE!</v>
      </c>
      <c r="R40" s="444"/>
      <c r="S40" s="444"/>
      <c r="T40" s="443" t="e">
        <f>taskStartDate(Calculations!B3,Calculations!E$6)</f>
        <v>#VALUE!</v>
      </c>
      <c r="U40" s="444"/>
      <c r="V40" s="444"/>
      <c r="W40" s="441" t="e">
        <f>taskFinishDate(Calculations!B3,Calculations!E$3)</f>
        <v>#VALUE!</v>
      </c>
      <c r="X40" s="441"/>
      <c r="Y40" s="442"/>
      <c r="Z40" s="77"/>
      <c r="AA40" s="340"/>
      <c r="AB40" s="341"/>
      <c r="AC40" s="341"/>
      <c r="AD40" s="341"/>
      <c r="AE40" s="341"/>
      <c r="AF40" s="341"/>
      <c r="AG40" s="341"/>
      <c r="AH40" s="341"/>
      <c r="AI40" s="341"/>
      <c r="AJ40" s="341"/>
      <c r="AK40" s="341"/>
      <c r="AL40" s="341"/>
      <c r="AM40" s="341"/>
      <c r="AN40" s="341"/>
      <c r="AO40" s="341"/>
      <c r="AP40" s="342"/>
      <c r="AQ40" s="55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/>
      <c r="BQ40"/>
      <c r="BR40"/>
      <c r="BS40"/>
      <c r="BT40"/>
      <c r="BU40"/>
      <c r="BV40"/>
      <c r="BW40"/>
      <c r="BX40"/>
    </row>
    <row r="41" spans="1:76" ht="12.75" customHeight="1" x14ac:dyDescent="0.3">
      <c r="A41" s="48"/>
      <c r="B41" s="8"/>
      <c r="C41" s="8"/>
      <c r="D41" s="8"/>
      <c r="E41" s="8"/>
      <c r="F41" s="8"/>
      <c r="G41" s="8"/>
      <c r="H41" s="8"/>
      <c r="I41" s="49"/>
      <c r="J41" s="4"/>
      <c r="K41" s="431" t="e">
        <f>taskPercentComplete(Calculations!B4,Calculations!D$6)</f>
        <v>#VALUE!</v>
      </c>
      <c r="L41" s="432"/>
      <c r="M41" s="433" t="e">
        <f>taskName(Calculations!B4,Calculations!D$3)</f>
        <v>#VALUE!</v>
      </c>
      <c r="N41" s="433"/>
      <c r="O41" s="433"/>
      <c r="P41" s="433"/>
      <c r="Q41" s="434" t="e">
        <f>taskDuration(Calculations!B4,Calculations!D$9)</f>
        <v>#VALUE!</v>
      </c>
      <c r="R41" s="434"/>
      <c r="S41" s="434"/>
      <c r="T41" s="435" t="e">
        <f>taskStartDate(Calculations!B4,Calculations!E$6)</f>
        <v>#VALUE!</v>
      </c>
      <c r="U41" s="434"/>
      <c r="V41" s="434"/>
      <c r="W41" s="436" t="e">
        <f>taskFinishDate(Calculations!B4,Calculations!E$3)</f>
        <v>#VALUE!</v>
      </c>
      <c r="X41" s="436"/>
      <c r="Y41" s="437"/>
      <c r="Z41" s="77"/>
      <c r="AA41" s="340"/>
      <c r="AB41" s="341"/>
      <c r="AC41" s="341"/>
      <c r="AD41" s="341"/>
      <c r="AE41" s="341"/>
      <c r="AF41" s="341"/>
      <c r="AG41" s="341"/>
      <c r="AH41" s="341"/>
      <c r="AI41" s="341"/>
      <c r="AJ41" s="341"/>
      <c r="AK41" s="341"/>
      <c r="AL41" s="341"/>
      <c r="AM41" s="341"/>
      <c r="AN41" s="341"/>
      <c r="AO41" s="341"/>
      <c r="AP41" s="342"/>
      <c r="AQ41" s="55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/>
      <c r="BQ41"/>
      <c r="BR41"/>
      <c r="BS41"/>
      <c r="BT41"/>
      <c r="BU41"/>
      <c r="BV41"/>
      <c r="BW41"/>
      <c r="BX41"/>
    </row>
    <row r="42" spans="1:76" ht="12.75" customHeight="1" x14ac:dyDescent="0.3">
      <c r="A42" s="48"/>
      <c r="B42" s="8"/>
      <c r="C42" s="8"/>
      <c r="D42" s="8"/>
      <c r="E42" s="8"/>
      <c r="F42" s="8"/>
      <c r="G42" s="8"/>
      <c r="H42" s="8"/>
      <c r="I42" s="49"/>
      <c r="J42" s="4"/>
      <c r="K42" s="431" t="e">
        <f>taskPercentComplete(Calculations!B5,Calculations!D$6)</f>
        <v>#VALUE!</v>
      </c>
      <c r="L42" s="432"/>
      <c r="M42" s="433" t="e">
        <f>taskName(Calculations!B5,Calculations!D$3)</f>
        <v>#VALUE!</v>
      </c>
      <c r="N42" s="433"/>
      <c r="O42" s="433"/>
      <c r="P42" s="433"/>
      <c r="Q42" s="434" t="e">
        <f>taskDuration(Calculations!B5,Calculations!D$9)</f>
        <v>#VALUE!</v>
      </c>
      <c r="R42" s="434"/>
      <c r="S42" s="434"/>
      <c r="T42" s="435" t="e">
        <f>taskStartDate(Calculations!B5,Calculations!E$6)</f>
        <v>#VALUE!</v>
      </c>
      <c r="U42" s="434"/>
      <c r="V42" s="434"/>
      <c r="W42" s="436" t="e">
        <f>taskFinishDate(Calculations!B5,Calculations!E$3)</f>
        <v>#VALUE!</v>
      </c>
      <c r="X42" s="436"/>
      <c r="Y42" s="437"/>
      <c r="Z42" s="77"/>
      <c r="AA42" s="340"/>
      <c r="AB42" s="341"/>
      <c r="AC42" s="341"/>
      <c r="AD42" s="341"/>
      <c r="AE42" s="341"/>
      <c r="AF42" s="341"/>
      <c r="AG42" s="341"/>
      <c r="AH42" s="341"/>
      <c r="AI42" s="341"/>
      <c r="AJ42" s="341"/>
      <c r="AK42" s="341"/>
      <c r="AL42" s="341"/>
      <c r="AM42" s="341"/>
      <c r="AN42" s="341"/>
      <c r="AO42" s="341"/>
      <c r="AP42" s="342"/>
      <c r="AQ42" s="55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/>
      <c r="BQ42"/>
      <c r="BR42"/>
      <c r="BS42"/>
      <c r="BT42"/>
      <c r="BU42"/>
      <c r="BV42"/>
      <c r="BW42"/>
      <c r="BX42"/>
    </row>
    <row r="43" spans="1:76" ht="14.25" customHeight="1" x14ac:dyDescent="0.3">
      <c r="A43" s="48"/>
      <c r="B43" s="8"/>
      <c r="C43" s="8"/>
      <c r="D43" s="8"/>
      <c r="E43" s="8"/>
      <c r="F43" s="8"/>
      <c r="G43" s="8"/>
      <c r="H43" s="8"/>
      <c r="I43" s="49"/>
      <c r="J43" s="4"/>
      <c r="K43" s="431" t="e">
        <f>taskPercentComplete(Calculations!B6,Calculations!D$6)</f>
        <v>#VALUE!</v>
      </c>
      <c r="L43" s="432"/>
      <c r="M43" s="433" t="e">
        <f>taskName(Calculations!B6,Calculations!D$3)</f>
        <v>#VALUE!</v>
      </c>
      <c r="N43" s="433"/>
      <c r="O43" s="433"/>
      <c r="P43" s="433"/>
      <c r="Q43" s="434" t="e">
        <f>taskDuration(Calculations!B6,Calculations!D$9)</f>
        <v>#VALUE!</v>
      </c>
      <c r="R43" s="434"/>
      <c r="S43" s="434"/>
      <c r="T43" s="435" t="e">
        <f>taskStartDate(Calculations!B6,Calculations!E$6)</f>
        <v>#VALUE!</v>
      </c>
      <c r="U43" s="434"/>
      <c r="V43" s="434"/>
      <c r="W43" s="436" t="e">
        <f>taskFinishDate(Calculations!B6,Calculations!E$3)</f>
        <v>#VALUE!</v>
      </c>
      <c r="X43" s="436"/>
      <c r="Y43" s="437"/>
      <c r="Z43" s="77"/>
      <c r="AA43" s="340"/>
      <c r="AB43" s="341"/>
      <c r="AC43" s="341"/>
      <c r="AD43" s="341"/>
      <c r="AE43" s="341"/>
      <c r="AF43" s="341"/>
      <c r="AG43" s="341"/>
      <c r="AH43" s="341"/>
      <c r="AI43" s="341"/>
      <c r="AJ43" s="341"/>
      <c r="AK43" s="341"/>
      <c r="AL43" s="341"/>
      <c r="AM43" s="341"/>
      <c r="AN43" s="341"/>
      <c r="AO43" s="341"/>
      <c r="AP43" s="342"/>
      <c r="AQ43" s="55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/>
      <c r="BQ43"/>
      <c r="BR43"/>
      <c r="BS43"/>
      <c r="BT43"/>
      <c r="BU43"/>
      <c r="BV43"/>
      <c r="BW43"/>
      <c r="BX43"/>
    </row>
    <row r="44" spans="1:76" ht="14.25" customHeight="1" x14ac:dyDescent="0.3">
      <c r="A44" s="48"/>
      <c r="B44" s="8"/>
      <c r="C44" s="8"/>
      <c r="D44" s="8"/>
      <c r="E44" s="8"/>
      <c r="F44" s="8"/>
      <c r="G44" s="8"/>
      <c r="H44" s="8"/>
      <c r="I44" s="49"/>
      <c r="J44" s="9"/>
      <c r="K44" s="431" t="e">
        <f>taskPercentComplete(Calculations!B7,Calculations!D$6)</f>
        <v>#VALUE!</v>
      </c>
      <c r="L44" s="432"/>
      <c r="M44" s="433" t="e">
        <f>taskName(Calculations!B7,Calculations!D$3)</f>
        <v>#VALUE!</v>
      </c>
      <c r="N44" s="433"/>
      <c r="O44" s="433"/>
      <c r="P44" s="433"/>
      <c r="Q44" s="434" t="e">
        <f>taskDuration(Calculations!B7,Calculations!D$9)</f>
        <v>#VALUE!</v>
      </c>
      <c r="R44" s="434"/>
      <c r="S44" s="434"/>
      <c r="T44" s="435" t="e">
        <f>taskStartDate(Calculations!B7,Calculations!E$6)</f>
        <v>#VALUE!</v>
      </c>
      <c r="U44" s="434"/>
      <c r="V44" s="434"/>
      <c r="W44" s="436" t="e">
        <f>taskFinishDate(Calculations!B7,Calculations!E$3)</f>
        <v>#VALUE!</v>
      </c>
      <c r="X44" s="436"/>
      <c r="Y44" s="437"/>
      <c r="Z44" s="77"/>
      <c r="AA44" s="340"/>
      <c r="AB44" s="341"/>
      <c r="AC44" s="341"/>
      <c r="AD44" s="341"/>
      <c r="AE44" s="341"/>
      <c r="AF44" s="341"/>
      <c r="AG44" s="341"/>
      <c r="AH44" s="341"/>
      <c r="AI44" s="341"/>
      <c r="AJ44" s="341"/>
      <c r="AK44" s="341"/>
      <c r="AL44" s="341"/>
      <c r="AM44" s="341"/>
      <c r="AN44" s="341"/>
      <c r="AO44" s="341"/>
      <c r="AP44" s="342"/>
      <c r="AQ44" s="55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/>
      <c r="BQ44"/>
      <c r="BR44"/>
      <c r="BS44"/>
      <c r="BT44"/>
      <c r="BU44"/>
      <c r="BV44"/>
      <c r="BW44"/>
      <c r="BX44"/>
    </row>
    <row r="45" spans="1:76" ht="12.75" customHeight="1" thickBot="1" x14ac:dyDescent="0.35">
      <c r="A45" s="50"/>
      <c r="B45" s="51"/>
      <c r="C45" s="51"/>
      <c r="D45" s="51"/>
      <c r="E45" s="51"/>
      <c r="F45" s="51"/>
      <c r="G45" s="51"/>
      <c r="H45" s="51"/>
      <c r="I45" s="52"/>
      <c r="J45" s="9"/>
      <c r="K45" s="431" t="e">
        <f>taskPercentComplete(Calculations!B8,Calculations!D$6)</f>
        <v>#VALUE!</v>
      </c>
      <c r="L45" s="432"/>
      <c r="M45" s="433" t="e">
        <f>taskName(Calculations!B8,Calculations!D$3)</f>
        <v>#VALUE!</v>
      </c>
      <c r="N45" s="433"/>
      <c r="O45" s="433"/>
      <c r="P45" s="433"/>
      <c r="Q45" s="434" t="e">
        <f>taskDuration(Calculations!B8,Calculations!D$9)</f>
        <v>#VALUE!</v>
      </c>
      <c r="R45" s="434"/>
      <c r="S45" s="434"/>
      <c r="T45" s="435" t="e">
        <f>taskStartDate(Calculations!B8,Calculations!E$6)</f>
        <v>#VALUE!</v>
      </c>
      <c r="U45" s="434"/>
      <c r="V45" s="434"/>
      <c r="W45" s="436" t="e">
        <f>taskFinishDate(Calculations!B8,Calculations!E$3)</f>
        <v>#VALUE!</v>
      </c>
      <c r="X45" s="436"/>
      <c r="Y45" s="437"/>
      <c r="Z45" s="77"/>
      <c r="AA45" s="340"/>
      <c r="AB45" s="341"/>
      <c r="AC45" s="341"/>
      <c r="AD45" s="341"/>
      <c r="AE45" s="341"/>
      <c r="AF45" s="341"/>
      <c r="AG45" s="341"/>
      <c r="AH45" s="341"/>
      <c r="AI45" s="341"/>
      <c r="AJ45" s="341"/>
      <c r="AK45" s="341"/>
      <c r="AL45" s="341"/>
      <c r="AM45" s="341"/>
      <c r="AN45" s="341"/>
      <c r="AO45" s="341"/>
      <c r="AP45" s="342"/>
      <c r="AQ45" s="55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/>
      <c r="BQ45"/>
      <c r="BR45"/>
      <c r="BS45"/>
      <c r="BT45"/>
      <c r="BU45"/>
      <c r="BV45"/>
      <c r="BW45"/>
      <c r="BX45"/>
    </row>
    <row r="46" spans="1:76" ht="14.25" customHeight="1" x14ac:dyDescent="0.3">
      <c r="A46" s="9"/>
      <c r="B46" s="9"/>
      <c r="C46" s="9"/>
      <c r="D46" s="9"/>
      <c r="E46" s="9"/>
      <c r="F46" s="9"/>
      <c r="G46" s="9"/>
      <c r="H46" s="9"/>
      <c r="I46" s="9"/>
      <c r="J46" s="9"/>
      <c r="K46" s="431" t="e">
        <f>taskPercentComplete(Calculations!B9,Calculations!D$6)</f>
        <v>#VALUE!</v>
      </c>
      <c r="L46" s="432"/>
      <c r="M46" s="433" t="e">
        <f>taskName(Calculations!B9,Calculations!D$3)</f>
        <v>#VALUE!</v>
      </c>
      <c r="N46" s="433"/>
      <c r="O46" s="433"/>
      <c r="P46" s="433"/>
      <c r="Q46" s="434" t="e">
        <f>taskDuration(Calculations!B9,Calculations!D$9)</f>
        <v>#VALUE!</v>
      </c>
      <c r="R46" s="434"/>
      <c r="S46" s="434"/>
      <c r="T46" s="435" t="e">
        <f>taskStartDate(Calculations!B9,Calculations!E$6)</f>
        <v>#VALUE!</v>
      </c>
      <c r="U46" s="434"/>
      <c r="V46" s="434"/>
      <c r="W46" s="436" t="e">
        <f>taskFinishDate(Calculations!B9,Calculations!E$3)</f>
        <v>#VALUE!</v>
      </c>
      <c r="X46" s="436"/>
      <c r="Y46" s="437"/>
      <c r="Z46" s="77"/>
      <c r="AA46" s="340"/>
      <c r="AB46" s="341"/>
      <c r="AC46" s="341"/>
      <c r="AD46" s="341"/>
      <c r="AE46" s="341"/>
      <c r="AF46" s="341"/>
      <c r="AG46" s="341"/>
      <c r="AH46" s="341"/>
      <c r="AI46" s="341"/>
      <c r="AJ46" s="341"/>
      <c r="AK46" s="341"/>
      <c r="AL46" s="341"/>
      <c r="AM46" s="341"/>
      <c r="AN46" s="341"/>
      <c r="AO46" s="341"/>
      <c r="AP46" s="342"/>
      <c r="AQ46" s="55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/>
      <c r="BQ46"/>
      <c r="BR46"/>
      <c r="BS46"/>
      <c r="BT46"/>
      <c r="BU46"/>
      <c r="BV46"/>
      <c r="BW46"/>
      <c r="BX46"/>
    </row>
    <row r="47" spans="1:76" ht="14.25" customHeight="1" thickBot="1" x14ac:dyDescent="0.35">
      <c r="A47" s="155" t="s">
        <v>110</v>
      </c>
      <c r="B47" s="155"/>
      <c r="C47" s="155"/>
      <c r="D47" s="155"/>
      <c r="E47" s="155"/>
      <c r="F47" s="155"/>
      <c r="G47" s="155"/>
      <c r="H47" s="155"/>
      <c r="I47" s="155"/>
      <c r="J47" s="184"/>
      <c r="K47" s="431" t="e">
        <f>taskPercentComplete(Calculations!B10,Calculations!D$6)</f>
        <v>#VALUE!</v>
      </c>
      <c r="L47" s="432"/>
      <c r="M47" s="433" t="e">
        <f>taskName(Calculations!B10,Calculations!D$3)</f>
        <v>#VALUE!</v>
      </c>
      <c r="N47" s="433"/>
      <c r="O47" s="433"/>
      <c r="P47" s="433"/>
      <c r="Q47" s="434" t="e">
        <f>taskDuration(Calculations!B10,Calculations!D$9)</f>
        <v>#VALUE!</v>
      </c>
      <c r="R47" s="434"/>
      <c r="S47" s="434"/>
      <c r="T47" s="435" t="e">
        <f>taskStartDate(Calculations!B10,Calculations!E$6)</f>
        <v>#VALUE!</v>
      </c>
      <c r="U47" s="434"/>
      <c r="V47" s="434"/>
      <c r="W47" s="436" t="e">
        <f>taskFinishDate(Calculations!B10,Calculations!E$3)</f>
        <v>#VALUE!</v>
      </c>
      <c r="X47" s="436"/>
      <c r="Y47" s="437"/>
      <c r="Z47" s="77"/>
      <c r="AA47" s="340"/>
      <c r="AB47" s="341"/>
      <c r="AC47" s="341"/>
      <c r="AD47" s="341"/>
      <c r="AE47" s="341"/>
      <c r="AF47" s="341"/>
      <c r="AG47" s="341"/>
      <c r="AH47" s="341"/>
      <c r="AI47" s="341"/>
      <c r="AJ47" s="341"/>
      <c r="AK47" s="341"/>
      <c r="AL47" s="341"/>
      <c r="AM47" s="341"/>
      <c r="AN47" s="341"/>
      <c r="AO47" s="341"/>
      <c r="AP47" s="342"/>
      <c r="AQ47" s="55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/>
      <c r="BQ47"/>
      <c r="BR47"/>
      <c r="BS47"/>
      <c r="BT47"/>
      <c r="BU47"/>
      <c r="BV47"/>
      <c r="BW47"/>
      <c r="BX47"/>
    </row>
    <row r="48" spans="1:76" ht="14.25" customHeight="1" thickBot="1" x14ac:dyDescent="0.35">
      <c r="A48" s="357" t="s">
        <v>28</v>
      </c>
      <c r="B48" s="358"/>
      <c r="C48" s="358"/>
      <c r="D48" s="358"/>
      <c r="E48" s="359"/>
      <c r="F48" s="359" t="s">
        <v>29</v>
      </c>
      <c r="G48" s="360"/>
      <c r="H48" s="360"/>
      <c r="I48" s="361"/>
      <c r="J48" s="77"/>
      <c r="K48" s="431" t="e">
        <f>taskPercentComplete(Calculations!B11,Calculations!D$6)</f>
        <v>#VALUE!</v>
      </c>
      <c r="L48" s="432"/>
      <c r="M48" s="433" t="e">
        <f>taskName(Calculations!B11,Calculations!D$3)</f>
        <v>#VALUE!</v>
      </c>
      <c r="N48" s="433"/>
      <c r="O48" s="433"/>
      <c r="P48" s="433"/>
      <c r="Q48" s="434" t="e">
        <f>taskDuration(Calculations!B11,Calculations!D$9)</f>
        <v>#VALUE!</v>
      </c>
      <c r="R48" s="434"/>
      <c r="S48" s="434"/>
      <c r="T48" s="435" t="e">
        <f>taskStartDate(Calculations!B11,Calculations!E$6)</f>
        <v>#VALUE!</v>
      </c>
      <c r="U48" s="434"/>
      <c r="V48" s="434"/>
      <c r="W48" s="436" t="e">
        <f>taskFinishDate(Calculations!B11,Calculations!E$3)</f>
        <v>#VALUE!</v>
      </c>
      <c r="X48" s="436"/>
      <c r="Y48" s="437"/>
      <c r="Z48" s="77"/>
      <c r="AA48" s="340"/>
      <c r="AB48" s="341"/>
      <c r="AC48" s="341"/>
      <c r="AD48" s="341"/>
      <c r="AE48" s="341"/>
      <c r="AF48" s="341"/>
      <c r="AG48" s="341"/>
      <c r="AH48" s="341"/>
      <c r="AI48" s="341"/>
      <c r="AJ48" s="341"/>
      <c r="AK48" s="341"/>
      <c r="AL48" s="341"/>
      <c r="AM48" s="341"/>
      <c r="AN48" s="341"/>
      <c r="AO48" s="341"/>
      <c r="AP48" s="342"/>
      <c r="AQ48" s="55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/>
      <c r="BQ48"/>
      <c r="BR48"/>
      <c r="BS48"/>
      <c r="BT48"/>
      <c r="BU48"/>
      <c r="BV48"/>
      <c r="BW48"/>
      <c r="BX48"/>
    </row>
    <row r="49" spans="1:76" ht="14.25" customHeight="1" x14ac:dyDescent="0.3">
      <c r="A49" s="373"/>
      <c r="B49" s="374"/>
      <c r="C49" s="374"/>
      <c r="D49" s="374"/>
      <c r="E49" s="374"/>
      <c r="F49" s="375"/>
      <c r="G49" s="376"/>
      <c r="H49" s="376"/>
      <c r="I49" s="377"/>
      <c r="J49" s="77"/>
      <c r="K49" s="431" t="e">
        <f>taskPercentComplete(Calculations!B12,Calculations!D$6)</f>
        <v>#VALUE!</v>
      </c>
      <c r="L49" s="432"/>
      <c r="M49" s="433" t="e">
        <f>taskName(Calculations!B12,Calculations!D$3)</f>
        <v>#VALUE!</v>
      </c>
      <c r="N49" s="433"/>
      <c r="O49" s="433"/>
      <c r="P49" s="433"/>
      <c r="Q49" s="434" t="e">
        <f>taskDuration(Calculations!B12,Calculations!D$9)</f>
        <v>#VALUE!</v>
      </c>
      <c r="R49" s="434"/>
      <c r="S49" s="434"/>
      <c r="T49" s="435" t="e">
        <f>taskStartDate(Calculations!B12,Calculations!E$6)</f>
        <v>#VALUE!</v>
      </c>
      <c r="U49" s="434"/>
      <c r="V49" s="434"/>
      <c r="W49" s="436" t="e">
        <f>taskFinishDate(Calculations!B12,Calculations!E$3)</f>
        <v>#VALUE!</v>
      </c>
      <c r="X49" s="436"/>
      <c r="Y49" s="437"/>
      <c r="Z49" s="77"/>
      <c r="AA49" s="340"/>
      <c r="AB49" s="341"/>
      <c r="AC49" s="341"/>
      <c r="AD49" s="341"/>
      <c r="AE49" s="341"/>
      <c r="AF49" s="341"/>
      <c r="AG49" s="341"/>
      <c r="AH49" s="341"/>
      <c r="AI49" s="341"/>
      <c r="AJ49" s="341"/>
      <c r="AK49" s="341"/>
      <c r="AL49" s="341"/>
      <c r="AM49" s="341"/>
      <c r="AN49" s="341"/>
      <c r="AO49" s="341"/>
      <c r="AP49" s="342"/>
      <c r="AQ49" s="55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/>
      <c r="BQ49"/>
      <c r="BR49"/>
      <c r="BS49"/>
      <c r="BT49"/>
      <c r="BU49"/>
      <c r="BV49"/>
      <c r="BW49"/>
      <c r="BX49"/>
    </row>
    <row r="50" spans="1:76" ht="13.5" customHeight="1" thickBot="1" x14ac:dyDescent="0.35">
      <c r="A50" s="362"/>
      <c r="B50" s="363"/>
      <c r="C50" s="363"/>
      <c r="D50" s="363"/>
      <c r="E50" s="363"/>
      <c r="F50" s="364"/>
      <c r="G50" s="365"/>
      <c r="H50" s="365"/>
      <c r="I50" s="366"/>
      <c r="J50" s="77"/>
      <c r="K50" s="429" t="e">
        <f>taskPercentComplete(Calculations!B13,Calculations!D$6)</f>
        <v>#VALUE!</v>
      </c>
      <c r="L50" s="430"/>
      <c r="M50" s="428" t="e">
        <f>taskName(Calculations!B13,Calculations!D$3)</f>
        <v>#VALUE!</v>
      </c>
      <c r="N50" s="428"/>
      <c r="O50" s="428"/>
      <c r="P50" s="428"/>
      <c r="Q50" s="427" t="e">
        <f>taskDuration(Calculations!B13,Calculations!D$9)</f>
        <v>#VALUE!</v>
      </c>
      <c r="R50" s="427"/>
      <c r="S50" s="427"/>
      <c r="T50" s="426" t="e">
        <f>taskStartDate(Calculations!B13,Calculations!E$6)</f>
        <v>#VALUE!</v>
      </c>
      <c r="U50" s="427"/>
      <c r="V50" s="427"/>
      <c r="W50" s="424" t="e">
        <f>taskFinishDate(Calculations!B13,Calculations!E$3)</f>
        <v>#VALUE!</v>
      </c>
      <c r="X50" s="424"/>
      <c r="Y50" s="425"/>
      <c r="Z50" s="77"/>
      <c r="AA50" s="370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2"/>
      <c r="AQ50" s="55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</row>
    <row r="51" spans="1:76" ht="14.25" customHeight="1" x14ac:dyDescent="0.3">
      <c r="A51" s="362" t="s">
        <v>112</v>
      </c>
      <c r="B51" s="363"/>
      <c r="C51" s="363"/>
      <c r="D51" s="363"/>
      <c r="E51" s="363"/>
      <c r="F51" s="364" t="s">
        <v>111</v>
      </c>
      <c r="G51" s="365"/>
      <c r="H51" s="365"/>
      <c r="I51" s="366"/>
      <c r="J51" s="77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Q51" s="55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/>
      <c r="BQ51"/>
      <c r="BR51"/>
      <c r="BS51"/>
      <c r="BT51"/>
      <c r="BU51"/>
      <c r="BV51"/>
      <c r="BW51"/>
      <c r="BX51"/>
    </row>
    <row r="52" spans="1:76" ht="14.25" customHeight="1" thickBot="1" x14ac:dyDescent="0.35">
      <c r="A52" s="394"/>
      <c r="B52" s="395"/>
      <c r="C52" s="395"/>
      <c r="D52" s="395"/>
      <c r="E52" s="395"/>
      <c r="F52" s="387"/>
      <c r="G52" s="388"/>
      <c r="H52" s="388"/>
      <c r="I52" s="389"/>
      <c r="J52" s="77"/>
      <c r="K52" s="155" t="s">
        <v>106</v>
      </c>
      <c r="L52" s="155"/>
      <c r="M52" s="155"/>
      <c r="N52" s="155"/>
      <c r="O52" s="155"/>
      <c r="P52" s="155"/>
      <c r="Q52" s="155"/>
      <c r="R52" s="155"/>
      <c r="S52" s="155"/>
      <c r="T52" s="155"/>
      <c r="U52" s="155"/>
      <c r="V52" s="155"/>
      <c r="W52" s="155"/>
      <c r="X52" s="155"/>
      <c r="Y52" s="155"/>
      <c r="Z52" s="155"/>
      <c r="AA52" s="155"/>
      <c r="AB52" s="155"/>
      <c r="AC52" s="155"/>
      <c r="AD52" s="155"/>
      <c r="AE52" s="155"/>
      <c r="AF52" s="155"/>
      <c r="AG52" s="155"/>
      <c r="AH52" s="155"/>
      <c r="AI52" s="155"/>
      <c r="AJ52" s="155"/>
      <c r="AK52" s="155"/>
      <c r="AL52" s="155"/>
      <c r="AM52" s="155"/>
      <c r="AN52" s="155"/>
      <c r="AQ52" s="55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/>
      <c r="BQ52"/>
      <c r="BR52"/>
      <c r="BS52"/>
      <c r="BT52"/>
      <c r="BU52"/>
      <c r="BV52"/>
      <c r="BW52"/>
      <c r="BX52"/>
    </row>
    <row r="53" spans="1:76" ht="15" thickBot="1" x14ac:dyDescent="0.35">
      <c r="A53" s="378"/>
      <c r="B53" s="379"/>
      <c r="C53" s="379"/>
      <c r="D53" s="379"/>
      <c r="E53" s="379"/>
      <c r="F53" s="387"/>
      <c r="G53" s="388"/>
      <c r="H53" s="388"/>
      <c r="I53" s="389"/>
      <c r="J53" s="77"/>
      <c r="K53" s="396" t="s">
        <v>86</v>
      </c>
      <c r="L53" s="397"/>
      <c r="M53" s="397"/>
      <c r="N53" s="398"/>
      <c r="O53" s="475" t="s">
        <v>107</v>
      </c>
      <c r="P53" s="475"/>
      <c r="Q53" s="475"/>
      <c r="R53" s="475"/>
      <c r="S53" s="475"/>
      <c r="T53" s="475"/>
      <c r="U53" s="475"/>
      <c r="V53" s="475"/>
      <c r="W53" s="475"/>
      <c r="X53" s="475"/>
      <c r="Y53" s="475"/>
      <c r="Z53" s="475"/>
      <c r="AA53" s="476"/>
      <c r="AB53" s="475" t="s">
        <v>107</v>
      </c>
      <c r="AC53" s="475"/>
      <c r="AD53" s="475"/>
      <c r="AE53" s="475"/>
      <c r="AF53" s="475"/>
      <c r="AG53" s="475"/>
      <c r="AH53" s="475"/>
      <c r="AI53" s="475"/>
      <c r="AJ53" s="475"/>
      <c r="AK53" s="475"/>
      <c r="AL53" s="475"/>
      <c r="AM53" s="475"/>
      <c r="AN53" s="476"/>
      <c r="AQ53" s="55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/>
      <c r="BQ53"/>
      <c r="BR53"/>
      <c r="BS53"/>
      <c r="BT53"/>
      <c r="BU53"/>
      <c r="BV53"/>
      <c r="BW53"/>
      <c r="BX53"/>
    </row>
    <row r="54" spans="1:76" ht="14.25" customHeight="1" thickBot="1" x14ac:dyDescent="0.35">
      <c r="A54" s="378"/>
      <c r="B54" s="379"/>
      <c r="C54" s="379"/>
      <c r="D54" s="379"/>
      <c r="E54" s="379"/>
      <c r="F54" s="387"/>
      <c r="G54" s="388"/>
      <c r="H54" s="388"/>
      <c r="I54" s="389"/>
      <c r="J54" s="77"/>
      <c r="K54" s="383" t="s">
        <v>65</v>
      </c>
      <c r="L54" s="384"/>
      <c r="M54" s="385" t="s">
        <v>64</v>
      </c>
      <c r="N54" s="386"/>
      <c r="O54" s="477"/>
      <c r="P54" s="477"/>
      <c r="Q54" s="477"/>
      <c r="R54" s="477"/>
      <c r="S54" s="477"/>
      <c r="T54" s="477"/>
      <c r="U54" s="477"/>
      <c r="V54" s="477"/>
      <c r="W54" s="477"/>
      <c r="X54" s="477"/>
      <c r="Y54" s="477"/>
      <c r="Z54" s="477"/>
      <c r="AA54" s="478"/>
      <c r="AB54" s="477"/>
      <c r="AC54" s="477"/>
      <c r="AD54" s="477"/>
      <c r="AE54" s="477"/>
      <c r="AF54" s="477"/>
      <c r="AG54" s="477"/>
      <c r="AH54" s="477"/>
      <c r="AI54" s="477"/>
      <c r="AJ54" s="477"/>
      <c r="AK54" s="477"/>
      <c r="AL54" s="477"/>
      <c r="AM54" s="477"/>
      <c r="AN54" s="478"/>
      <c r="AQ54" s="55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/>
      <c r="BQ54"/>
      <c r="BR54"/>
      <c r="BS54"/>
      <c r="BT54"/>
      <c r="BU54"/>
      <c r="BV54"/>
      <c r="BW54"/>
      <c r="BX54"/>
    </row>
    <row r="55" spans="1:76" ht="14.25" customHeight="1" thickBot="1" x14ac:dyDescent="0.35">
      <c r="A55" s="378"/>
      <c r="B55" s="379"/>
      <c r="C55" s="379"/>
      <c r="D55" s="379"/>
      <c r="E55" s="379"/>
      <c r="F55" s="387"/>
      <c r="G55" s="388"/>
      <c r="H55" s="388"/>
      <c r="I55" s="389"/>
      <c r="J55" s="77"/>
      <c r="K55" s="390" t="s">
        <v>72</v>
      </c>
      <c r="L55" s="391"/>
      <c r="M55" s="392" t="s">
        <v>72</v>
      </c>
      <c r="N55" s="393"/>
      <c r="O55" s="10"/>
      <c r="P55" s="11"/>
      <c r="Q55" s="13"/>
      <c r="R55" s="10"/>
      <c r="S55" s="10"/>
      <c r="T55" s="13"/>
      <c r="U55" s="13"/>
      <c r="V55" s="13"/>
      <c r="W55" s="10"/>
      <c r="X55" s="10"/>
      <c r="Y55" s="13"/>
      <c r="Z55" s="13"/>
      <c r="AA55" s="14"/>
      <c r="AB55" s="10"/>
      <c r="AC55" s="13"/>
      <c r="AD55" s="13"/>
      <c r="AE55" s="15"/>
      <c r="AF55" s="13"/>
      <c r="AG55" s="13"/>
      <c r="AH55" s="13"/>
      <c r="AI55" s="15"/>
      <c r="AJ55" s="13"/>
      <c r="AK55" s="13"/>
      <c r="AL55" s="13"/>
      <c r="AM55" s="13"/>
      <c r="AN55" s="14"/>
      <c r="AQ55" s="55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/>
      <c r="BQ55"/>
      <c r="BR55"/>
      <c r="BS55"/>
      <c r="BT55"/>
      <c r="BU55"/>
      <c r="BV55"/>
      <c r="BW55"/>
      <c r="BX55"/>
    </row>
    <row r="56" spans="1:76" ht="14.25" customHeight="1" thickBot="1" x14ac:dyDescent="0.35">
      <c r="A56" s="378"/>
      <c r="B56" s="379"/>
      <c r="C56" s="379"/>
      <c r="D56" s="379"/>
      <c r="E56" s="379"/>
      <c r="F56" s="387"/>
      <c r="G56" s="388"/>
      <c r="H56" s="388"/>
      <c r="I56" s="389"/>
      <c r="J56" s="77"/>
      <c r="K56" s="414" t="s">
        <v>73</v>
      </c>
      <c r="L56" s="415"/>
      <c r="M56" s="416" t="s">
        <v>73</v>
      </c>
      <c r="N56" s="417"/>
      <c r="O56" s="100"/>
      <c r="P56" s="100"/>
      <c r="Q56" s="99"/>
      <c r="R56" s="101"/>
      <c r="S56" s="102"/>
      <c r="T56" s="101"/>
      <c r="U56" s="99"/>
      <c r="V56" s="101"/>
      <c r="W56" s="117"/>
      <c r="X56" s="102"/>
      <c r="Y56" s="101"/>
      <c r="Z56" s="99"/>
      <c r="AA56" s="118"/>
      <c r="AB56" s="102"/>
      <c r="AC56" s="101"/>
      <c r="AD56" s="99"/>
      <c r="AE56" s="103"/>
      <c r="AF56" s="100"/>
      <c r="AG56" s="101"/>
      <c r="AH56" s="99"/>
      <c r="AI56" s="103"/>
      <c r="AJ56" s="101"/>
      <c r="AK56" s="100"/>
      <c r="AL56" s="101"/>
      <c r="AM56" s="119"/>
      <c r="AN56" s="120"/>
      <c r="AQ56" s="55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/>
      <c r="BQ56"/>
      <c r="BR56"/>
      <c r="BS56"/>
      <c r="BT56"/>
      <c r="BU56"/>
      <c r="BV56"/>
      <c r="BW56"/>
      <c r="BX56"/>
    </row>
    <row r="57" spans="1:76" ht="14.25" customHeight="1" x14ac:dyDescent="0.3">
      <c r="A57" s="378"/>
      <c r="B57" s="379"/>
      <c r="C57" s="379"/>
      <c r="D57" s="379"/>
      <c r="E57" s="379"/>
      <c r="F57" s="387"/>
      <c r="G57" s="388"/>
      <c r="H57" s="388"/>
      <c r="I57" s="389"/>
      <c r="J57" s="77"/>
      <c r="K57" s="473" t="s">
        <v>101</v>
      </c>
      <c r="L57" s="474"/>
      <c r="M57" s="469" t="s">
        <v>101</v>
      </c>
      <c r="N57" s="470"/>
      <c r="O57" s="100"/>
      <c r="P57" s="100"/>
      <c r="Q57" s="100"/>
      <c r="R57" s="102"/>
      <c r="S57" s="102"/>
      <c r="T57" s="122" t="s">
        <v>108</v>
      </c>
      <c r="U57" s="100"/>
      <c r="V57" s="102"/>
      <c r="W57" s="102"/>
      <c r="X57" s="102"/>
      <c r="Y57" s="100"/>
      <c r="Z57" s="100"/>
      <c r="AA57" s="104"/>
      <c r="AB57" s="102"/>
      <c r="AC57" s="100"/>
      <c r="AD57" s="100"/>
      <c r="AE57" s="105"/>
      <c r="AF57" s="100"/>
      <c r="AG57" s="100"/>
      <c r="AH57" s="100"/>
      <c r="AI57" s="105"/>
      <c r="AJ57" s="100"/>
      <c r="AK57" s="100"/>
      <c r="AL57" s="100"/>
      <c r="AM57" s="110"/>
      <c r="AN57" s="104"/>
      <c r="AQ57" s="55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/>
      <c r="BQ57"/>
      <c r="BR57"/>
      <c r="BS57"/>
      <c r="BT57"/>
      <c r="BU57"/>
      <c r="BV57"/>
      <c r="BW57"/>
      <c r="BX57"/>
    </row>
    <row r="58" spans="1:76" ht="14.25" customHeight="1" thickBot="1" x14ac:dyDescent="0.35">
      <c r="A58" s="405"/>
      <c r="B58" s="406"/>
      <c r="C58" s="406"/>
      <c r="D58" s="406"/>
      <c r="E58" s="406"/>
      <c r="F58" s="407"/>
      <c r="G58" s="408"/>
      <c r="H58" s="408"/>
      <c r="I58" s="409"/>
      <c r="J58" s="77"/>
      <c r="K58" s="471" t="s">
        <v>101</v>
      </c>
      <c r="L58" s="472"/>
      <c r="M58" s="467" t="s">
        <v>101</v>
      </c>
      <c r="N58" s="468"/>
      <c r="O58" s="111"/>
      <c r="P58" s="121"/>
      <c r="Q58" s="106"/>
      <c r="R58" s="107"/>
      <c r="S58" s="109"/>
      <c r="T58" s="111"/>
      <c r="U58" s="106"/>
      <c r="V58" s="107"/>
      <c r="W58" s="107"/>
      <c r="X58" s="109"/>
      <c r="Y58" s="111"/>
      <c r="Z58" s="106"/>
      <c r="AA58" s="108"/>
      <c r="AB58" s="109"/>
      <c r="AC58" s="111"/>
      <c r="AD58" s="106"/>
      <c r="AE58" s="109"/>
      <c r="AF58" s="106"/>
      <c r="AG58" s="111"/>
      <c r="AH58" s="106"/>
      <c r="AI58" s="109"/>
      <c r="AJ58" s="106"/>
      <c r="AK58" s="106"/>
      <c r="AL58" s="111"/>
      <c r="AM58" s="111"/>
      <c r="AN58" s="108"/>
      <c r="AQ58" s="55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/>
      <c r="BQ58"/>
      <c r="BR58"/>
      <c r="BS58"/>
      <c r="BT58"/>
      <c r="BU58"/>
      <c r="BV58"/>
      <c r="BW58"/>
      <c r="BX58"/>
    </row>
    <row r="59" spans="1:76" ht="13.5" customHeight="1" x14ac:dyDescent="0.3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/>
      <c r="BQ59"/>
      <c r="BR59"/>
      <c r="BS59"/>
      <c r="BT59"/>
      <c r="BU59"/>
      <c r="BV59"/>
      <c r="BW59"/>
      <c r="BX59"/>
    </row>
    <row r="60" spans="1:76" ht="13.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/>
      <c r="BQ60"/>
      <c r="BR60"/>
      <c r="BS60"/>
      <c r="BT60"/>
      <c r="BU60"/>
      <c r="BV60"/>
      <c r="BW60"/>
      <c r="BX60"/>
    </row>
    <row r="61" spans="1:76" ht="13.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/>
      <c r="BQ61"/>
      <c r="BR61"/>
      <c r="BS61"/>
      <c r="BT61"/>
      <c r="BU61"/>
      <c r="BV61"/>
      <c r="BW61"/>
      <c r="BX61"/>
    </row>
    <row r="62" spans="1:76" ht="13.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/>
      <c r="BQ62"/>
      <c r="BR62"/>
      <c r="BS62"/>
      <c r="BT62"/>
      <c r="BU62"/>
      <c r="BV62"/>
      <c r="BW62"/>
      <c r="BX62"/>
    </row>
    <row r="63" spans="1:76" ht="13.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/>
      <c r="BQ63"/>
      <c r="BR63"/>
      <c r="BS63"/>
      <c r="BT63"/>
      <c r="BU63"/>
      <c r="BV63"/>
      <c r="BW63"/>
      <c r="BX63"/>
    </row>
    <row r="64" spans="1:76" ht="13.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/>
      <c r="BQ64"/>
      <c r="BR64"/>
      <c r="BS64"/>
      <c r="BT64"/>
      <c r="BU64"/>
      <c r="BV64"/>
      <c r="BW64"/>
      <c r="BX64"/>
    </row>
    <row r="65" spans="1:76" ht="13.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/>
      <c r="BQ65"/>
      <c r="BR65"/>
      <c r="BS65"/>
      <c r="BT65"/>
      <c r="BU65"/>
      <c r="BV65"/>
      <c r="BW65"/>
      <c r="BX65"/>
    </row>
    <row r="66" spans="1:76" ht="13.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/>
      <c r="BQ66"/>
      <c r="BR66"/>
      <c r="BS66"/>
      <c r="BT66"/>
      <c r="BU66"/>
      <c r="BV66"/>
      <c r="BW66"/>
      <c r="BX66"/>
    </row>
    <row r="67" spans="1:76" ht="13.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/>
      <c r="BQ67"/>
      <c r="BR67"/>
      <c r="BS67"/>
      <c r="BT67"/>
      <c r="BU67"/>
      <c r="BV67"/>
      <c r="BW67"/>
      <c r="BX67"/>
    </row>
    <row r="68" spans="1:76" ht="13.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/>
      <c r="BQ68"/>
      <c r="BR68"/>
      <c r="BS68"/>
      <c r="BT68"/>
      <c r="BU68"/>
      <c r="BV68"/>
      <c r="BW68"/>
      <c r="BX68"/>
    </row>
    <row r="69" spans="1:76" ht="13.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/>
      <c r="BQ69"/>
      <c r="BR69"/>
      <c r="BS69"/>
      <c r="BT69"/>
      <c r="BU69"/>
      <c r="BV69"/>
      <c r="BW69"/>
      <c r="BX69"/>
    </row>
    <row r="70" spans="1:76" ht="13.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/>
      <c r="BQ70"/>
      <c r="BR70"/>
      <c r="BS70"/>
      <c r="BT70"/>
      <c r="BU70"/>
      <c r="BV70"/>
      <c r="BW70"/>
      <c r="BX70"/>
    </row>
    <row r="71" spans="1:76" ht="13.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/>
      <c r="BQ71"/>
      <c r="BR71"/>
      <c r="BS71"/>
      <c r="BT71"/>
      <c r="BU71"/>
      <c r="BV71"/>
      <c r="BW71"/>
      <c r="BX71"/>
    </row>
    <row r="72" spans="1:76" ht="13.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/>
      <c r="BQ72"/>
      <c r="BR72"/>
      <c r="BS72"/>
      <c r="BT72"/>
      <c r="BU72"/>
      <c r="BV72"/>
      <c r="BW72"/>
      <c r="BX72"/>
    </row>
    <row r="73" spans="1:76" ht="13.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/>
      <c r="BQ73"/>
      <c r="BR73"/>
      <c r="BS73"/>
      <c r="BT73"/>
      <c r="BU73"/>
      <c r="BV73"/>
      <c r="BW73"/>
      <c r="BX73"/>
    </row>
    <row r="74" spans="1:76" ht="13.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/>
      <c r="BQ74"/>
      <c r="BR74"/>
      <c r="BS74"/>
      <c r="BT74"/>
      <c r="BU74"/>
      <c r="BV74"/>
      <c r="BW74"/>
      <c r="BX74"/>
    </row>
    <row r="75" spans="1:76" ht="13.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/>
      <c r="BQ75"/>
      <c r="BR75"/>
      <c r="BS75"/>
      <c r="BT75"/>
      <c r="BU75"/>
      <c r="BV75"/>
      <c r="BW75"/>
      <c r="BX75"/>
    </row>
    <row r="76" spans="1:76" ht="13.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/>
      <c r="BQ76"/>
      <c r="BR76"/>
      <c r="BS76"/>
      <c r="BT76"/>
      <c r="BU76"/>
      <c r="BV76"/>
      <c r="BW76"/>
      <c r="BX76"/>
    </row>
    <row r="77" spans="1:76" ht="13.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/>
      <c r="BQ77"/>
      <c r="BR77"/>
      <c r="BS77"/>
      <c r="BT77"/>
      <c r="BU77"/>
      <c r="BV77"/>
      <c r="BW77"/>
      <c r="BX77"/>
    </row>
    <row r="78" spans="1:76" ht="13.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/>
      <c r="BQ78"/>
      <c r="BR78"/>
      <c r="BS78"/>
      <c r="BT78"/>
      <c r="BU78"/>
      <c r="BV78"/>
      <c r="BW78"/>
      <c r="BX78"/>
    </row>
    <row r="79" spans="1:76" ht="13.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  <c r="BP79"/>
      <c r="BQ79"/>
      <c r="BR79"/>
      <c r="BS79"/>
      <c r="BT79"/>
      <c r="BU79"/>
      <c r="BV79"/>
      <c r="BW79"/>
      <c r="BX79"/>
    </row>
    <row r="80" spans="1:76" ht="13.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  <c r="BP80"/>
      <c r="BQ80"/>
      <c r="BR80"/>
      <c r="BS80"/>
      <c r="BT80"/>
      <c r="BU80"/>
      <c r="BV80"/>
      <c r="BW80"/>
      <c r="BX80"/>
    </row>
    <row r="81" spans="1:76" ht="13.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/>
      <c r="BQ81"/>
      <c r="BR81"/>
      <c r="BS81"/>
      <c r="BT81"/>
      <c r="BU81"/>
      <c r="BV81"/>
      <c r="BW81"/>
      <c r="BX81"/>
    </row>
    <row r="82" spans="1:76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/>
      <c r="BQ82"/>
      <c r="BR82"/>
      <c r="BS82"/>
      <c r="BT82"/>
      <c r="BU82"/>
      <c r="BV82"/>
      <c r="BW82"/>
      <c r="BX82"/>
    </row>
    <row r="83" spans="1:76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/>
      <c r="BQ83"/>
      <c r="BR83"/>
      <c r="BS83"/>
      <c r="BT83"/>
      <c r="BU83"/>
      <c r="BV83"/>
      <c r="BW83"/>
      <c r="BX83"/>
    </row>
    <row r="84" spans="1:76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/>
      <c r="BQ84"/>
      <c r="BR84"/>
      <c r="BS84"/>
      <c r="BT84"/>
      <c r="BU84"/>
      <c r="BV84"/>
      <c r="BW84"/>
      <c r="BX84"/>
    </row>
    <row r="85" spans="1:76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/>
      <c r="BQ85"/>
      <c r="BR85"/>
      <c r="BS85"/>
      <c r="BT85"/>
      <c r="BU85"/>
      <c r="BV85"/>
      <c r="BW85"/>
      <c r="BX85"/>
    </row>
    <row r="86" spans="1:76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/>
      <c r="BQ86"/>
      <c r="BR86"/>
      <c r="BS86"/>
      <c r="BT86"/>
      <c r="BU86"/>
      <c r="BV86"/>
      <c r="BW86"/>
      <c r="BX86"/>
    </row>
    <row r="87" spans="1:76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/>
      <c r="BQ87"/>
      <c r="BR87"/>
      <c r="BS87"/>
      <c r="BT87"/>
      <c r="BU87"/>
      <c r="BV87"/>
      <c r="BW87"/>
      <c r="BX87"/>
    </row>
    <row r="88" spans="1:76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/>
      <c r="BQ88"/>
      <c r="BR88"/>
      <c r="BS88"/>
      <c r="BT88"/>
      <c r="BU88"/>
      <c r="BV88"/>
      <c r="BW88"/>
      <c r="BX88"/>
    </row>
    <row r="89" spans="1:76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  <c r="BM89" s="54"/>
      <c r="BN89" s="54"/>
      <c r="BO89" s="54"/>
      <c r="BP89"/>
      <c r="BQ89"/>
      <c r="BR89"/>
      <c r="BS89"/>
      <c r="BT89"/>
      <c r="BU89"/>
      <c r="BV89"/>
      <c r="BW89"/>
      <c r="BX89"/>
    </row>
    <row r="90" spans="1:76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/>
      <c r="BQ90"/>
      <c r="BR90"/>
      <c r="BS90"/>
      <c r="BT90"/>
      <c r="BU90"/>
      <c r="BV90"/>
      <c r="BW90"/>
      <c r="BX90"/>
    </row>
    <row r="91" spans="1:76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  <c r="BM91" s="54"/>
      <c r="BN91" s="54"/>
      <c r="BO91" s="54"/>
      <c r="BP91"/>
      <c r="BQ91"/>
      <c r="BR91"/>
      <c r="BS91"/>
      <c r="BT91"/>
      <c r="BU91"/>
      <c r="BV91"/>
      <c r="BW91"/>
      <c r="BX91"/>
    </row>
    <row r="92" spans="1:76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/>
      <c r="BQ92"/>
      <c r="BR92"/>
      <c r="BS92"/>
      <c r="BT92"/>
      <c r="BU92"/>
      <c r="BV92"/>
      <c r="BW92"/>
      <c r="BX92"/>
    </row>
    <row r="93" spans="1:76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/>
      <c r="BQ93"/>
      <c r="BR93"/>
      <c r="BS93"/>
      <c r="BT93"/>
      <c r="BU93"/>
      <c r="BV93"/>
      <c r="BW93"/>
      <c r="BX93"/>
    </row>
    <row r="94" spans="1:76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/>
      <c r="BQ94"/>
      <c r="BR94"/>
      <c r="BS94"/>
      <c r="BT94"/>
      <c r="BU94"/>
      <c r="BV94"/>
      <c r="BW94"/>
      <c r="BX94"/>
    </row>
    <row r="95" spans="1:76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/>
      <c r="BQ95"/>
      <c r="BR95"/>
      <c r="BS95"/>
      <c r="BT95"/>
      <c r="BU95"/>
      <c r="BV95"/>
      <c r="BW95"/>
      <c r="BX95"/>
    </row>
    <row r="96" spans="1:76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/>
      <c r="BQ96"/>
      <c r="BR96"/>
      <c r="BS96"/>
      <c r="BT96"/>
      <c r="BU96"/>
      <c r="BV96"/>
      <c r="BW96"/>
      <c r="BX96"/>
    </row>
    <row r="97" spans="1:76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/>
      <c r="BQ97"/>
      <c r="BR97"/>
      <c r="BS97"/>
      <c r="BT97"/>
      <c r="BU97"/>
      <c r="BV97"/>
      <c r="BW97"/>
      <c r="BX97"/>
    </row>
    <row r="98" spans="1:76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/>
      <c r="BQ98"/>
      <c r="BR98"/>
      <c r="BS98"/>
      <c r="BT98"/>
      <c r="BU98"/>
      <c r="BV98"/>
      <c r="BW98"/>
      <c r="BX98"/>
    </row>
    <row r="99" spans="1:76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/>
      <c r="BQ99"/>
      <c r="BR99"/>
      <c r="BS99"/>
      <c r="BT99"/>
      <c r="BU99"/>
      <c r="BV99"/>
      <c r="BW99"/>
      <c r="BX99"/>
    </row>
    <row r="100" spans="1:76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/>
      <c r="BQ100"/>
      <c r="BR100"/>
      <c r="BS100"/>
      <c r="BT100"/>
      <c r="BU100"/>
      <c r="BV100"/>
      <c r="BW100"/>
      <c r="BX100"/>
    </row>
    <row r="101" spans="1:76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/>
      <c r="BQ101"/>
      <c r="BR101"/>
      <c r="BS101"/>
      <c r="BT101"/>
      <c r="BU101"/>
      <c r="BV101"/>
      <c r="BW101"/>
      <c r="BX101"/>
    </row>
    <row r="102" spans="1:76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/>
      <c r="BQ102"/>
      <c r="BR102"/>
      <c r="BS102"/>
      <c r="BT102"/>
      <c r="BU102"/>
      <c r="BV102"/>
      <c r="BW102"/>
      <c r="BX102"/>
    </row>
    <row r="103" spans="1:76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/>
      <c r="BQ103"/>
      <c r="BR103"/>
      <c r="BS103"/>
      <c r="BT103"/>
      <c r="BU103"/>
      <c r="BV103"/>
      <c r="BW103"/>
      <c r="BX103"/>
    </row>
    <row r="104" spans="1:76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/>
      <c r="BQ104"/>
      <c r="BR104"/>
      <c r="BS104"/>
      <c r="BT104"/>
      <c r="BU104"/>
      <c r="BV104"/>
      <c r="BW104"/>
      <c r="BX104"/>
    </row>
    <row r="105" spans="1:76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/>
      <c r="BQ105"/>
      <c r="BR105"/>
      <c r="BS105"/>
      <c r="BT105"/>
      <c r="BU105"/>
      <c r="BV105"/>
      <c r="BW105"/>
      <c r="BX105"/>
    </row>
    <row r="106" spans="1:76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/>
      <c r="BQ106"/>
      <c r="BR106"/>
      <c r="BS106"/>
      <c r="BT106"/>
      <c r="BU106"/>
      <c r="BV106"/>
      <c r="BW106"/>
      <c r="BX106"/>
    </row>
    <row r="107" spans="1:76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  <c r="BM107" s="54"/>
      <c r="BN107" s="54"/>
      <c r="BO107" s="54"/>
      <c r="BP107"/>
      <c r="BQ107"/>
      <c r="BR107"/>
      <c r="BS107"/>
      <c r="BT107"/>
      <c r="BU107"/>
      <c r="BV107"/>
      <c r="BW107"/>
      <c r="BX107"/>
    </row>
    <row r="108" spans="1:76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/>
      <c r="BQ108"/>
      <c r="BR108"/>
      <c r="BS108"/>
      <c r="BT108"/>
      <c r="BU108"/>
      <c r="BV108"/>
      <c r="BW108"/>
      <c r="BX108"/>
    </row>
    <row r="109" spans="1:76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/>
      <c r="BQ109"/>
      <c r="BR109"/>
      <c r="BS109"/>
      <c r="BT109"/>
      <c r="BU109"/>
      <c r="BV109"/>
      <c r="BW109"/>
      <c r="BX109"/>
    </row>
    <row r="110" spans="1:76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/>
      <c r="BQ110"/>
      <c r="BR110"/>
      <c r="BS110"/>
      <c r="BT110"/>
      <c r="BU110"/>
      <c r="BV110"/>
      <c r="BW110"/>
      <c r="BX110"/>
    </row>
    <row r="111" spans="1:76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/>
      <c r="BQ111"/>
      <c r="BR111"/>
      <c r="BS111"/>
      <c r="BT111"/>
      <c r="BU111"/>
      <c r="BV111"/>
      <c r="BW111"/>
      <c r="BX111"/>
    </row>
    <row r="112" spans="1:76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/>
      <c r="BQ112"/>
      <c r="BR112"/>
      <c r="BS112"/>
      <c r="BT112"/>
      <c r="BU112"/>
      <c r="BV112"/>
      <c r="BW112"/>
      <c r="BX112"/>
    </row>
    <row r="113" spans="1:76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/>
      <c r="BQ113"/>
      <c r="BR113"/>
      <c r="BS113"/>
      <c r="BT113"/>
      <c r="BU113"/>
      <c r="BV113"/>
      <c r="BW113"/>
      <c r="BX113"/>
    </row>
    <row r="114" spans="1:76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/>
      <c r="BQ114"/>
      <c r="BR114"/>
      <c r="BS114"/>
      <c r="BT114"/>
      <c r="BU114"/>
      <c r="BV114"/>
      <c r="BW114"/>
      <c r="BX114"/>
    </row>
    <row r="115" spans="1:76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/>
      <c r="BQ115"/>
      <c r="BR115"/>
      <c r="BS115"/>
      <c r="BT115"/>
      <c r="BU115"/>
      <c r="BV115"/>
      <c r="BW115"/>
      <c r="BX115"/>
    </row>
    <row r="116" spans="1:76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/>
      <c r="BQ116"/>
      <c r="BR116"/>
      <c r="BS116"/>
      <c r="BT116"/>
      <c r="BU116"/>
      <c r="BV116"/>
      <c r="BW116"/>
      <c r="BX116"/>
    </row>
    <row r="117" spans="1:76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/>
      <c r="BQ117"/>
      <c r="BR117"/>
      <c r="BS117"/>
      <c r="BT117"/>
      <c r="BU117"/>
      <c r="BV117"/>
      <c r="BW117"/>
      <c r="BX117"/>
    </row>
    <row r="118" spans="1:76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/>
      <c r="BQ118"/>
      <c r="BR118"/>
      <c r="BS118"/>
      <c r="BT118"/>
      <c r="BU118"/>
      <c r="BV118"/>
      <c r="BW118"/>
      <c r="BX118"/>
    </row>
    <row r="119" spans="1:76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/>
      <c r="BQ119"/>
      <c r="BR119"/>
      <c r="BS119"/>
      <c r="BT119"/>
      <c r="BU119"/>
      <c r="BV119"/>
      <c r="BW119"/>
      <c r="BX119"/>
    </row>
    <row r="120" spans="1:76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/>
      <c r="BQ120"/>
      <c r="BR120"/>
      <c r="BS120"/>
      <c r="BT120"/>
      <c r="BU120"/>
      <c r="BV120"/>
      <c r="BW120"/>
      <c r="BX120"/>
    </row>
    <row r="121" spans="1:7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</row>
    <row r="122" spans="1:76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</row>
    <row r="123" spans="1:76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</row>
    <row r="124" spans="1:76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</row>
    <row r="125" spans="1:76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</row>
    <row r="126" spans="1:76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</row>
    <row r="127" spans="1:76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</row>
    <row r="128" spans="1:76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</row>
    <row r="129" spans="1:76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</row>
    <row r="130" spans="1:76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</row>
    <row r="131" spans="1:76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</row>
    <row r="132" spans="1:76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</row>
    <row r="133" spans="1:76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</row>
    <row r="134" spans="1:76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</row>
    <row r="135" spans="1:76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</row>
    <row r="136" spans="1:76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</row>
    <row r="137" spans="1:76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</row>
    <row r="138" spans="1:76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</row>
    <row r="139" spans="1:76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</row>
    <row r="140" spans="1:76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</row>
    <row r="141" spans="1:76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</row>
    <row r="142" spans="1:76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</row>
    <row r="143" spans="1:76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</row>
    <row r="144" spans="1:76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</row>
    <row r="145" spans="1:76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</row>
    <row r="146" spans="1:76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</row>
    <row r="147" spans="1:76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</row>
    <row r="148" spans="1:76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</row>
    <row r="149" spans="1:76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</row>
    <row r="150" spans="1:76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</row>
    <row r="151" spans="1:76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</row>
    <row r="152" spans="1:76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</row>
    <row r="153" spans="1:76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</row>
    <row r="154" spans="1:76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</row>
    <row r="155" spans="1:76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</row>
    <row r="156" spans="1:76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</row>
    <row r="157" spans="1:76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</row>
    <row r="158" spans="1:76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</row>
    <row r="159" spans="1:76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</row>
    <row r="160" spans="1:76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</row>
    <row r="161" spans="1:76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</row>
    <row r="162" spans="1:76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</row>
    <row r="163" spans="1:76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</row>
    <row r="164" spans="1:76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</row>
    <row r="165" spans="1:76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</row>
    <row r="166" spans="1:76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</row>
    <row r="167" spans="1:76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</row>
    <row r="168" spans="1:76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</row>
    <row r="169" spans="1:76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</row>
    <row r="170" spans="1:76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</row>
    <row r="171" spans="1:76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</row>
    <row r="172" spans="1:76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</row>
    <row r="173" spans="1:76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</row>
    <row r="174" spans="1:76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</row>
    <row r="175" spans="1:76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</row>
    <row r="176" spans="1:76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</row>
    <row r="177" spans="1:76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</row>
    <row r="178" spans="1:76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</row>
    <row r="179" spans="1:76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</row>
    <row r="180" spans="1:76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</row>
    <row r="181" spans="1:76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</row>
    <row r="182" spans="1:76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</row>
    <row r="183" spans="1:76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</row>
    <row r="184" spans="1:76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</row>
    <row r="185" spans="1:76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</row>
    <row r="186" spans="1:76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</row>
    <row r="187" spans="1:76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</row>
    <row r="188" spans="1:76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</row>
    <row r="189" spans="1:76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</row>
    <row r="190" spans="1:76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</row>
    <row r="191" spans="1:76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</row>
    <row r="192" spans="1:76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</row>
    <row r="193" spans="1:76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</row>
    <row r="194" spans="1:76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</row>
    <row r="195" spans="1:76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</row>
    <row r="196" spans="1:76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</row>
    <row r="197" spans="1:76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</row>
    <row r="198" spans="1:76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</row>
    <row r="199" spans="1:76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</row>
    <row r="200" spans="1:76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</row>
    <row r="201" spans="1:76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</row>
    <row r="202" spans="1:76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</row>
    <row r="203" spans="1:76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</row>
    <row r="204" spans="1:76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</row>
    <row r="205" spans="1:76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</row>
    <row r="206" spans="1:76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</row>
    <row r="207" spans="1:76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</row>
    <row r="208" spans="1:76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</row>
    <row r="209" spans="1:76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</row>
    <row r="210" spans="1:76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</row>
    <row r="211" spans="1:76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</row>
    <row r="212" spans="1:76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</row>
    <row r="213" spans="1:76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</row>
    <row r="214" spans="1:76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</row>
    <row r="215" spans="1:76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</row>
    <row r="216" spans="1:76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</row>
    <row r="217" spans="1:76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</row>
    <row r="218" spans="1:76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</row>
    <row r="219" spans="1:76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</row>
    <row r="220" spans="1:76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</row>
    <row r="221" spans="1:76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</row>
    <row r="222" spans="1:76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</row>
    <row r="223" spans="1:76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</row>
    <row r="224" spans="1:76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</row>
    <row r="225" spans="1:76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</row>
    <row r="226" spans="1:76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</row>
    <row r="227" spans="1:76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</row>
    <row r="228" spans="1:76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</row>
    <row r="229" spans="1:76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</row>
    <row r="230" spans="1:76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</row>
    <row r="231" spans="1:76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</row>
    <row r="232" spans="1:76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</row>
    <row r="233" spans="1:76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</row>
    <row r="234" spans="1:76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</row>
    <row r="235" spans="1:76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</row>
    <row r="236" spans="1:76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</row>
    <row r="237" spans="1:76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</row>
    <row r="238" spans="1:76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</row>
    <row r="239" spans="1:76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</row>
    <row r="240" spans="1:76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</row>
    <row r="241" spans="1:76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</row>
    <row r="242" spans="1:76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</row>
    <row r="243" spans="1:76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</row>
    <row r="244" spans="1:76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</row>
    <row r="245" spans="1:76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</row>
    <row r="246" spans="1:76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</row>
    <row r="247" spans="1:76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</row>
    <row r="248" spans="1:76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</row>
    <row r="249" spans="1:76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</row>
    <row r="250" spans="1:76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</row>
    <row r="251" spans="1:76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</row>
    <row r="252" spans="1:76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</row>
    <row r="253" spans="1:76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</row>
    <row r="254" spans="1:76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</row>
    <row r="255" spans="1:76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</row>
    <row r="256" spans="1:76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</row>
    <row r="257" spans="1:76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</row>
    <row r="258" spans="1:76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</row>
    <row r="259" spans="1:76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</row>
    <row r="260" spans="1:76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</row>
    <row r="261" spans="1:76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</row>
    <row r="262" spans="1:76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</row>
    <row r="263" spans="1:76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</row>
    <row r="264" spans="1:76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</row>
    <row r="265" spans="1:76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</row>
    <row r="266" spans="1:76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</row>
    <row r="267" spans="1:76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</row>
    <row r="268" spans="1:76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</row>
    <row r="269" spans="1:76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</row>
    <row r="270" spans="1:76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</row>
    <row r="271" spans="1:76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</row>
    <row r="272" spans="1:76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</row>
    <row r="273" spans="1:76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</row>
    <row r="274" spans="1:76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</row>
    <row r="275" spans="1:76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</row>
    <row r="276" spans="1:76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</row>
    <row r="277" spans="1:76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</row>
    <row r="278" spans="1:76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</row>
    <row r="279" spans="1:76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</row>
    <row r="280" spans="1:76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</row>
    <row r="281" spans="1:76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</row>
    <row r="282" spans="1:76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</row>
    <row r="283" spans="1:76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</row>
    <row r="284" spans="1:76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</row>
    <row r="285" spans="1:76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</row>
    <row r="286" spans="1:76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</row>
    <row r="287" spans="1:76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</row>
    <row r="288" spans="1:76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</row>
    <row r="289" spans="1:76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</row>
    <row r="290" spans="1:76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</row>
    <row r="291" spans="1:76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</row>
    <row r="292" spans="1:76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</row>
    <row r="293" spans="1:76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</row>
    <row r="294" spans="1:76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</row>
    <row r="295" spans="1:76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</row>
    <row r="296" spans="1:76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</row>
    <row r="297" spans="1:76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</row>
    <row r="298" spans="1:76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</row>
    <row r="299" spans="1:76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</row>
    <row r="300" spans="1:76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</row>
    <row r="301" spans="1:76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</row>
    <row r="302" spans="1:76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</row>
    <row r="303" spans="1:76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</row>
    <row r="304" spans="1:76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</row>
    <row r="305" spans="1:76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</row>
    <row r="306" spans="1:76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</row>
    <row r="307" spans="1:76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</row>
    <row r="308" spans="1:76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</row>
    <row r="309" spans="1:76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</row>
    <row r="310" spans="1:76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</row>
    <row r="311" spans="1:76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</row>
    <row r="312" spans="1:76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</row>
    <row r="313" spans="1:76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</row>
    <row r="314" spans="1:76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</row>
    <row r="315" spans="1:76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</row>
    <row r="316" spans="1:76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</row>
    <row r="317" spans="1:76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</row>
    <row r="318" spans="1:76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</row>
    <row r="319" spans="1:76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</row>
    <row r="320" spans="1:76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</row>
    <row r="321" spans="1:76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</row>
    <row r="322" spans="1:76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</row>
    <row r="323" spans="1:76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</row>
    <row r="324" spans="1:76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</row>
    <row r="325" spans="1:76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</row>
    <row r="326" spans="1:76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</row>
    <row r="327" spans="1:76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</row>
    <row r="328" spans="1:76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</row>
    <row r="329" spans="1:76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</row>
    <row r="330" spans="1:76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</row>
    <row r="331" spans="1:76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</row>
    <row r="332" spans="1:76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</row>
    <row r="333" spans="1:76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</row>
    <row r="334" spans="1:76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</row>
    <row r="335" spans="1:76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</row>
    <row r="336" spans="1:76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</row>
    <row r="337" spans="1:76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</row>
    <row r="338" spans="1:76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</row>
    <row r="339" spans="1:76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</row>
    <row r="340" spans="1:76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</row>
    <row r="341" spans="1:76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</row>
    <row r="342" spans="1:76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</row>
    <row r="343" spans="1:76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</row>
    <row r="344" spans="1:76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</row>
    <row r="345" spans="1:76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</row>
    <row r="346" spans="1:76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</row>
    <row r="347" spans="1:76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</row>
    <row r="348" spans="1:76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</row>
    <row r="349" spans="1:76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</row>
    <row r="350" spans="1:76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</row>
    <row r="351" spans="1:76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</row>
    <row r="352" spans="1:76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</row>
    <row r="353" spans="1:76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</row>
    <row r="354" spans="1:76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</row>
    <row r="355" spans="1:76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</row>
    <row r="356" spans="1:76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</row>
    <row r="357" spans="1:76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</row>
    <row r="358" spans="1:76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</row>
    <row r="359" spans="1:76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</row>
    <row r="360" spans="1:76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</row>
    <row r="361" spans="1:76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</row>
    <row r="362" spans="1:76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</row>
    <row r="363" spans="1:76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</row>
    <row r="364" spans="1:76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</row>
    <row r="365" spans="1:76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</row>
    <row r="366" spans="1:76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</row>
    <row r="367" spans="1:76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</row>
    <row r="368" spans="1:76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</row>
    <row r="369" spans="1:76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</row>
    <row r="370" spans="1:76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</row>
    <row r="371" spans="1:76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</row>
    <row r="372" spans="1:76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</row>
    <row r="373" spans="1:76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</row>
    <row r="374" spans="1:76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</row>
    <row r="375" spans="1:76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</row>
    <row r="376" spans="1:76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</row>
    <row r="377" spans="1:76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</row>
    <row r="378" spans="1:76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</row>
    <row r="379" spans="1:76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</row>
    <row r="380" spans="1:76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</row>
    <row r="381" spans="1:76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</row>
    <row r="382" spans="1:76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</row>
    <row r="383" spans="1:76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</row>
    <row r="384" spans="1:76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</row>
    <row r="385" spans="1:76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</row>
    <row r="386" spans="1:76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</row>
    <row r="387" spans="1:76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</row>
    <row r="388" spans="1:76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</row>
    <row r="389" spans="1:76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</row>
    <row r="390" spans="1:76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</row>
    <row r="391" spans="1:76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</row>
    <row r="392" spans="1:76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</row>
    <row r="393" spans="1:76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</row>
    <row r="394" spans="1:76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</row>
    <row r="395" spans="1:76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</row>
    <row r="396" spans="1:76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</row>
    <row r="397" spans="1:76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</row>
    <row r="398" spans="1:76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</row>
    <row r="399" spans="1:76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</row>
    <row r="400" spans="1:76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</row>
    <row r="401" spans="1:76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</row>
    <row r="402" spans="1:76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</row>
    <row r="403" spans="1:76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</row>
    <row r="404" spans="1:76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</row>
    <row r="405" spans="1:76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</row>
    <row r="406" spans="1:76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</row>
    <row r="407" spans="1:76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</row>
    <row r="408" spans="1:76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</row>
    <row r="409" spans="1:76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</row>
    <row r="410" spans="1:76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</row>
    <row r="411" spans="1:76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</row>
    <row r="412" spans="1:76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</row>
    <row r="413" spans="1:76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</row>
    <row r="414" spans="1:76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</row>
    <row r="415" spans="1:76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</row>
    <row r="416" spans="1:76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</row>
    <row r="417" spans="1:76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</row>
    <row r="418" spans="1:76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</row>
    <row r="419" spans="1:76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</row>
    <row r="420" spans="1:76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</row>
    <row r="421" spans="1:76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</row>
    <row r="422" spans="1:76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</row>
    <row r="423" spans="1:76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</row>
    <row r="424" spans="1:76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</row>
    <row r="425" spans="1:76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</row>
    <row r="426" spans="1:76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</row>
    <row r="427" spans="1:76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</row>
    <row r="428" spans="1:76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</row>
    <row r="429" spans="1:76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</row>
    <row r="430" spans="1:76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</row>
    <row r="431" spans="1:76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</row>
    <row r="432" spans="1:76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</row>
    <row r="433" spans="1:76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</row>
    <row r="434" spans="1:76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</row>
    <row r="435" spans="1:76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</row>
    <row r="436" spans="1:76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</row>
    <row r="437" spans="1:76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</row>
    <row r="438" spans="1:76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</row>
    <row r="439" spans="1:76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</row>
    <row r="440" spans="1:76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</row>
    <row r="441" spans="1:76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</row>
    <row r="442" spans="1:76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</row>
    <row r="443" spans="1:76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</row>
    <row r="444" spans="1:76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</row>
    <row r="445" spans="1:76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</row>
    <row r="446" spans="1:76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</row>
    <row r="447" spans="1:76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</row>
    <row r="448" spans="1:76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</row>
    <row r="449" spans="1:76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</row>
    <row r="450" spans="1:76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</row>
    <row r="451" spans="1:76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</row>
    <row r="452" spans="1:76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</row>
    <row r="453" spans="1:76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</row>
    <row r="454" spans="1:76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</row>
    <row r="455" spans="1:76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</row>
    <row r="456" spans="1:76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</row>
    <row r="457" spans="1:76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</row>
    <row r="458" spans="1:76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</row>
    <row r="459" spans="1:76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</row>
    <row r="460" spans="1:76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</row>
    <row r="461" spans="1:76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</row>
    <row r="462" spans="1:76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</row>
    <row r="463" spans="1:76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</row>
    <row r="464" spans="1:76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</row>
    <row r="465" spans="1:76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</row>
    <row r="466" spans="1:76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</row>
    <row r="467" spans="1:76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</row>
    <row r="468" spans="1:76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</row>
    <row r="469" spans="1:76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</row>
    <row r="470" spans="1:76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</row>
    <row r="471" spans="1:76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</row>
    <row r="472" spans="1:76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</row>
    <row r="473" spans="1:76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</row>
    <row r="474" spans="1:76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</row>
  </sheetData>
  <mergeCells count="358">
    <mergeCell ref="F22:G23"/>
    <mergeCell ref="F24:G24"/>
    <mergeCell ref="H22:I23"/>
    <mergeCell ref="H24:I24"/>
    <mergeCell ref="F25:G26"/>
    <mergeCell ref="F27:G27"/>
    <mergeCell ref="H25:I26"/>
    <mergeCell ref="H27:I27"/>
    <mergeCell ref="F28:G29"/>
    <mergeCell ref="H28:I29"/>
    <mergeCell ref="F30:G30"/>
    <mergeCell ref="H30:I30"/>
    <mergeCell ref="T3:V3"/>
    <mergeCell ref="W3:Z3"/>
    <mergeCell ref="K53:N53"/>
    <mergeCell ref="M58:N58"/>
    <mergeCell ref="M57:N57"/>
    <mergeCell ref="M56:N56"/>
    <mergeCell ref="M55:N55"/>
    <mergeCell ref="M54:N54"/>
    <mergeCell ref="K58:L58"/>
    <mergeCell ref="K57:L57"/>
    <mergeCell ref="K56:L56"/>
    <mergeCell ref="K52:AN52"/>
    <mergeCell ref="O53:AA54"/>
    <mergeCell ref="AB53:AN54"/>
    <mergeCell ref="K55:L55"/>
    <mergeCell ref="K54:L54"/>
    <mergeCell ref="K36:L36"/>
    <mergeCell ref="M36:W36"/>
    <mergeCell ref="X36:AA36"/>
    <mergeCell ref="AB36:AC36"/>
    <mergeCell ref="AD36:AF36"/>
    <mergeCell ref="K29:L29"/>
    <mergeCell ref="A47:J47"/>
    <mergeCell ref="A58:E58"/>
    <mergeCell ref="A56:E56"/>
    <mergeCell ref="A57:E57"/>
    <mergeCell ref="A54:E54"/>
    <mergeCell ref="A55:E55"/>
    <mergeCell ref="A52:E52"/>
    <mergeCell ref="A53:E53"/>
    <mergeCell ref="A51:E51"/>
    <mergeCell ref="A50:E50"/>
    <mergeCell ref="F58:I58"/>
    <mergeCell ref="F57:I57"/>
    <mergeCell ref="F56:I56"/>
    <mergeCell ref="F55:I55"/>
    <mergeCell ref="F54:I54"/>
    <mergeCell ref="F53:I53"/>
    <mergeCell ref="F52:I52"/>
    <mergeCell ref="F51:I51"/>
    <mergeCell ref="F50:I50"/>
    <mergeCell ref="F49:I49"/>
    <mergeCell ref="F48:I48"/>
    <mergeCell ref="A48:E48"/>
    <mergeCell ref="A49:E49"/>
    <mergeCell ref="A34:I34"/>
    <mergeCell ref="AG31:AP31"/>
    <mergeCell ref="AD32:AF32"/>
    <mergeCell ref="AG32:AP32"/>
    <mergeCell ref="K32:L32"/>
    <mergeCell ref="M32:W32"/>
    <mergeCell ref="AB32:AC32"/>
    <mergeCell ref="X32:AA32"/>
    <mergeCell ref="K35:L35"/>
    <mergeCell ref="M35:W35"/>
    <mergeCell ref="X35:AA35"/>
    <mergeCell ref="AB35:AC35"/>
    <mergeCell ref="AD35:AF35"/>
    <mergeCell ref="AG35:AP35"/>
    <mergeCell ref="X33:AA33"/>
    <mergeCell ref="AB33:AC33"/>
    <mergeCell ref="AD33:AF33"/>
    <mergeCell ref="AG33:AP33"/>
    <mergeCell ref="K34:L34"/>
    <mergeCell ref="M34:W34"/>
    <mergeCell ref="X34:AA34"/>
    <mergeCell ref="AB34:AC34"/>
    <mergeCell ref="AD34:AF34"/>
    <mergeCell ref="AG34:AP34"/>
    <mergeCell ref="M30:W30"/>
    <mergeCell ref="AD29:AF29"/>
    <mergeCell ref="AG29:AP29"/>
    <mergeCell ref="AD30:AF30"/>
    <mergeCell ref="AG30:AP30"/>
    <mergeCell ref="K31:L31"/>
    <mergeCell ref="M31:W31"/>
    <mergeCell ref="AD31:AF31"/>
    <mergeCell ref="AB31:AC31"/>
    <mergeCell ref="AB30:AC30"/>
    <mergeCell ref="AB29:AC29"/>
    <mergeCell ref="X31:AA31"/>
    <mergeCell ref="X30:AA30"/>
    <mergeCell ref="X29:AA29"/>
    <mergeCell ref="M29:W29"/>
    <mergeCell ref="K30:L30"/>
    <mergeCell ref="K28:L28"/>
    <mergeCell ref="M28:W28"/>
    <mergeCell ref="AD27:AF27"/>
    <mergeCell ref="AB28:AC28"/>
    <mergeCell ref="AB27:AC27"/>
    <mergeCell ref="AB26:AC26"/>
    <mergeCell ref="AB25:AC25"/>
    <mergeCell ref="X28:AA28"/>
    <mergeCell ref="X27:AA27"/>
    <mergeCell ref="X26:AA26"/>
    <mergeCell ref="X25:AA25"/>
    <mergeCell ref="M25:W25"/>
    <mergeCell ref="K26:L26"/>
    <mergeCell ref="M26:W26"/>
    <mergeCell ref="AD25:AF25"/>
    <mergeCell ref="AG25:AP25"/>
    <mergeCell ref="AD26:AF26"/>
    <mergeCell ref="AG26:AP26"/>
    <mergeCell ref="K27:L27"/>
    <mergeCell ref="M27:W27"/>
    <mergeCell ref="A21:I21"/>
    <mergeCell ref="K23:L23"/>
    <mergeCell ref="M23:W23"/>
    <mergeCell ref="K24:L24"/>
    <mergeCell ref="M24:W24"/>
    <mergeCell ref="AD23:AF23"/>
    <mergeCell ref="AB23:AC23"/>
    <mergeCell ref="X23:AA23"/>
    <mergeCell ref="AB24:AC24"/>
    <mergeCell ref="X24:AA24"/>
    <mergeCell ref="K21:L21"/>
    <mergeCell ref="M21:W21"/>
    <mergeCell ref="X21:AA21"/>
    <mergeCell ref="AB21:AC21"/>
    <mergeCell ref="AD21:AF21"/>
    <mergeCell ref="K22:L22"/>
    <mergeCell ref="M22:W22"/>
    <mergeCell ref="X22:AA22"/>
    <mergeCell ref="AB22:AC22"/>
    <mergeCell ref="AD22:AF22"/>
    <mergeCell ref="AD18:AF18"/>
    <mergeCell ref="AG18:AP18"/>
    <mergeCell ref="AB18:AC18"/>
    <mergeCell ref="X18:AA18"/>
    <mergeCell ref="AD16:AF16"/>
    <mergeCell ref="AD17:AF17"/>
    <mergeCell ref="AG16:AP16"/>
    <mergeCell ref="AG17:AP17"/>
    <mergeCell ref="AB17:AC17"/>
    <mergeCell ref="AB16:AC16"/>
    <mergeCell ref="X17:AA17"/>
    <mergeCell ref="X16:AA16"/>
    <mergeCell ref="A17:D17"/>
    <mergeCell ref="E17:F17"/>
    <mergeCell ref="K17:L17"/>
    <mergeCell ref="M17:W17"/>
    <mergeCell ref="A16:C16"/>
    <mergeCell ref="E16:F16"/>
    <mergeCell ref="K16:L16"/>
    <mergeCell ref="M16:W16"/>
    <mergeCell ref="K18:L18"/>
    <mergeCell ref="M18:W18"/>
    <mergeCell ref="B18:C18"/>
    <mergeCell ref="D18:E18"/>
    <mergeCell ref="F18:G18"/>
    <mergeCell ref="H18:I19"/>
    <mergeCell ref="A14:C14"/>
    <mergeCell ref="E14:F14"/>
    <mergeCell ref="K14:L14"/>
    <mergeCell ref="M14:W14"/>
    <mergeCell ref="AD14:AF14"/>
    <mergeCell ref="AD15:AF15"/>
    <mergeCell ref="AG14:AP14"/>
    <mergeCell ref="AG15:AP15"/>
    <mergeCell ref="AB15:AC15"/>
    <mergeCell ref="AB14:AC14"/>
    <mergeCell ref="X15:AA15"/>
    <mergeCell ref="X14:AA14"/>
    <mergeCell ref="A15:C15"/>
    <mergeCell ref="E15:F15"/>
    <mergeCell ref="K15:L15"/>
    <mergeCell ref="M15:W15"/>
    <mergeCell ref="A11:C11"/>
    <mergeCell ref="E11:F11"/>
    <mergeCell ref="K11:L11"/>
    <mergeCell ref="M11:W11"/>
    <mergeCell ref="A13:C13"/>
    <mergeCell ref="E13:F13"/>
    <mergeCell ref="K13:L13"/>
    <mergeCell ref="M13:W13"/>
    <mergeCell ref="A12:C12"/>
    <mergeCell ref="E12:F12"/>
    <mergeCell ref="K12:L12"/>
    <mergeCell ref="M12:W12"/>
    <mergeCell ref="AD11:AF11"/>
    <mergeCell ref="AG10:AP10"/>
    <mergeCell ref="AG11:AP11"/>
    <mergeCell ref="AB10:AC10"/>
    <mergeCell ref="AB11:AC11"/>
    <mergeCell ref="X11:AA11"/>
    <mergeCell ref="X10:AA10"/>
    <mergeCell ref="AD12:AF12"/>
    <mergeCell ref="AD13:AF13"/>
    <mergeCell ref="AG12:AP12"/>
    <mergeCell ref="AG13:AP13"/>
    <mergeCell ref="AB13:AC13"/>
    <mergeCell ref="AB12:AC12"/>
    <mergeCell ref="X13:AA13"/>
    <mergeCell ref="X12:AA12"/>
    <mergeCell ref="AG8:AP8"/>
    <mergeCell ref="AG9:AP9"/>
    <mergeCell ref="AB8:AC8"/>
    <mergeCell ref="AB9:AC9"/>
    <mergeCell ref="X9:AA9"/>
    <mergeCell ref="X8:AA8"/>
    <mergeCell ref="A10:C10"/>
    <mergeCell ref="E10:F10"/>
    <mergeCell ref="K10:L10"/>
    <mergeCell ref="M10:W10"/>
    <mergeCell ref="AD10:AF10"/>
    <mergeCell ref="F5:G5"/>
    <mergeCell ref="T4:V4"/>
    <mergeCell ref="W4:Z4"/>
    <mergeCell ref="AC4:AE4"/>
    <mergeCell ref="AF4:AJ4"/>
    <mergeCell ref="AC1:AE1"/>
    <mergeCell ref="AF1:AP1"/>
    <mergeCell ref="T1:V1"/>
    <mergeCell ref="W1:Z1"/>
    <mergeCell ref="AC2:AE2"/>
    <mergeCell ref="AF2:AP2"/>
    <mergeCell ref="AK4:AL4"/>
    <mergeCell ref="AM4:AP4"/>
    <mergeCell ref="B3:H4"/>
    <mergeCell ref="T5:V5"/>
    <mergeCell ref="W5:Z5"/>
    <mergeCell ref="AC5:AE5"/>
    <mergeCell ref="AF5:AJ5"/>
    <mergeCell ref="AK5:AL5"/>
    <mergeCell ref="AM5:AP5"/>
    <mergeCell ref="T2:V2"/>
    <mergeCell ref="W2:Z2"/>
    <mergeCell ref="AC3:AE3"/>
    <mergeCell ref="AF3:AP3"/>
    <mergeCell ref="AA40:AP40"/>
    <mergeCell ref="AA39:AP39"/>
    <mergeCell ref="AG36:AP36"/>
    <mergeCell ref="AG22:AP22"/>
    <mergeCell ref="K19:L19"/>
    <mergeCell ref="M19:W19"/>
    <mergeCell ref="X19:AA19"/>
    <mergeCell ref="AB19:AC19"/>
    <mergeCell ref="AD19:AF19"/>
    <mergeCell ref="AG19:AP19"/>
    <mergeCell ref="K20:L20"/>
    <mergeCell ref="M20:W20"/>
    <mergeCell ref="X20:AA20"/>
    <mergeCell ref="AB20:AC20"/>
    <mergeCell ref="AD20:AF20"/>
    <mergeCell ref="AG20:AP20"/>
    <mergeCell ref="AG23:AP23"/>
    <mergeCell ref="AD24:AF24"/>
    <mergeCell ref="AG24:AP24"/>
    <mergeCell ref="AG21:AP21"/>
    <mergeCell ref="AG27:AP27"/>
    <mergeCell ref="AD28:AF28"/>
    <mergeCell ref="AG28:AP28"/>
    <mergeCell ref="K25:L25"/>
    <mergeCell ref="A7:I7"/>
    <mergeCell ref="F19:G19"/>
    <mergeCell ref="B19:C19"/>
    <mergeCell ref="D19:E19"/>
    <mergeCell ref="A18:A19"/>
    <mergeCell ref="K39:L39"/>
    <mergeCell ref="M39:P39"/>
    <mergeCell ref="K33:L33"/>
    <mergeCell ref="M33:W33"/>
    <mergeCell ref="Q39:S39"/>
    <mergeCell ref="T39:V39"/>
    <mergeCell ref="W39:Y39"/>
    <mergeCell ref="K9:L9"/>
    <mergeCell ref="M9:W9"/>
    <mergeCell ref="K7:AN7"/>
    <mergeCell ref="A8:C9"/>
    <mergeCell ref="D8:D9"/>
    <mergeCell ref="E8:F9"/>
    <mergeCell ref="G8:I8"/>
    <mergeCell ref="K8:L8"/>
    <mergeCell ref="M8:W8"/>
    <mergeCell ref="AD9:AF9"/>
    <mergeCell ref="AD8:AF8"/>
    <mergeCell ref="AA38:AP38"/>
    <mergeCell ref="K40:L40"/>
    <mergeCell ref="M40:P40"/>
    <mergeCell ref="W40:Y40"/>
    <mergeCell ref="T40:V40"/>
    <mergeCell ref="W41:Y41"/>
    <mergeCell ref="T41:V41"/>
    <mergeCell ref="Q41:S41"/>
    <mergeCell ref="M41:P41"/>
    <mergeCell ref="K41:L41"/>
    <mergeCell ref="Q40:S40"/>
    <mergeCell ref="K45:L45"/>
    <mergeCell ref="M45:P45"/>
    <mergeCell ref="Q45:S45"/>
    <mergeCell ref="T45:V45"/>
    <mergeCell ref="W45:Y45"/>
    <mergeCell ref="K42:L42"/>
    <mergeCell ref="M42:P42"/>
    <mergeCell ref="Q42:S42"/>
    <mergeCell ref="T42:V42"/>
    <mergeCell ref="W42:Y42"/>
    <mergeCell ref="K43:L43"/>
    <mergeCell ref="M43:P43"/>
    <mergeCell ref="Q43:S43"/>
    <mergeCell ref="T43:V43"/>
    <mergeCell ref="W43:Y43"/>
    <mergeCell ref="AA50:AP50"/>
    <mergeCell ref="K48:L48"/>
    <mergeCell ref="M48:P48"/>
    <mergeCell ref="Q48:S48"/>
    <mergeCell ref="T48:V48"/>
    <mergeCell ref="W48:Y48"/>
    <mergeCell ref="K49:L49"/>
    <mergeCell ref="M49:P49"/>
    <mergeCell ref="Q49:S49"/>
    <mergeCell ref="T49:V49"/>
    <mergeCell ref="W49:Y49"/>
    <mergeCell ref="AA44:AP44"/>
    <mergeCell ref="AA43:AP43"/>
    <mergeCell ref="AA42:AP42"/>
    <mergeCell ref="AA41:AP41"/>
    <mergeCell ref="AA45:AP45"/>
    <mergeCell ref="AA46:AP46"/>
    <mergeCell ref="AA47:AP47"/>
    <mergeCell ref="AA48:AP48"/>
    <mergeCell ref="AA49:AP49"/>
    <mergeCell ref="J27:J31"/>
    <mergeCell ref="J13:J17"/>
    <mergeCell ref="A32:C32"/>
    <mergeCell ref="K38:Y38"/>
    <mergeCell ref="W50:Y50"/>
    <mergeCell ref="T50:V50"/>
    <mergeCell ref="Q50:S50"/>
    <mergeCell ref="M50:P50"/>
    <mergeCell ref="K50:L50"/>
    <mergeCell ref="K46:L46"/>
    <mergeCell ref="M46:P46"/>
    <mergeCell ref="Q46:S46"/>
    <mergeCell ref="T46:V46"/>
    <mergeCell ref="W46:Y46"/>
    <mergeCell ref="K47:L47"/>
    <mergeCell ref="M47:P47"/>
    <mergeCell ref="Q47:S47"/>
    <mergeCell ref="T47:V47"/>
    <mergeCell ref="W47:Y47"/>
    <mergeCell ref="K44:L44"/>
    <mergeCell ref="M44:P44"/>
    <mergeCell ref="Q44:S44"/>
    <mergeCell ref="T44:V44"/>
    <mergeCell ref="W44:Y44"/>
  </mergeCells>
  <pageMargins left="0.5" right="0.5" top="0.25" bottom="0.25" header="0.3" footer="0.3"/>
  <pageSetup paperSize="1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I5" sqref="I5"/>
    </sheetView>
  </sheetViews>
  <sheetFormatPr defaultColWidth="9.109375" defaultRowHeight="14.4" x14ac:dyDescent="0.3"/>
  <cols>
    <col min="1" max="16384" width="9.109375" style="1"/>
  </cols>
  <sheetData>
    <row r="1" spans="1:3" ht="15.6" thickTop="1" thickBot="1" x14ac:dyDescent="0.35">
      <c r="A1" s="57" t="s">
        <v>52</v>
      </c>
      <c r="B1" s="59"/>
      <c r="C1" s="60"/>
    </row>
    <row r="2" spans="1:3" ht="15" thickTop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"/>
  <sheetViews>
    <sheetView workbookViewId="0">
      <selection activeCell="J24" sqref="J24"/>
    </sheetView>
  </sheetViews>
  <sheetFormatPr defaultRowHeight="14.4" x14ac:dyDescent="0.3"/>
  <sheetData>
    <row r="1" spans="1:8" ht="15.6" thickTop="1" thickBot="1" x14ac:dyDescent="0.35">
      <c r="A1" s="58" t="s">
        <v>36</v>
      </c>
      <c r="B1" s="59"/>
      <c r="C1" s="59"/>
      <c r="D1" s="59"/>
      <c r="E1" s="59"/>
      <c r="F1" s="59"/>
      <c r="G1" s="59"/>
      <c r="H1" s="60"/>
    </row>
    <row r="2" spans="1:8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activeCell="I18" sqref="I18"/>
    </sheetView>
  </sheetViews>
  <sheetFormatPr defaultColWidth="9.109375" defaultRowHeight="14.4" x14ac:dyDescent="0.3"/>
  <cols>
    <col min="1" max="3" width="9.109375" style="1"/>
    <col min="4" max="4" width="13.6640625" style="1" bestFit="1" customWidth="1"/>
    <col min="5" max="5" width="12.44140625" style="1" bestFit="1" customWidth="1"/>
    <col min="6" max="8" width="9.109375" style="1"/>
    <col min="9" max="9" width="20.5546875" style="1" customWidth="1"/>
    <col min="10" max="10" width="9.109375" style="1"/>
    <col min="11" max="11" width="9.5546875" style="1" customWidth="1"/>
    <col min="12" max="16384" width="9.109375" style="1"/>
  </cols>
  <sheetData>
    <row r="1" spans="1:12" x14ac:dyDescent="0.3">
      <c r="A1" s="72" t="s">
        <v>51</v>
      </c>
      <c r="I1" s="72" t="s">
        <v>50</v>
      </c>
      <c r="K1" s="73" t="s">
        <v>49</v>
      </c>
      <c r="L1" s="73" t="s">
        <v>48</v>
      </c>
    </row>
    <row r="2" spans="1:12" ht="15" thickBot="1" x14ac:dyDescent="0.35">
      <c r="A2" s="72"/>
      <c r="B2" s="1" t="s">
        <v>46</v>
      </c>
      <c r="D2" s="1" t="s">
        <v>47</v>
      </c>
      <c r="E2" s="1" t="s">
        <v>89</v>
      </c>
      <c r="H2" s="69"/>
      <c r="K2" s="1" t="s">
        <v>46</v>
      </c>
      <c r="L2" s="1" t="s">
        <v>46</v>
      </c>
    </row>
    <row r="3" spans="1:12" ht="15.6" thickTop="1" thickBot="1" x14ac:dyDescent="0.35">
      <c r="A3" s="1">
        <v>0</v>
      </c>
      <c r="B3" s="67">
        <f>getRow(A3)</f>
        <v>0</v>
      </c>
      <c r="C3" s="71"/>
      <c r="D3" s="57">
        <f>getNameColumn()</f>
        <v>0</v>
      </c>
      <c r="E3" s="57">
        <f>getFinishDateColumn()</f>
        <v>0</v>
      </c>
      <c r="I3" s="69" t="s">
        <v>45</v>
      </c>
      <c r="J3" s="1">
        <v>0</v>
      </c>
      <c r="K3" s="57" t="e">
        <f t="shared" ref="K3:K12" si="0">GetRowOverdue(J3)</f>
        <v>#VALUE!</v>
      </c>
      <c r="L3" s="57" t="e">
        <f t="shared" ref="L3:L12" si="1">GetRowUpcoming(J3)</f>
        <v>#VALUE!</v>
      </c>
    </row>
    <row r="4" spans="1:12" ht="15.6" thickTop="1" thickBot="1" x14ac:dyDescent="0.35">
      <c r="A4" s="1">
        <v>1</v>
      </c>
      <c r="B4" s="67">
        <f>getRow(A4)</f>
        <v>0</v>
      </c>
      <c r="C4" s="65"/>
      <c r="D4" s="65"/>
      <c r="E4" s="65"/>
      <c r="H4" s="69"/>
      <c r="I4" s="70"/>
      <c r="J4" s="1">
        <v>1</v>
      </c>
      <c r="K4" s="57" t="e">
        <f t="shared" si="0"/>
        <v>#VALUE!</v>
      </c>
      <c r="L4" s="57" t="e">
        <f t="shared" si="1"/>
        <v>#VALUE!</v>
      </c>
    </row>
    <row r="5" spans="1:12" ht="15.6" thickTop="1" thickBot="1" x14ac:dyDescent="0.35">
      <c r="A5" s="1">
        <v>2</v>
      </c>
      <c r="B5" s="67">
        <f>getRow(A5)</f>
        <v>0</v>
      </c>
      <c r="C5" s="65"/>
      <c r="D5" s="65" t="s">
        <v>88</v>
      </c>
      <c r="E5" s="65" t="s">
        <v>90</v>
      </c>
      <c r="H5" s="69"/>
      <c r="I5" s="68"/>
      <c r="J5" s="1">
        <v>2</v>
      </c>
      <c r="K5" s="57" t="e">
        <f t="shared" si="0"/>
        <v>#VALUE!</v>
      </c>
      <c r="L5" s="57" t="e">
        <f t="shared" si="1"/>
        <v>#VALUE!</v>
      </c>
    </row>
    <row r="6" spans="1:12" ht="15.6" thickTop="1" thickBot="1" x14ac:dyDescent="0.35">
      <c r="A6" s="1">
        <v>3</v>
      </c>
      <c r="B6" s="67">
        <f>getRow(A6)</f>
        <v>0</v>
      </c>
      <c r="C6" s="65"/>
      <c r="D6" s="57">
        <f xml:space="preserve"> getPercentColumn()</f>
        <v>0</v>
      </c>
      <c r="E6" s="57">
        <f>getStartColumn()</f>
        <v>0</v>
      </c>
      <c r="I6" s="66"/>
      <c r="J6" s="1">
        <v>3</v>
      </c>
      <c r="K6" s="57" t="e">
        <f t="shared" si="0"/>
        <v>#VALUE!</v>
      </c>
      <c r="L6" s="57" t="e">
        <f t="shared" si="1"/>
        <v>#VALUE!</v>
      </c>
    </row>
    <row r="7" spans="1:12" ht="15.6" thickTop="1" thickBot="1" x14ac:dyDescent="0.35">
      <c r="A7" s="1">
        <v>4</v>
      </c>
      <c r="B7" s="57">
        <f>getRow(A7)</f>
        <v>0</v>
      </c>
      <c r="C7" s="65"/>
      <c r="D7" s="65"/>
      <c r="E7" s="65"/>
      <c r="I7" s="1" t="s">
        <v>44</v>
      </c>
      <c r="J7" s="1">
        <v>4</v>
      </c>
      <c r="K7" s="57" t="e">
        <f t="shared" si="0"/>
        <v>#VALUE!</v>
      </c>
      <c r="L7" s="57" t="e">
        <f t="shared" si="1"/>
        <v>#VALUE!</v>
      </c>
    </row>
    <row r="8" spans="1:12" ht="15.6" thickTop="1" thickBot="1" x14ac:dyDescent="0.35">
      <c r="A8" s="1">
        <v>5</v>
      </c>
      <c r="B8" s="57">
        <f t="shared" ref="B8:B14" si="2">getRow(A8)</f>
        <v>0</v>
      </c>
      <c r="D8" s="1" t="s">
        <v>91</v>
      </c>
      <c r="I8" s="1" t="s">
        <v>43</v>
      </c>
      <c r="J8" s="1">
        <v>5</v>
      </c>
      <c r="K8" s="57" t="e">
        <f t="shared" si="0"/>
        <v>#VALUE!</v>
      </c>
      <c r="L8" s="57" t="e">
        <f t="shared" si="1"/>
        <v>#VALUE!</v>
      </c>
    </row>
    <row r="9" spans="1:12" ht="15.6" thickTop="1" thickBot="1" x14ac:dyDescent="0.35">
      <c r="A9" s="1">
        <v>6</v>
      </c>
      <c r="B9" s="57">
        <f t="shared" si="2"/>
        <v>0</v>
      </c>
      <c r="D9" s="57">
        <f>getDurationColumn()</f>
        <v>0</v>
      </c>
      <c r="I9" s="57">
        <v>1</v>
      </c>
      <c r="J9" s="1">
        <v>6</v>
      </c>
      <c r="K9" s="57" t="e">
        <f t="shared" si="0"/>
        <v>#VALUE!</v>
      </c>
      <c r="L9" s="57" t="e">
        <f t="shared" si="1"/>
        <v>#VALUE!</v>
      </c>
    </row>
    <row r="10" spans="1:12" ht="15.6" thickTop="1" thickBot="1" x14ac:dyDescent="0.35">
      <c r="A10" s="1">
        <v>7</v>
      </c>
      <c r="B10" s="57">
        <f t="shared" si="2"/>
        <v>0</v>
      </c>
      <c r="J10" s="1">
        <v>7</v>
      </c>
      <c r="K10" s="57" t="e">
        <f t="shared" si="0"/>
        <v>#VALUE!</v>
      </c>
      <c r="L10" s="57" t="e">
        <f t="shared" si="1"/>
        <v>#VALUE!</v>
      </c>
    </row>
    <row r="11" spans="1:12" ht="15.6" thickTop="1" thickBot="1" x14ac:dyDescent="0.35">
      <c r="A11" s="1">
        <v>8</v>
      </c>
      <c r="B11" s="57">
        <f t="shared" si="2"/>
        <v>0</v>
      </c>
      <c r="I11" s="1" t="s">
        <v>42</v>
      </c>
      <c r="J11" s="1">
        <v>8</v>
      </c>
      <c r="K11" s="57" t="e">
        <f t="shared" si="0"/>
        <v>#VALUE!</v>
      </c>
      <c r="L11" s="57" t="e">
        <f t="shared" si="1"/>
        <v>#VALUE!</v>
      </c>
    </row>
    <row r="12" spans="1:12" ht="15.6" thickTop="1" thickBot="1" x14ac:dyDescent="0.35">
      <c r="A12" s="1">
        <v>9</v>
      </c>
      <c r="B12" s="57">
        <f t="shared" si="2"/>
        <v>0</v>
      </c>
      <c r="I12" s="57">
        <v>13</v>
      </c>
      <c r="J12" s="1">
        <v>9</v>
      </c>
      <c r="K12" s="57" t="e">
        <f t="shared" si="0"/>
        <v>#VALUE!</v>
      </c>
      <c r="L12" s="57" t="e">
        <f t="shared" si="1"/>
        <v>#VALUE!</v>
      </c>
    </row>
    <row r="13" spans="1:12" ht="15.6" thickTop="1" thickBot="1" x14ac:dyDescent="0.35">
      <c r="A13" s="1">
        <v>10</v>
      </c>
      <c r="B13" s="57">
        <f t="shared" si="2"/>
        <v>0</v>
      </c>
      <c r="J13" s="65">
        <v>10</v>
      </c>
      <c r="K13" s="57" t="e">
        <f t="shared" ref="K13:K16" si="3">GetRowOverdue(J13)</f>
        <v>#VALUE!</v>
      </c>
      <c r="L13" s="57" t="e">
        <f t="shared" ref="L13:L16" si="4">GetRowUpcoming(J13)</f>
        <v>#VALUE!</v>
      </c>
    </row>
    <row r="14" spans="1:12" ht="15.6" thickTop="1" thickBot="1" x14ac:dyDescent="0.35">
      <c r="A14" s="1">
        <v>11</v>
      </c>
      <c r="B14" s="57">
        <f t="shared" si="2"/>
        <v>0</v>
      </c>
      <c r="I14" s="1" t="s">
        <v>41</v>
      </c>
      <c r="J14" s="65">
        <v>11</v>
      </c>
      <c r="K14" s="57" t="e">
        <f t="shared" si="3"/>
        <v>#VALUE!</v>
      </c>
      <c r="L14" s="57" t="e">
        <f t="shared" si="4"/>
        <v>#VALUE!</v>
      </c>
    </row>
    <row r="15" spans="1:12" ht="15.6" thickTop="1" thickBot="1" x14ac:dyDescent="0.35">
      <c r="I15" s="57">
        <v>5</v>
      </c>
      <c r="J15" s="65">
        <v>12</v>
      </c>
      <c r="K15" s="57" t="e">
        <f t="shared" si="3"/>
        <v>#VALUE!</v>
      </c>
      <c r="L15" s="57" t="e">
        <f t="shared" si="4"/>
        <v>#VALUE!</v>
      </c>
    </row>
    <row r="16" spans="1:12" ht="15.6" thickTop="1" thickBot="1" x14ac:dyDescent="0.35">
      <c r="J16" s="65">
        <v>13</v>
      </c>
      <c r="K16" s="57" t="e">
        <f t="shared" si="3"/>
        <v>#VALUE!</v>
      </c>
      <c r="L16" s="57" t="e">
        <f t="shared" si="4"/>
        <v>#VALUE!</v>
      </c>
    </row>
    <row r="17" spans="1:9" ht="15.6" thickTop="1" thickBot="1" x14ac:dyDescent="0.35">
      <c r="I17" s="1" t="s">
        <v>40</v>
      </c>
    </row>
    <row r="18" spans="1:9" ht="15.6" thickTop="1" thickBot="1" x14ac:dyDescent="0.35">
      <c r="I18" s="57">
        <v>4</v>
      </c>
    </row>
    <row r="19" spans="1:9" ht="15" thickTop="1" x14ac:dyDescent="0.3"/>
    <row r="20" spans="1:9" ht="15" thickBot="1" x14ac:dyDescent="0.35">
      <c r="I20" s="1" t="s">
        <v>39</v>
      </c>
    </row>
    <row r="21" spans="1:9" ht="15.6" thickTop="1" thickBot="1" x14ac:dyDescent="0.35">
      <c r="A21" s="1" t="s">
        <v>38</v>
      </c>
      <c r="I21" s="57">
        <v>11</v>
      </c>
    </row>
    <row r="22" spans="1:9" ht="15.6" thickTop="1" thickBot="1" x14ac:dyDescent="0.35"/>
    <row r="23" spans="1:9" ht="15" thickBot="1" x14ac:dyDescent="0.35">
      <c r="A23" s="64" t="s">
        <v>37</v>
      </c>
      <c r="B23" s="63"/>
      <c r="C23" s="63"/>
      <c r="D23" s="63"/>
      <c r="E23" s="63"/>
      <c r="F23" s="62"/>
      <c r="I23" s="1" t="s">
        <v>56</v>
      </c>
    </row>
    <row r="24" spans="1:9" ht="15.6" thickTop="1" thickBot="1" x14ac:dyDescent="0.35">
      <c r="I24" s="57">
        <v>2</v>
      </c>
    </row>
    <row r="25" spans="1:9" ht="15" thickTop="1" x14ac:dyDescent="0.3">
      <c r="I25" s="6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 altText="_x000a_">
                <anchor moveWithCells="1">
                  <from>
                    <xdr:col>8</xdr:col>
                    <xdr:colOff>106680</xdr:colOff>
                    <xdr:row>3</xdr:row>
                    <xdr:rowOff>38100</xdr:rowOff>
                  </from>
                  <to>
                    <xdr:col>8</xdr:col>
                    <xdr:colOff>1242060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8</xdr:col>
                    <xdr:colOff>106680</xdr:colOff>
                    <xdr:row>4</xdr:row>
                    <xdr:rowOff>30480</xdr:rowOff>
                  </from>
                  <to>
                    <xdr:col>8</xdr:col>
                    <xdr:colOff>1341120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8</xdr:col>
                    <xdr:colOff>106680</xdr:colOff>
                    <xdr:row>5</xdr:row>
                    <xdr:rowOff>38100</xdr:rowOff>
                  </from>
                  <to>
                    <xdr:col>8</xdr:col>
                    <xdr:colOff>1341120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General Directions</vt:lpstr>
      <vt:lpstr>DASHBOARD</vt:lpstr>
      <vt:lpstr>Schedule</vt:lpstr>
      <vt:lpstr>SDI</vt:lpstr>
      <vt:lpstr>Calculations</vt:lpstr>
      <vt:lpstr>DASHBOARD!Print_Area</vt:lpstr>
      <vt:lpstr>'General Directions'!Print_Area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Krysten Whearley;Tevis.Gehr@sundyne.com</dc:creator>
  <cp:lastModifiedBy>Christina Wilkes</cp:lastModifiedBy>
  <cp:lastPrinted>2014-08-06T20:37:26Z</cp:lastPrinted>
  <dcterms:created xsi:type="dcterms:W3CDTF">2014-07-21T20:22:03Z</dcterms:created>
  <dcterms:modified xsi:type="dcterms:W3CDTF">2014-08-13T17:47:48Z</dcterms:modified>
</cp:coreProperties>
</file>