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TRANSFER\Tevis Gehr\Issue Tracker\"/>
    </mc:Choice>
  </mc:AlternateContent>
  <bookViews>
    <workbookView xWindow="0" yWindow="0" windowWidth="28800" windowHeight="12435" activeTab="5"/>
  </bookViews>
  <sheets>
    <sheet name="Version" sheetId="6" r:id="rId1"/>
    <sheet name="Std Work Instructions" sheetId="7" r:id="rId2"/>
    <sheet name="Global Input" sheetId="8" r:id="rId3"/>
    <sheet name="Header Txt" sheetId="9" r:id="rId4"/>
    <sheet name="Tech Docs Index" sheetId="10" r:id="rId5"/>
    <sheet name="Project Tracker" sheetId="1" r:id="rId6"/>
    <sheet name="Spec Book Covers" sheetId="13" r:id="rId7"/>
    <sheet name="Spec TOC" sheetId="14" r:id="rId8"/>
    <sheet name="Data" sheetId="2" state="hidden" r:id="rId9"/>
    <sheet name="LLPull" sheetId="4" state="hidden" r:id="rId10"/>
  </sheets>
  <functionGroups builtInGroupCount="18"/>
  <definedNames>
    <definedName name="_xlnm._FilterDatabase" localSheetId="5" hidden="1">'Project Tracker'!$A$5:$AK$5</definedName>
    <definedName name="_TAB01">'Global Input'!$B$3:$D$40</definedName>
    <definedName name="_xlnm.Print_Area" localSheetId="3">'Header Txt'!$A$1:$M$46</definedName>
    <definedName name="_xlnm.Print_Area" localSheetId="5">'Project Tracker'!$A$5:$AK$5</definedName>
    <definedName name="_xlnm.Print_Area" localSheetId="7">'Spec TOC'!$B$1:$D$41</definedName>
    <definedName name="Z_337999CC_DFB0_4FAC_8AC0_FD19FF8D8588_.wvu.PrintArea" localSheetId="3" hidden="1">'Header Txt'!$A$1:$N$46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1" l="1"/>
  <c r="B4" i="14" l="1"/>
  <c r="B8" i="14"/>
  <c r="C8" i="14"/>
  <c r="D8" i="14"/>
  <c r="B9" i="14"/>
  <c r="C9" i="14"/>
  <c r="D9" i="14"/>
  <c r="B10" i="14"/>
  <c r="C10" i="14"/>
  <c r="D10" i="14"/>
  <c r="B11" i="14"/>
  <c r="C11" i="14"/>
  <c r="D11" i="14"/>
  <c r="B12" i="14"/>
  <c r="C12" i="14"/>
  <c r="D12" i="14"/>
  <c r="B13" i="14"/>
  <c r="C13" i="14"/>
  <c r="D13" i="14"/>
  <c r="B14" i="14"/>
  <c r="C14" i="14"/>
  <c r="D14" i="14"/>
  <c r="B15" i="14"/>
  <c r="C15" i="14"/>
  <c r="D15" i="14"/>
  <c r="B16" i="14"/>
  <c r="C16" i="14"/>
  <c r="D16" i="14"/>
  <c r="B17" i="14"/>
  <c r="C17" i="14"/>
  <c r="D17" i="14"/>
  <c r="B18" i="14"/>
  <c r="C18" i="14"/>
  <c r="D18" i="14"/>
  <c r="B19" i="14"/>
  <c r="C19" i="14"/>
  <c r="D19" i="14"/>
  <c r="B20" i="14"/>
  <c r="C20" i="14"/>
  <c r="D20" i="14"/>
  <c r="B21" i="14"/>
  <c r="C21" i="14"/>
  <c r="D21" i="14"/>
  <c r="B22" i="14"/>
  <c r="C22" i="14"/>
  <c r="D22" i="14"/>
  <c r="B23" i="14"/>
  <c r="C23" i="14"/>
  <c r="D23" i="14"/>
  <c r="B24" i="14"/>
  <c r="C24" i="14"/>
  <c r="D24" i="14"/>
  <c r="B25" i="14"/>
  <c r="C25" i="14"/>
  <c r="D25" i="14"/>
  <c r="B26" i="14"/>
  <c r="C26" i="14"/>
  <c r="D26" i="14"/>
  <c r="B27" i="14"/>
  <c r="C27" i="14"/>
  <c r="D27" i="14"/>
  <c r="B28" i="14"/>
  <c r="C28" i="14"/>
  <c r="D28" i="14"/>
  <c r="B29" i="14"/>
  <c r="C29" i="14"/>
  <c r="D29" i="14"/>
  <c r="B30" i="14"/>
  <c r="C30" i="14"/>
  <c r="D30" i="14"/>
  <c r="B31" i="14"/>
  <c r="C31" i="14"/>
  <c r="D31" i="14"/>
  <c r="B32" i="14"/>
  <c r="C32" i="14"/>
  <c r="D32" i="14"/>
  <c r="B33" i="14"/>
  <c r="C33" i="14"/>
  <c r="D33" i="14"/>
  <c r="B34" i="14"/>
  <c r="C34" i="14"/>
  <c r="D34" i="14"/>
  <c r="F34" i="14"/>
  <c r="B35" i="14"/>
  <c r="C35" i="14"/>
  <c r="D35" i="14"/>
  <c r="F35" i="14"/>
  <c r="B36" i="14"/>
  <c r="C36" i="14"/>
  <c r="D36" i="14"/>
  <c r="F36" i="14"/>
  <c r="B37" i="14"/>
  <c r="C37" i="14"/>
  <c r="D37" i="14"/>
  <c r="F37" i="14"/>
  <c r="B38" i="14"/>
  <c r="C38" i="14"/>
  <c r="D38" i="14"/>
  <c r="F38" i="14"/>
  <c r="B39" i="14"/>
  <c r="C39" i="14"/>
  <c r="D39" i="14"/>
  <c r="F39" i="14"/>
  <c r="N9" i="13"/>
  <c r="V9" i="13" s="1"/>
  <c r="R9" i="13"/>
  <c r="D12" i="13"/>
  <c r="N18" i="13" s="1"/>
  <c r="V18" i="13" s="1"/>
  <c r="N53" i="13"/>
  <c r="V53" i="13"/>
  <c r="N55" i="13"/>
  <c r="R55" i="13" s="1"/>
  <c r="N57" i="13"/>
  <c r="V57" i="13" s="1"/>
  <c r="R57" i="13"/>
  <c r="J6" i="9"/>
  <c r="J7" i="9"/>
  <c r="J8" i="9"/>
  <c r="J9" i="9"/>
  <c r="C10" i="9"/>
  <c r="J10" i="9"/>
  <c r="C11" i="9"/>
  <c r="J11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R18" i="13" l="1"/>
  <c r="V55" i="13"/>
</calcChain>
</file>

<file path=xl/sharedStrings.xml><?xml version="1.0" encoding="utf-8"?>
<sst xmlns="http://schemas.openxmlformats.org/spreadsheetml/2006/main" count="304" uniqueCount="226">
  <si>
    <t>Issue Number</t>
  </si>
  <si>
    <t>Next Action By</t>
  </si>
  <si>
    <t>Add New Issue</t>
  </si>
  <si>
    <t>Update Top Issue</t>
  </si>
  <si>
    <t>Search For</t>
  </si>
  <si>
    <t>Message:</t>
  </si>
  <si>
    <t>PM</t>
  </si>
  <si>
    <t>CE</t>
  </si>
  <si>
    <t>X</t>
  </si>
  <si>
    <t>HIGH</t>
  </si>
  <si>
    <t>MED</t>
  </si>
  <si>
    <t>LOW</t>
  </si>
  <si>
    <t>Sort By Date Updated</t>
  </si>
  <si>
    <t>Top Issue Resolved</t>
  </si>
  <si>
    <t>Sort By Issue Number</t>
  </si>
  <si>
    <t>Don't change anything on this sheet.</t>
  </si>
  <si>
    <t>Schedule Impact</t>
  </si>
  <si>
    <t>Information</t>
  </si>
  <si>
    <t>Extra 2</t>
  </si>
  <si>
    <t>Extra 3</t>
  </si>
  <si>
    <t>Extra 4</t>
  </si>
  <si>
    <t xml:space="preserve">Extra 5 </t>
  </si>
  <si>
    <t>Extra 6</t>
  </si>
  <si>
    <t>Extra 7</t>
  </si>
  <si>
    <t>Extra 8</t>
  </si>
  <si>
    <t>Issue Resolved?</t>
  </si>
  <si>
    <t>Lesson Learned?</t>
  </si>
  <si>
    <t>Meeting Mins</t>
  </si>
  <si>
    <t>Spec Review</t>
  </si>
  <si>
    <t>Contract Issue</t>
  </si>
  <si>
    <t>Technical Issue</t>
  </si>
  <si>
    <t>Shop Issue</t>
  </si>
  <si>
    <t>Design Notes</t>
  </si>
  <si>
    <t>Date Updated</t>
  </si>
  <si>
    <t>Category</t>
  </si>
  <si>
    <t>Priority</t>
  </si>
  <si>
    <t>Topic</t>
  </si>
  <si>
    <t>Extra Column 2</t>
  </si>
  <si>
    <t>Description</t>
  </si>
  <si>
    <t>Reply/Resolution</t>
  </si>
  <si>
    <t>Apps</t>
  </si>
  <si>
    <t>DC</t>
  </si>
  <si>
    <t>Design</t>
  </si>
  <si>
    <t>Purchasing</t>
  </si>
  <si>
    <t>ME</t>
  </si>
  <si>
    <t>Quality</t>
  </si>
  <si>
    <t>Factory</t>
  </si>
  <si>
    <t>Extra 1</t>
  </si>
  <si>
    <t>Issue Logged By</t>
  </si>
  <si>
    <t>Source Document / Location</t>
  </si>
  <si>
    <t>Meeting Name/Date</t>
  </si>
  <si>
    <t>Revision Suggestions:</t>
  </si>
  <si>
    <t>A</t>
  </si>
  <si>
    <t>Description of change</t>
  </si>
  <si>
    <t>Initials</t>
  </si>
  <si>
    <t>Date</t>
  </si>
  <si>
    <t>VERS</t>
  </si>
  <si>
    <t>FUTURE USE WITH VLOOKUP</t>
  </si>
  <si>
    <t>Enter Data on Input Sheet</t>
  </si>
  <si>
    <t>XX-10</t>
  </si>
  <si>
    <t>XX-9</t>
  </si>
  <si>
    <t>XX-8</t>
  </si>
  <si>
    <t>XX-7</t>
  </si>
  <si>
    <t>XX-6</t>
  </si>
  <si>
    <t>XX-5</t>
  </si>
  <si>
    <t>XX-4</t>
  </si>
  <si>
    <t>XX-3</t>
  </si>
  <si>
    <t>XX-2</t>
  </si>
  <si>
    <t>XX-1</t>
  </si>
  <si>
    <t>Per Planning Standard Work</t>
  </si>
  <si>
    <t>SHIP DATE :</t>
  </si>
  <si>
    <t>UNIT RELEASE TO ME DATE :</t>
  </si>
  <si>
    <t>PRODUCT DESIGNER :</t>
  </si>
  <si>
    <t>PRODUCT ENGINEER :</t>
  </si>
  <si>
    <t>DOCUMENT COORDINATOR :</t>
  </si>
  <si>
    <t>PROJECT MANAGER :</t>
  </si>
  <si>
    <t>BASE DRAWING :</t>
  </si>
  <si>
    <t>SCHEMATIC DRAWING :</t>
  </si>
  <si>
    <t>KIT DRAWING :</t>
  </si>
  <si>
    <t>KIT WORK ORDER # :</t>
  </si>
  <si>
    <t>KIT LONG LEAD WORK ORDER # :</t>
  </si>
  <si>
    <t>UNIT LONG LEAD WORK ORDER # :</t>
  </si>
  <si>
    <t>CAPITAL SPARES WORK ORDER # :</t>
  </si>
  <si>
    <t>COMMISSIONING SPARES WORK ORDER # :</t>
  </si>
  <si>
    <t>UNIT WORK ORDER # :</t>
  </si>
  <si>
    <t>SALES ORDER # :</t>
  </si>
  <si>
    <t>Keep this workbook saved in the job file in the engineering folder.</t>
  </si>
  <si>
    <t>PURCHASE ORDER REVISION DATE :</t>
  </si>
  <si>
    <t>These will populate the text fields in the remainder of the spreadsheet.</t>
  </si>
  <si>
    <t>PURCHASE ORDER REVISION # :</t>
  </si>
  <si>
    <t>Fill in values as required.</t>
  </si>
  <si>
    <t>PURCHASE ORDER # :</t>
  </si>
  <si>
    <t>QUOTATION # :</t>
  </si>
  <si>
    <t>CUSTOMER TAG # :</t>
  </si>
  <si>
    <t>SERVICE :</t>
  </si>
  <si>
    <t>PRODUCT MODEL # :</t>
  </si>
  <si>
    <t>LOCATION :</t>
  </si>
  <si>
    <t>END USER :</t>
  </si>
  <si>
    <t>CUSTOMER :</t>
  </si>
  <si>
    <t>PROJECT NAME :</t>
  </si>
  <si>
    <t>B3:C41</t>
  </si>
  <si>
    <t>_TAB01</t>
  </si>
  <si>
    <t>SUNDYNE SERIAL # :</t>
  </si>
  <si>
    <t>Cell/Range</t>
  </si>
  <si>
    <t>Reference names</t>
  </si>
  <si>
    <t>Comments</t>
  </si>
  <si>
    <t>Value</t>
  </si>
  <si>
    <t>Job Info Summary</t>
  </si>
  <si>
    <t>DESCRIPTION / TITLE</t>
  </si>
  <si>
    <t>PD</t>
  </si>
  <si>
    <t>KIT PE</t>
  </si>
  <si>
    <t>UNIT PE</t>
  </si>
  <si>
    <t>SPEC DATE</t>
  </si>
  <si>
    <t>SPEC REV</t>
  </si>
  <si>
    <t>SPEC TITLE / DESCRIPTION</t>
  </si>
  <si>
    <t>SPEC #</t>
  </si>
  <si>
    <t>PROVIDED?</t>
  </si>
  <si>
    <t>DATE &amp; INITIAL WHEN INITIAL WAS COMPLETE</t>
  </si>
  <si>
    <t>Specification Hierarchy</t>
  </si>
  <si>
    <t>Precedence</t>
  </si>
  <si>
    <t>Highlight cell under the proper function indicating who is responsible for reviewing each</t>
  </si>
  <si>
    <t xml:space="preserve">This list should include all applicable specifications and the revision. </t>
  </si>
  <si>
    <t>This can be a copy and paste from the PO or project scope of supply.</t>
  </si>
  <si>
    <t>Put List of applicable project specs here. These should be listed in the Scope of Supply or Project PO.</t>
  </si>
  <si>
    <r>
      <t>14845 WEST 64</t>
    </r>
    <r>
      <rPr>
        <vertAlign val="superscript"/>
        <sz val="12"/>
        <color indexed="56"/>
        <rFont val="Comic Sans MS"/>
        <family val="4"/>
      </rPr>
      <t>th</t>
    </r>
    <r>
      <rPr>
        <sz val="12"/>
        <color indexed="56"/>
        <rFont val="Comic Sans MS"/>
        <family val="4"/>
      </rPr>
      <t xml:space="preserve"> AVENUE ▪ ARVADA, COLORADO 80007 USA ▪ 303-425-0800 ▪ FAX: 303-425-0869 ▪  </t>
    </r>
    <r>
      <rPr>
        <u/>
        <sz val="12"/>
        <color indexed="56"/>
        <rFont val="Comic Sans MS"/>
        <family val="4"/>
      </rPr>
      <t>www.sundyne.com</t>
    </r>
  </si>
  <si>
    <t xml:space="preserve">Book 1 of </t>
  </si>
  <si>
    <t>Spec Book</t>
  </si>
  <si>
    <t>Z</t>
  </si>
  <si>
    <t>Y</t>
  </si>
  <si>
    <t>W</t>
  </si>
  <si>
    <t>V</t>
  </si>
  <si>
    <t>U</t>
  </si>
  <si>
    <t>T</t>
  </si>
  <si>
    <t>S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</si>
  <si>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</si>
  <si>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</si>
  <si>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</si>
  <si>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</si>
  <si>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</si>
  <si>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</si>
  <si>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</si>
  <si>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</si>
  <si>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</si>
  <si>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</si>
  <si>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</si>
  <si>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</si>
  <si>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</si>
  <si>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</si>
  <si>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</si>
  <si>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</si>
  <si>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B</t>
  </si>
  <si>
    <t>number</t>
  </si>
  <si>
    <t>letter</t>
  </si>
  <si>
    <t>DESCRIPTION</t>
  </si>
  <si>
    <t>DOCUMENT / SPEC</t>
  </si>
  <si>
    <t>TAB</t>
  </si>
  <si>
    <t>Tab Control:</t>
  </si>
  <si>
    <t>TABLE OF CONTENTS</t>
  </si>
  <si>
    <t>CONTRACT / SPECIFICATION NOTEBOOK</t>
  </si>
  <si>
    <t>Extra Column 1</t>
  </si>
  <si>
    <t>Extra Column 3</t>
  </si>
  <si>
    <t>PE</t>
  </si>
  <si>
    <t>Eng. Serv.</t>
  </si>
  <si>
    <t>Extra 9</t>
  </si>
  <si>
    <t>Extra 10</t>
  </si>
  <si>
    <t>Start by entering project date into the 'Global Input' worksheet. This will populate fields in</t>
  </si>
  <si>
    <t>other worksheets.</t>
  </si>
  <si>
    <t xml:space="preserve">Enter project specifications data into the 'Tech Docs Index' worksheet.  </t>
  </si>
  <si>
    <t>a. Spec Review</t>
  </si>
  <si>
    <t>b. Contract Issues</t>
  </si>
  <si>
    <t>c. Technical Issues</t>
  </si>
  <si>
    <t>d. Shop Issues</t>
  </si>
  <si>
    <t>e. Meeting Minutes/Notes</t>
  </si>
  <si>
    <t>g. Information</t>
  </si>
  <si>
    <t>f.  Design Notes</t>
  </si>
  <si>
    <t>Use the 'Project Tracker' worksheet to track the following:</t>
  </si>
  <si>
    <t>Add a new line.</t>
  </si>
  <si>
    <t xml:space="preserve">Pulldown showing the six category choices. </t>
  </si>
  <si>
    <t>a. Enter data into the data-entry area in row 3. Do not enter data into the Issue Number</t>
  </si>
  <si>
    <t xml:space="preserve">    or Date Updated fields. These will be filled in automatically. </t>
  </si>
  <si>
    <t xml:space="preserve">b. The user does not need to fill in every column. Changes can be made later. </t>
  </si>
  <si>
    <t>Data-entry area shown highlighted in yellow.</t>
  </si>
  <si>
    <t xml:space="preserve">    Number.</t>
  </si>
  <si>
    <t>c. Click the 'ADD NEW ISSUE' button. A new row has been added with a unique Issue</t>
  </si>
  <si>
    <t>Update a row.</t>
  </si>
  <si>
    <t xml:space="preserve">    row. Data in the 'Description' column will be appended to the existing 'Description'. </t>
  </si>
  <si>
    <t xml:space="preserve">    Data in all other columns will replace the existing data. </t>
  </si>
  <si>
    <t>a. To edit or add to the data in an existing row, enter the new data into the data entry</t>
  </si>
  <si>
    <t>b. Click on the row that is to be updated. It does not matter which column is selected.</t>
  </si>
  <si>
    <t>→</t>
  </si>
  <si>
    <t xml:space="preserve"> Data has been entered into the data-entry row and will be appended to the selected row.</t>
  </si>
  <si>
    <t xml:space="preserve">                                The entry has been updated.</t>
  </si>
  <si>
    <t xml:space="preserve">    Only existing entries can be updated. If an invalid row is selected, the user will get an</t>
  </si>
  <si>
    <t xml:space="preserve">    error in the blue message box. </t>
  </si>
  <si>
    <t>Mark an issue as 'Resolved'.</t>
  </si>
  <si>
    <t xml:space="preserve">c. The row will turn blue and an 'X' will appear in the 'Issue Resolved?' column. </t>
  </si>
  <si>
    <t xml:space="preserve">                                                      Issue 1 has been marked as resolved. </t>
  </si>
  <si>
    <t>Use the other features as desired. These include:</t>
  </si>
  <si>
    <r>
      <rPr>
        <b/>
        <sz val="10"/>
        <rFont val="Arial"/>
        <family val="2"/>
      </rPr>
      <t>a. Search</t>
    </r>
    <r>
      <rPr>
        <sz val="10"/>
        <rFont val="Arial"/>
        <family val="2"/>
      </rPr>
      <t xml:space="preserve"> - Input search data in the data-entry row in one or more columns. Matches </t>
    </r>
  </si>
  <si>
    <t xml:space="preserve">                  will be pulled to the top of the worksheet.</t>
  </si>
  <si>
    <r>
      <rPr>
        <b/>
        <sz val="10"/>
        <rFont val="Arial"/>
        <family val="2"/>
      </rPr>
      <t>b. Sort</t>
    </r>
    <r>
      <rPr>
        <sz val="10"/>
        <rFont val="Arial"/>
        <family val="2"/>
      </rPr>
      <t xml:space="preserve"> - Select a cell in the column by which to sort and click one of the 'Sort' buttons.</t>
    </r>
  </si>
  <si>
    <t xml:space="preserve">                                     Names of the columns marked 'Extra' can be changed. </t>
  </si>
  <si>
    <r>
      <rPr>
        <b/>
        <sz val="10"/>
        <rFont val="Arial"/>
        <family val="2"/>
      </rPr>
      <t>c. Hidden Columns</t>
    </r>
    <r>
      <rPr>
        <sz val="10"/>
        <rFont val="Arial"/>
        <family val="2"/>
      </rPr>
      <t xml:space="preserve"> - Some columns have been hidden, but can be used if needed. </t>
    </r>
  </si>
  <si>
    <t xml:space="preserve">                        </t>
  </si>
  <si>
    <t xml:space="preserve">                 Columns F and G have been unhidden. </t>
  </si>
  <si>
    <t>Mark Lessons Learned in column 'AJ'.</t>
  </si>
  <si>
    <t xml:space="preserve">This will allow for data collection and compilation from multiple projects. </t>
  </si>
  <si>
    <t xml:space="preserve">If an entry contains data that should be communicated to other teams, mark it as a </t>
  </si>
  <si>
    <t>Lesson Learned by selecting an X from the dropdown in column 'AJ'.</t>
  </si>
  <si>
    <t xml:space="preserve">       Entry is marked as a Lesson Learned.</t>
  </si>
  <si>
    <t>This can be done by using the 'Update Selected' button, or by editing the row directly</t>
  </si>
  <si>
    <t>Steps:</t>
  </si>
  <si>
    <t>Instructions For Using Job Requirements and Build Issues File</t>
  </si>
  <si>
    <t>1.</t>
  </si>
  <si>
    <t>2.</t>
  </si>
  <si>
    <t>3.</t>
  </si>
  <si>
    <t>4.</t>
  </si>
  <si>
    <t>5.</t>
  </si>
  <si>
    <t>6.</t>
  </si>
  <si>
    <t>7.</t>
  </si>
  <si>
    <t>8.</t>
  </si>
  <si>
    <t>a. Click on the row containing the entry that has been resolved.</t>
  </si>
  <si>
    <t xml:space="preserve">b. Click the 'Resolve Selected' button. </t>
  </si>
  <si>
    <t>These are the choices available in the pull-down menu for the Category column.</t>
  </si>
  <si>
    <t>TG</t>
  </si>
  <si>
    <t>First release of the new JRBI with built in Project Tracker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</si>
</sst>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F800]dddd\,\ mmmm\ dd\,\ yyyy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i/>
      <sz val="18"/>
      <name val="Arial"/>
      <family val="2"/>
    </font>
    <font>
      <b/>
      <sz val="20"/>
      <name val="Arial"/>
      <family val="2"/>
    </font>
    <font>
      <sz val="10"/>
      <color indexed="56"/>
      <name val="Arial"/>
      <family val="2"/>
    </font>
    <font>
      <b/>
      <sz val="16"/>
      <color indexed="56"/>
      <name val="Arial"/>
      <family val="2"/>
    </font>
    <font>
      <b/>
      <sz val="10"/>
      <color indexed="56"/>
      <name val="Arial"/>
      <family val="2"/>
    </font>
    <font>
      <b/>
      <sz val="20"/>
      <color indexed="56"/>
      <name val="Arial"/>
      <family val="2"/>
    </font>
    <font>
      <sz val="10"/>
      <color indexed="56"/>
      <name val="Comic Sans MS"/>
      <family val="4"/>
    </font>
    <font>
      <sz val="12"/>
      <color indexed="56"/>
      <name val="Comic Sans MS"/>
      <family val="4"/>
    </font>
    <font>
      <vertAlign val="superscript"/>
      <sz val="12"/>
      <color indexed="56"/>
      <name val="Comic Sans MS"/>
      <family val="4"/>
    </font>
    <font>
      <u/>
      <sz val="12"/>
      <color indexed="56"/>
      <name val="Comic Sans MS"/>
      <family val="4"/>
    </font>
    <font>
      <b/>
      <sz val="12"/>
      <color indexed="56"/>
      <name val="Comic Sans MS"/>
      <family val="4"/>
    </font>
    <font>
      <b/>
      <sz val="8"/>
      <color indexed="56"/>
      <name val="Comic Sans MS"/>
      <family val="4"/>
    </font>
    <font>
      <b/>
      <sz val="16"/>
      <color indexed="56"/>
      <name val="Comic Sans MS"/>
      <family val="4"/>
    </font>
    <font>
      <sz val="16"/>
      <color indexed="56"/>
      <name val="Comic Sans MS"/>
      <family val="4"/>
    </font>
    <font>
      <sz val="18"/>
      <name val="Arial"/>
      <family val="2"/>
    </font>
    <font>
      <b/>
      <i/>
      <sz val="14"/>
      <color indexed="56"/>
      <name val="Comic Sans MS"/>
      <family val="4"/>
    </font>
    <font>
      <b/>
      <sz val="14"/>
      <color indexed="56"/>
      <name val="Comic Sans MS"/>
      <family val="4"/>
    </font>
    <font>
      <b/>
      <sz val="15"/>
      <color indexed="56"/>
      <name val="Comic Sans MS"/>
      <family val="4"/>
    </font>
    <font>
      <b/>
      <sz val="20"/>
      <color indexed="56"/>
      <name val="Comic Sans MS"/>
      <family val="4"/>
    </font>
    <font>
      <b/>
      <sz val="26"/>
      <color indexed="56"/>
      <name val="Comic Sans MS"/>
      <family val="4"/>
    </font>
    <font>
      <b/>
      <sz val="18"/>
      <color indexed="56"/>
      <name val="Comic Sans MS"/>
      <family val="4"/>
    </font>
    <font>
      <sz val="10"/>
      <color indexed="56"/>
      <name val="Bodoni MT Black"/>
      <family val="1"/>
    </font>
    <font>
      <b/>
      <sz val="11"/>
      <color indexed="56"/>
      <name val="Comic Sans MS"/>
      <family val="4"/>
    </font>
    <font>
      <b/>
      <sz val="24"/>
      <color indexed="56"/>
      <name val="Comic Sans MS"/>
      <family val="4"/>
    </font>
    <font>
      <sz val="14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36"/>
      <color indexed="56"/>
      <name val="Comic Sans MS"/>
      <family val="4"/>
    </font>
    <font>
      <b/>
      <sz val="9"/>
      <color indexed="56"/>
      <name val="Comic Sans MS"/>
      <family val="4"/>
    </font>
    <font>
      <sz val="8"/>
      <color indexed="56"/>
      <name val="Comic Sans MS"/>
      <family val="4"/>
    </font>
    <font>
      <b/>
      <sz val="28"/>
      <color indexed="56"/>
      <name val="Comic Sans MS"/>
      <family val="4"/>
    </font>
    <font>
      <sz val="8"/>
      <name val="Arial"/>
      <family val="2"/>
    </font>
    <font>
      <sz val="10"/>
      <name val="Comic Sans MS"/>
      <family val="4"/>
    </font>
    <font>
      <b/>
      <sz val="14"/>
      <name val="Times New Roman"/>
      <family val="1"/>
    </font>
    <font>
      <b/>
      <u/>
      <sz val="14"/>
      <name val="Times New Roman"/>
      <family val="1"/>
    </font>
    <font>
      <b/>
      <u/>
      <sz val="16"/>
      <name val="Times New Roman"/>
      <family val="1"/>
    </font>
    <font>
      <sz val="28"/>
      <name val="Calibri"/>
      <family val="2"/>
    </font>
    <font>
      <sz val="22"/>
      <color theme="4" tint="-0.499984740745262"/>
      <name val="Arial Black"/>
      <family val="2"/>
    </font>
    <font>
      <sz val="18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theme="2" tint="-0.24994659260841701"/>
      </left>
      <right/>
      <top style="thin">
        <color auto="1"/>
      </top>
      <bottom/>
      <diagonal/>
    </border>
    <border>
      <left style="thin">
        <color theme="2" tint="-0.2499465926084170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theme="2" tint="-0.24994659260841701"/>
      </right>
      <top style="thin">
        <color auto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/>
      <diagonal/>
    </border>
    <border>
      <left style="thin">
        <color theme="2" tint="-0.2499465926084170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 diagonalUp="1" diagonalDown="1"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 style="thin">
        <color auto="1"/>
      </diagonal>
    </border>
    <border diagonalUp="1" diagonalDown="1"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 style="thin">
        <color auto="1"/>
      </diagonal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0" fillId="0" borderId="0"/>
    <xf numFmtId="0" fontId="10" fillId="0" borderId="0">
      <alignment vertical="center"/>
    </xf>
    <xf numFmtId="0" fontId="54" fillId="0" borderId="0" applyNumberFormat="0" applyFill="0" applyBorder="0" applyAlignment="0" applyProtection="0"/>
  </cellStyleXfs>
  <cellXfs count="238">
    <xf numFmtId="0" fontId="0" fillId="0" borderId="0" xfId="0"/>
    <xf numFmtId="0" fontId="0" fillId="5" borderId="0" xfId="0" applyFill="1"/>
    <xf numFmtId="14" fontId="0" fillId="5" borderId="0" xfId="0" applyNumberFormat="1" applyFill="1"/>
    <xf numFmtId="0" fontId="4" fillId="5" borderId="0" xfId="0" applyFont="1" applyFill="1" applyBorder="1"/>
    <xf numFmtId="0" fontId="0" fillId="5" borderId="0" xfId="0" applyFill="1" applyBorder="1" applyAlignment="1">
      <alignment vertical="center" wrapText="1"/>
    </xf>
    <xf numFmtId="0" fontId="0" fillId="5" borderId="0" xfId="0" applyFill="1" applyAlignment="1">
      <alignment vertical="center" wrapText="1"/>
    </xf>
    <xf numFmtId="14" fontId="0" fillId="5" borderId="0" xfId="0" applyNumberFormat="1" applyFill="1" applyAlignment="1">
      <alignment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 textRotation="90" wrapText="1"/>
    </xf>
    <xf numFmtId="0" fontId="1" fillId="6" borderId="5" xfId="0" applyFont="1" applyFill="1" applyBorder="1" applyAlignment="1">
      <alignment horizontal="center" vertical="center" wrapText="1"/>
    </xf>
    <xf numFmtId="14" fontId="1" fillId="6" borderId="5" xfId="0" applyNumberFormat="1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3" xfId="0" applyNumberFormat="1" applyFont="1" applyFill="1" applyBorder="1" applyAlignment="1">
      <alignment horizontal="center" vertical="center" wrapText="1"/>
    </xf>
    <xf numFmtId="0" fontId="0" fillId="5" borderId="0" xfId="0" applyNumberFormat="1" applyFill="1"/>
    <xf numFmtId="0" fontId="4" fillId="5" borderId="0" xfId="0" applyNumberFormat="1" applyFont="1" applyFill="1" applyBorder="1" applyAlignment="1">
      <alignment vertical="center" wrapText="1"/>
    </xf>
    <xf numFmtId="0" fontId="0" fillId="5" borderId="0" xfId="0" applyNumberFormat="1" applyFill="1" applyAlignment="1">
      <alignment vertical="center" wrapText="1"/>
    </xf>
    <xf numFmtId="0" fontId="1" fillId="6" borderId="5" xfId="0" applyNumberFormat="1" applyFon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 wrapText="1"/>
    </xf>
    <xf numFmtId="0" fontId="0" fillId="5" borderId="0" xfId="0" applyNumberFormat="1" applyFill="1" applyAlignment="1">
      <alignment horizontal="center" vertical="center" wrapText="1"/>
    </xf>
    <xf numFmtId="0" fontId="0" fillId="5" borderId="0" xfId="0" applyNumberFormat="1" applyFill="1" applyAlignment="1">
      <alignment horizontal="center" vertical="center"/>
    </xf>
    <xf numFmtId="0" fontId="0" fillId="5" borderId="0" xfId="0" applyFill="1" applyBorder="1"/>
    <xf numFmtId="0" fontId="1" fillId="6" borderId="1" xfId="0" applyFont="1" applyFill="1" applyBorder="1" applyAlignment="1">
      <alignment horizontal="center" vertical="center" textRotation="90" wrapText="1"/>
    </xf>
    <xf numFmtId="0" fontId="0" fillId="4" borderId="0" xfId="0" applyFill="1" applyBorder="1" applyAlignment="1">
      <alignment horizontal="right" vertical="center" wrapText="1"/>
    </xf>
    <xf numFmtId="14" fontId="0" fillId="4" borderId="13" xfId="0" applyNumberFormat="1" applyFill="1" applyBorder="1" applyAlignment="1">
      <alignment horizontal="right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right" vertical="center" wrapText="1"/>
    </xf>
    <xf numFmtId="0" fontId="0" fillId="4" borderId="13" xfId="0" applyNumberFormat="1" applyFill="1" applyBorder="1" applyAlignment="1">
      <alignment horizontal="right" vertical="center" wrapText="1"/>
    </xf>
    <xf numFmtId="0" fontId="0" fillId="4" borderId="15" xfId="0" applyFill="1" applyBorder="1" applyAlignment="1">
      <alignment horizontal="right" vertical="center" wrapText="1"/>
    </xf>
    <xf numFmtId="14" fontId="0" fillId="4" borderId="11" xfId="0" applyNumberFormat="1" applyFill="1" applyBorder="1" applyAlignment="1">
      <alignment horizontal="right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1" xfId="0" applyNumberFormat="1" applyFill="1" applyBorder="1" applyAlignment="1">
      <alignment horizontal="left" vertical="center" wrapText="1"/>
    </xf>
    <xf numFmtId="0" fontId="0" fillId="4" borderId="11" xfId="0" applyFill="1" applyBorder="1" applyAlignment="1">
      <alignment horizontal="right" vertical="center" wrapText="1"/>
    </xf>
    <xf numFmtId="0" fontId="0" fillId="4" borderId="11" xfId="0" applyNumberFormat="1" applyFill="1" applyBorder="1" applyAlignment="1">
      <alignment horizontal="right" vertical="center" wrapText="1"/>
    </xf>
    <xf numFmtId="0" fontId="0" fillId="4" borderId="12" xfId="0" applyFill="1" applyBorder="1" applyAlignment="1">
      <alignment horizontal="right" vertical="center" wrapText="1"/>
    </xf>
    <xf numFmtId="0" fontId="7" fillId="5" borderId="0" xfId="0" applyFont="1" applyFill="1" applyAlignment="1">
      <alignment wrapText="1"/>
    </xf>
    <xf numFmtId="0" fontId="8" fillId="5" borderId="6" xfId="0" applyFont="1" applyFill="1" applyBorder="1" applyAlignment="1">
      <alignment vertical="center"/>
    </xf>
    <xf numFmtId="0" fontId="6" fillId="6" borderId="19" xfId="0" applyFont="1" applyFill="1" applyBorder="1" applyAlignment="1">
      <alignment horizontal="center" vertical="center" textRotation="90" wrapText="1"/>
    </xf>
    <xf numFmtId="14" fontId="0" fillId="0" borderId="0" xfId="0" applyNumberFormat="1"/>
    <xf numFmtId="0" fontId="0" fillId="0" borderId="0" xfId="0" applyAlignment="1">
      <alignment wrapText="1"/>
    </xf>
    <xf numFmtId="14" fontId="0" fillId="0" borderId="2" xfId="0" applyNumberFormat="1" applyFill="1" applyBorder="1" applyAlignment="1" applyProtection="1">
      <alignment wrapText="1"/>
      <protection locked="0"/>
    </xf>
    <xf numFmtId="0" fontId="0" fillId="0" borderId="2" xfId="0" applyFill="1" applyBorder="1" applyAlignment="1" applyProtection="1">
      <alignment horizontal="center" vertical="center" wrapText="1"/>
      <protection locked="0"/>
    </xf>
    <xf numFmtId="0" fontId="0" fillId="0" borderId="2" xfId="0" applyNumberFormat="1" applyFill="1" applyBorder="1" applyAlignment="1" applyProtection="1">
      <alignment wrapText="1"/>
      <protection locked="0"/>
    </xf>
    <xf numFmtId="0" fontId="0" fillId="0" borderId="8" xfId="0" applyNumberFormat="1" applyFill="1" applyBorder="1" applyAlignment="1" applyProtection="1">
      <alignment wrapText="1"/>
      <protection locked="0"/>
    </xf>
    <xf numFmtId="0" fontId="0" fillId="0" borderId="21" xfId="0" applyFill="1" applyBorder="1" applyAlignment="1" applyProtection="1">
      <alignment wrapText="1"/>
      <protection locked="0"/>
    </xf>
    <xf numFmtId="0" fontId="0" fillId="0" borderId="22" xfId="0" applyNumberFormat="1" applyFill="1" applyBorder="1" applyAlignment="1" applyProtection="1">
      <alignment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0" fillId="0" borderId="4" xfId="0" applyNumberFormat="1" applyFill="1" applyBorder="1" applyAlignment="1" applyProtection="1">
      <alignment wrapText="1"/>
      <protection locked="0"/>
    </xf>
    <xf numFmtId="14" fontId="0" fillId="0" borderId="8" xfId="0" applyNumberFormat="1" applyFill="1" applyBorder="1" applyAlignment="1" applyProtection="1">
      <alignment wrapText="1"/>
      <protection locked="0"/>
    </xf>
    <xf numFmtId="0" fontId="0" fillId="7" borderId="9" xfId="0" applyFill="1" applyBorder="1" applyAlignment="1" applyProtection="1">
      <alignment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1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19" xfId="0" applyFont="1" applyFill="1" applyBorder="1" applyAlignment="1" applyProtection="1">
      <alignment horizontal="center" vertical="center" textRotation="90" wrapText="1"/>
      <protection locked="0"/>
    </xf>
    <xf numFmtId="14" fontId="2" fillId="0" borderId="17" xfId="0" applyNumberFormat="1" applyFont="1" applyFill="1" applyBorder="1" applyAlignment="1" applyProtection="1">
      <alignment wrapText="1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17" xfId="0" applyNumberFormat="1" applyFont="1" applyFill="1" applyBorder="1" applyAlignment="1" applyProtection="1">
      <alignment horizontal="left"/>
      <protection locked="0"/>
    </xf>
    <xf numFmtId="0" fontId="2" fillId="0" borderId="17" xfId="0" applyFont="1" applyFill="1" applyBorder="1" applyProtection="1">
      <protection locked="0"/>
    </xf>
    <xf numFmtId="0" fontId="5" fillId="0" borderId="17" xfId="0" applyFont="1" applyFill="1" applyBorder="1" applyAlignment="1" applyProtection="1">
      <alignment horizontal="center" vertical="center" textRotation="90" wrapText="1"/>
      <protection locked="0"/>
    </xf>
    <xf numFmtId="0" fontId="5" fillId="0" borderId="17" xfId="0" applyFont="1" applyFill="1" applyBorder="1" applyAlignment="1" applyProtection="1">
      <alignment horizontal="center" vertical="top" textRotation="90" wrapText="1"/>
      <protection locked="0"/>
    </xf>
    <xf numFmtId="0" fontId="2" fillId="0" borderId="17" xfId="0" applyNumberFormat="1" applyFont="1" applyFill="1" applyBorder="1" applyAlignment="1" applyProtection="1">
      <alignment wrapText="1"/>
      <protection locked="0"/>
    </xf>
    <xf numFmtId="0" fontId="2" fillId="0" borderId="17" xfId="0" applyFont="1" applyFill="1" applyBorder="1" applyAlignment="1" applyProtection="1">
      <alignment wrapText="1"/>
      <protection locked="0"/>
    </xf>
    <xf numFmtId="0" fontId="5" fillId="0" borderId="18" xfId="0" applyFont="1" applyFill="1" applyBorder="1" applyAlignment="1" applyProtection="1">
      <alignment horizontal="center" vertical="center" textRotation="90" wrapText="1"/>
      <protection locked="0"/>
    </xf>
    <xf numFmtId="0" fontId="10" fillId="0" borderId="0" xfId="1"/>
    <xf numFmtId="0" fontId="10" fillId="0" borderId="0" xfId="1" applyAlignment="1">
      <alignment wrapText="1"/>
    </xf>
    <xf numFmtId="164" fontId="10" fillId="0" borderId="0" xfId="1" applyNumberFormat="1"/>
    <xf numFmtId="0" fontId="10" fillId="0" borderId="0" xfId="1" applyAlignment="1">
      <alignment horizontal="left"/>
    </xf>
    <xf numFmtId="15" fontId="10" fillId="0" borderId="0" xfId="1" applyNumberFormat="1" applyAlignment="1">
      <alignment wrapText="1"/>
    </xf>
    <xf numFmtId="0" fontId="10" fillId="0" borderId="0" xfId="1" applyFont="1" applyAlignment="1">
      <alignment wrapText="1"/>
    </xf>
    <xf numFmtId="0" fontId="10" fillId="0" borderId="0" xfId="1" applyFont="1"/>
    <xf numFmtId="0" fontId="10" fillId="0" borderId="0" xfId="1" applyFont="1" applyAlignment="1">
      <alignment horizontal="left"/>
    </xf>
    <xf numFmtId="164" fontId="10" fillId="0" borderId="0" xfId="1" applyNumberFormat="1" applyFont="1"/>
    <xf numFmtId="0" fontId="10" fillId="0" borderId="0" xfId="1" applyAlignment="1">
      <alignment horizontal="center"/>
    </xf>
    <xf numFmtId="0" fontId="11" fillId="0" borderId="0" xfId="1" applyFont="1" applyAlignment="1">
      <alignment horizontal="center" wrapText="1"/>
    </xf>
    <xf numFmtId="0" fontId="11" fillId="0" borderId="0" xfId="1" applyFont="1" applyAlignment="1">
      <alignment horizontal="center"/>
    </xf>
    <xf numFmtId="164" fontId="11" fillId="0" borderId="0" xfId="1" applyNumberFormat="1" applyFont="1" applyAlignment="1">
      <alignment horizontal="center"/>
    </xf>
    <xf numFmtId="0" fontId="10" fillId="0" borderId="0" xfId="2">
      <alignment vertical="center"/>
    </xf>
    <xf numFmtId="0" fontId="11" fillId="0" borderId="0" xfId="2" applyFont="1">
      <alignment vertical="center"/>
    </xf>
    <xf numFmtId="0" fontId="10" fillId="0" borderId="0" xfId="2" applyAlignment="1">
      <alignment horizontal="right" vertical="center"/>
    </xf>
    <xf numFmtId="0" fontId="10" fillId="0" borderId="0" xfId="2" applyBorder="1">
      <alignment vertical="center"/>
    </xf>
    <xf numFmtId="0" fontId="11" fillId="0" borderId="0" xfId="2" applyFont="1" applyBorder="1">
      <alignment vertical="center"/>
    </xf>
    <xf numFmtId="0" fontId="10" fillId="0" borderId="0" xfId="2" applyBorder="1" applyAlignment="1">
      <alignment horizontal="right" vertical="center"/>
    </xf>
    <xf numFmtId="0" fontId="11" fillId="0" borderId="0" xfId="1" applyFont="1" applyBorder="1" applyAlignment="1"/>
    <xf numFmtId="0" fontId="10" fillId="0" borderId="0" xfId="2" applyAlignment="1">
      <alignment horizontal="center" vertical="center"/>
    </xf>
    <xf numFmtId="0" fontId="10" fillId="0" borderId="27" xfId="2" applyBorder="1" applyAlignment="1">
      <alignment vertical="center" shrinkToFit="1"/>
    </xf>
    <xf numFmtId="0" fontId="10" fillId="0" borderId="28" xfId="2" applyFont="1" applyBorder="1" applyProtection="1">
      <alignment vertical="center"/>
      <protection locked="0"/>
    </xf>
    <xf numFmtId="0" fontId="11" fillId="0" borderId="29" xfId="2" applyFont="1" applyFill="1" applyBorder="1" applyAlignment="1">
      <alignment horizontal="left" vertical="center"/>
    </xf>
    <xf numFmtId="0" fontId="10" fillId="0" borderId="30" xfId="2" applyBorder="1" applyAlignment="1">
      <alignment vertical="center" shrinkToFit="1"/>
    </xf>
    <xf numFmtId="0" fontId="10" fillId="0" borderId="31" xfId="2" applyFont="1" applyBorder="1" applyProtection="1">
      <alignment vertical="center"/>
      <protection locked="0"/>
    </xf>
    <xf numFmtId="0" fontId="11" fillId="0" borderId="32" xfId="2" applyFont="1" applyFill="1" applyBorder="1" applyAlignment="1">
      <alignment horizontal="left" vertical="center"/>
    </xf>
    <xf numFmtId="0" fontId="11" fillId="0" borderId="33" xfId="2" applyFont="1" applyFill="1" applyBorder="1" applyAlignment="1">
      <alignment horizontal="left" vertical="center"/>
    </xf>
    <xf numFmtId="164" fontId="10" fillId="0" borderId="31" xfId="2" applyNumberFormat="1" applyFont="1" applyBorder="1" applyAlignment="1" applyProtection="1">
      <alignment horizontal="left" vertical="center"/>
      <protection locked="0"/>
    </xf>
    <xf numFmtId="0" fontId="11" fillId="0" borderId="33" xfId="2" applyFont="1" applyFill="1" applyBorder="1" applyAlignment="1">
      <alignment horizontal="right" vertical="center"/>
    </xf>
    <xf numFmtId="0" fontId="11" fillId="0" borderId="32" xfId="2" applyFont="1" applyFill="1" applyBorder="1" applyAlignment="1">
      <alignment horizontal="right" vertical="center"/>
    </xf>
    <xf numFmtId="0" fontId="10" fillId="0" borderId="34" xfId="2" applyBorder="1" applyAlignment="1">
      <alignment vertical="center" shrinkToFit="1"/>
    </xf>
    <xf numFmtId="0" fontId="10" fillId="0" borderId="34" xfId="2" applyFont="1" applyBorder="1" applyAlignment="1">
      <alignment vertical="center" shrinkToFit="1"/>
    </xf>
    <xf numFmtId="0" fontId="10" fillId="0" borderId="0" xfId="2" applyFont="1">
      <alignment vertical="center"/>
    </xf>
    <xf numFmtId="0" fontId="11" fillId="0" borderId="33" xfId="2" applyFont="1" applyBorder="1" applyAlignment="1">
      <alignment horizontal="right" vertical="center"/>
    </xf>
    <xf numFmtId="0" fontId="10" fillId="0" borderId="27" xfId="2" applyBorder="1">
      <alignment vertical="center"/>
    </xf>
    <xf numFmtId="0" fontId="10" fillId="0" borderId="29" xfId="2" applyBorder="1">
      <alignment vertical="center"/>
    </xf>
    <xf numFmtId="0" fontId="10" fillId="0" borderId="34" xfId="2" applyBorder="1">
      <alignment vertical="center"/>
    </xf>
    <xf numFmtId="0" fontId="10" fillId="0" borderId="33" xfId="2" applyBorder="1">
      <alignment vertical="center"/>
    </xf>
    <xf numFmtId="0" fontId="10" fillId="0" borderId="35" xfId="2" quotePrefix="1" applyFont="1" applyBorder="1">
      <alignment vertical="center"/>
    </xf>
    <xf numFmtId="0" fontId="10" fillId="0" borderId="36" xfId="2" applyFont="1" applyBorder="1">
      <alignment vertical="center"/>
    </xf>
    <xf numFmtId="0" fontId="11" fillId="0" borderId="37" xfId="2" applyFont="1" applyBorder="1">
      <alignment vertical="center"/>
    </xf>
    <xf numFmtId="0" fontId="11" fillId="0" borderId="38" xfId="2" applyFont="1" applyBorder="1">
      <alignment vertical="center"/>
    </xf>
    <xf numFmtId="0" fontId="11" fillId="0" borderId="39" xfId="2" applyFont="1" applyBorder="1">
      <alignment vertical="center"/>
    </xf>
    <xf numFmtId="0" fontId="11" fillId="0" borderId="38" xfId="2" applyFont="1" applyBorder="1" applyAlignment="1">
      <alignment horizontal="right" vertical="center"/>
    </xf>
    <xf numFmtId="0" fontId="13" fillId="0" borderId="0" xfId="2" applyFont="1" applyFill="1" applyBorder="1" applyAlignment="1">
      <alignment horizontal="right" vertical="center"/>
    </xf>
    <xf numFmtId="0" fontId="13" fillId="0" borderId="0" xfId="2" applyFont="1" applyBorder="1" applyAlignment="1">
      <alignment horizontal="right" vertical="center"/>
    </xf>
    <xf numFmtId="0" fontId="11" fillId="0" borderId="0" xfId="1" applyFont="1" applyAlignment="1">
      <alignment horizontal="right"/>
    </xf>
    <xf numFmtId="0" fontId="12" fillId="0" borderId="0" xfId="1" quotePrefix="1" applyFont="1" applyBorder="1"/>
    <xf numFmtId="0" fontId="10" fillId="0" borderId="0" xfId="1" applyBorder="1"/>
    <xf numFmtId="0" fontId="10" fillId="0" borderId="27" xfId="1" applyBorder="1" applyAlignment="1">
      <alignment wrapText="1"/>
    </xf>
    <xf numFmtId="0" fontId="10" fillId="0" borderId="28" xfId="1" applyBorder="1" applyAlignment="1">
      <alignment wrapText="1"/>
    </xf>
    <xf numFmtId="0" fontId="10" fillId="0" borderId="29" xfId="1" applyBorder="1" applyAlignment="1">
      <alignment wrapText="1"/>
    </xf>
    <xf numFmtId="0" fontId="10" fillId="0" borderId="34" xfId="1" applyBorder="1" applyAlignment="1">
      <alignment wrapText="1"/>
    </xf>
    <xf numFmtId="0" fontId="10" fillId="0" borderId="31" xfId="1" applyBorder="1" applyAlignment="1">
      <alignment wrapText="1"/>
    </xf>
    <xf numFmtId="0" fontId="10" fillId="0" borderId="33" xfId="1" applyBorder="1" applyAlignment="1">
      <alignment wrapText="1"/>
    </xf>
    <xf numFmtId="0" fontId="10" fillId="0" borderId="35" xfId="1" applyBorder="1" applyAlignment="1">
      <alignment wrapText="1"/>
    </xf>
    <xf numFmtId="0" fontId="10" fillId="0" borderId="44" xfId="1" applyBorder="1" applyAlignment="1">
      <alignment wrapText="1"/>
    </xf>
    <xf numFmtId="14" fontId="10" fillId="0" borderId="44" xfId="1" applyNumberFormat="1" applyBorder="1" applyAlignment="1">
      <alignment wrapText="1"/>
    </xf>
    <xf numFmtId="0" fontId="10" fillId="0" borderId="36" xfId="1" applyBorder="1" applyAlignment="1">
      <alignment wrapText="1"/>
    </xf>
    <xf numFmtId="0" fontId="10" fillId="0" borderId="37" xfId="1" applyFont="1" applyBorder="1" applyAlignment="1">
      <alignment horizontal="center" wrapText="1"/>
    </xf>
    <xf numFmtId="0" fontId="10" fillId="0" borderId="39" xfId="1" applyFont="1" applyBorder="1" applyAlignment="1">
      <alignment horizontal="center" wrapText="1"/>
    </xf>
    <xf numFmtId="0" fontId="10" fillId="0" borderId="38" xfId="1" applyFont="1" applyBorder="1" applyAlignment="1">
      <alignment horizontal="center" wrapText="1"/>
    </xf>
    <xf numFmtId="0" fontId="10" fillId="0" borderId="0" xfId="1" applyFont="1" applyAlignment="1">
      <alignment horizontal="center"/>
    </xf>
    <xf numFmtId="0" fontId="10" fillId="0" borderId="27" xfId="1" applyFont="1" applyBorder="1"/>
    <xf numFmtId="0" fontId="10" fillId="0" borderId="29" xfId="1" applyFont="1" applyBorder="1" applyAlignment="1">
      <alignment horizontal="center"/>
    </xf>
    <xf numFmtId="0" fontId="10" fillId="0" borderId="34" xfId="1" applyFont="1" applyBorder="1"/>
    <xf numFmtId="0" fontId="10" fillId="0" borderId="33" xfId="1" applyFont="1" applyBorder="1" applyAlignment="1">
      <alignment horizontal="center"/>
    </xf>
    <xf numFmtId="0" fontId="10" fillId="0" borderId="45" xfId="1" applyFont="1" applyBorder="1" applyAlignment="1">
      <alignment horizontal="center"/>
    </xf>
    <xf numFmtId="0" fontId="10" fillId="0" borderId="46" xfId="1" applyFont="1" applyBorder="1" applyAlignment="1">
      <alignment horizontal="center"/>
    </xf>
    <xf numFmtId="0" fontId="10" fillId="0" borderId="0" xfId="1" applyAlignment="1"/>
    <xf numFmtId="0" fontId="17" fillId="0" borderId="0" xfId="1" applyFont="1"/>
    <xf numFmtId="0" fontId="17" fillId="0" borderId="0" xfId="1" applyFont="1" applyAlignment="1"/>
    <xf numFmtId="0" fontId="21" fillId="0" borderId="0" xfId="1" applyFont="1"/>
    <xf numFmtId="0" fontId="25" fillId="0" borderId="0" xfId="1" applyFont="1" applyAlignment="1">
      <alignment horizontal="center" wrapText="1"/>
    </xf>
    <xf numFmtId="0" fontId="21" fillId="0" borderId="0" xfId="1" applyFont="1" applyAlignment="1">
      <alignment horizontal="center"/>
    </xf>
    <xf numFmtId="0" fontId="26" fillId="0" borderId="0" xfId="1" applyFont="1" applyAlignment="1">
      <alignment horizontal="center" wrapText="1"/>
    </xf>
    <xf numFmtId="0" fontId="27" fillId="0" borderId="0" xfId="1" applyFont="1" applyAlignment="1">
      <alignment horizontal="center" wrapText="1"/>
    </xf>
    <xf numFmtId="0" fontId="21" fillId="0" borderId="0" xfId="1" applyFont="1" applyAlignment="1"/>
    <xf numFmtId="0" fontId="22" fillId="0" borderId="0" xfId="1" applyFont="1" applyAlignment="1">
      <alignment wrapText="1"/>
    </xf>
    <xf numFmtId="0" fontId="28" fillId="0" borderId="0" xfId="1" applyFont="1" applyAlignment="1">
      <alignment wrapText="1"/>
    </xf>
    <xf numFmtId="0" fontId="30" fillId="0" borderId="0" xfId="1" applyFont="1" applyAlignment="1">
      <alignment horizontal="left"/>
    </xf>
    <xf numFmtId="0" fontId="31" fillId="0" borderId="0" xfId="1" applyFont="1" applyAlignment="1">
      <alignment horizontal="left"/>
    </xf>
    <xf numFmtId="0" fontId="32" fillId="0" borderId="0" xfId="1" applyFont="1" applyAlignment="1" applyProtection="1">
      <alignment horizontal="left"/>
      <protection locked="0"/>
    </xf>
    <xf numFmtId="0" fontId="32" fillId="0" borderId="0" xfId="1" applyFont="1" applyAlignment="1">
      <alignment horizontal="left"/>
    </xf>
    <xf numFmtId="0" fontId="33" fillId="0" borderId="0" xfId="1" applyFont="1" applyAlignment="1">
      <alignment horizontal="left"/>
    </xf>
    <xf numFmtId="0" fontId="33" fillId="0" borderId="0" xfId="1" applyFont="1" applyAlignment="1">
      <alignment horizontal="right"/>
    </xf>
    <xf numFmtId="0" fontId="36" fillId="0" borderId="0" xfId="1" applyFont="1" applyAlignment="1"/>
    <xf numFmtId="0" fontId="37" fillId="0" borderId="0" xfId="1" applyFont="1" applyAlignment="1">
      <alignment horizontal="center" vertical="top" wrapText="1"/>
    </xf>
    <xf numFmtId="0" fontId="26" fillId="0" borderId="0" xfId="1" applyFont="1" applyAlignment="1">
      <alignment horizontal="center" vertical="top" wrapText="1"/>
    </xf>
    <xf numFmtId="0" fontId="27" fillId="0" borderId="0" xfId="1" applyFont="1" applyAlignment="1">
      <alignment horizontal="center" vertical="top" wrapText="1"/>
    </xf>
    <xf numFmtId="0" fontId="10" fillId="0" borderId="0" xfId="1" applyAlignment="1">
      <alignment horizontal="center" vertical="top" wrapText="1"/>
    </xf>
    <xf numFmtId="0" fontId="38" fillId="0" borderId="0" xfId="1" applyFont="1" applyAlignment="1">
      <alignment horizontal="center" vertical="center" wrapText="1"/>
    </xf>
    <xf numFmtId="0" fontId="44" fillId="0" borderId="0" xfId="1" applyFont="1" applyAlignment="1"/>
    <xf numFmtId="0" fontId="45" fillId="0" borderId="0" xfId="1" applyFont="1" applyAlignment="1">
      <alignment horizontal="center" vertical="top"/>
    </xf>
    <xf numFmtId="0" fontId="46" fillId="0" borderId="0" xfId="1" applyFont="1"/>
    <xf numFmtId="0" fontId="31" fillId="0" borderId="0" xfId="1" applyFont="1" applyAlignment="1">
      <alignment horizontal="center"/>
    </xf>
    <xf numFmtId="0" fontId="47" fillId="0" borderId="0" xfId="1" applyFont="1"/>
    <xf numFmtId="0" fontId="10" fillId="0" borderId="0" xfId="1" applyAlignment="1" applyProtection="1">
      <alignment horizontal="center"/>
    </xf>
    <xf numFmtId="0" fontId="10" fillId="0" borderId="0" xfId="1" applyAlignment="1" applyProtection="1">
      <alignment horizontal="center"/>
      <protection locked="0"/>
    </xf>
    <xf numFmtId="0" fontId="10" fillId="0" borderId="0" xfId="1" applyFont="1" applyAlignment="1" applyProtection="1">
      <alignment horizontal="center"/>
    </xf>
    <xf numFmtId="0" fontId="10" fillId="0" borderId="44" xfId="1" applyFont="1" applyBorder="1" applyAlignment="1" applyProtection="1">
      <alignment horizontal="center" shrinkToFit="1"/>
      <protection locked="0"/>
    </xf>
    <xf numFmtId="0" fontId="10" fillId="0" borderId="44" xfId="1" applyBorder="1" applyAlignment="1" applyProtection="1">
      <alignment horizontal="center"/>
    </xf>
    <xf numFmtId="0" fontId="10" fillId="0" borderId="0" xfId="1" applyFont="1" applyAlignment="1" applyProtection="1">
      <alignment horizontal="center"/>
      <protection locked="0"/>
    </xf>
    <xf numFmtId="0" fontId="48" fillId="0" borderId="40" xfId="1" applyFont="1" applyBorder="1" applyAlignment="1">
      <alignment horizontal="center" vertical="top" wrapText="1"/>
    </xf>
    <xf numFmtId="0" fontId="48" fillId="0" borderId="47" xfId="1" applyFont="1" applyBorder="1" applyAlignment="1">
      <alignment horizontal="center" vertical="top" wrapText="1"/>
    </xf>
    <xf numFmtId="49" fontId="10" fillId="0" borderId="0" xfId="1" applyNumberFormat="1" applyFont="1" applyAlignment="1" applyProtection="1">
      <alignment horizontal="center"/>
      <protection locked="0"/>
    </xf>
    <xf numFmtId="0" fontId="10" fillId="0" borderId="0" xfId="1" applyFont="1" applyAlignment="1">
      <alignment horizontal="right"/>
    </xf>
    <xf numFmtId="0" fontId="0" fillId="0" borderId="25" xfId="0" applyFill="1" applyBorder="1" applyAlignment="1" applyProtection="1">
      <alignment wrapText="1"/>
    </xf>
    <xf numFmtId="14" fontId="0" fillId="0" borderId="26" xfId="0" applyNumberFormat="1" applyFill="1" applyBorder="1" applyAlignment="1" applyProtection="1">
      <alignment wrapText="1"/>
    </xf>
    <xf numFmtId="14" fontId="0" fillId="2" borderId="6" xfId="0" applyNumberFormat="1" applyFill="1" applyBorder="1" applyAlignment="1" applyProtection="1">
      <alignment horizontal="left" vertical="center"/>
    </xf>
    <xf numFmtId="0" fontId="1" fillId="6" borderId="7" xfId="0" applyFont="1" applyFill="1" applyBorder="1" applyAlignment="1" applyProtection="1">
      <alignment horizontal="center" vertical="center" wrapText="1"/>
    </xf>
    <xf numFmtId="14" fontId="0" fillId="4" borderId="14" xfId="0" applyNumberFormat="1" applyFill="1" applyBorder="1" applyAlignment="1" applyProtection="1">
      <alignment horizontal="right" vertical="center" wrapText="1"/>
    </xf>
    <xf numFmtId="0" fontId="2" fillId="0" borderId="16" xfId="0" applyFont="1" applyFill="1" applyBorder="1" applyAlignment="1" applyProtection="1">
      <alignment wrapText="1"/>
    </xf>
    <xf numFmtId="0" fontId="0" fillId="4" borderId="10" xfId="0" applyFill="1" applyBorder="1" applyAlignment="1" applyProtection="1">
      <alignment horizontal="right" vertical="center" wrapText="1"/>
    </xf>
    <xf numFmtId="0" fontId="0" fillId="5" borderId="0" xfId="0" applyFill="1" applyBorder="1" applyAlignment="1" applyProtection="1">
      <alignment vertical="center" wrapText="1"/>
    </xf>
    <xf numFmtId="0" fontId="0" fillId="5" borderId="0" xfId="0" applyFill="1" applyAlignment="1" applyProtection="1">
      <alignment vertical="center" wrapText="1"/>
    </xf>
    <xf numFmtId="0" fontId="0" fillId="5" borderId="0" xfId="0" applyFill="1" applyProtection="1"/>
    <xf numFmtId="0" fontId="7" fillId="0" borderId="2" xfId="0" applyNumberFormat="1" applyFont="1" applyFill="1" applyBorder="1" applyAlignment="1" applyProtection="1">
      <alignment wrapText="1"/>
      <protection locked="0"/>
    </xf>
    <xf numFmtId="0" fontId="1" fillId="6" borderId="5" xfId="0" applyFont="1" applyFill="1" applyBorder="1" applyAlignment="1" applyProtection="1">
      <alignment horizontal="center" vertical="center" wrapText="1"/>
    </xf>
    <xf numFmtId="0" fontId="11" fillId="0" borderId="0" xfId="1" applyFont="1" applyAlignment="1">
      <alignment horizontal="center"/>
    </xf>
    <xf numFmtId="0" fontId="13" fillId="0" borderId="0" xfId="1" applyNumberFormat="1" applyFont="1" applyBorder="1" applyAlignment="1">
      <alignment horizontal="left"/>
    </xf>
    <xf numFmtId="165" fontId="13" fillId="0" borderId="0" xfId="1" applyNumberFormat="1" applyFont="1" applyBorder="1" applyAlignment="1">
      <alignment horizontal="left"/>
    </xf>
    <xf numFmtId="0" fontId="11" fillId="0" borderId="41" xfId="1" applyFont="1" applyBorder="1" applyAlignment="1">
      <alignment horizontal="center"/>
    </xf>
    <xf numFmtId="0" fontId="14" fillId="0" borderId="42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1" fillId="0" borderId="43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0" fillId="0" borderId="42" xfId="1" applyFont="1" applyBorder="1" applyAlignment="1">
      <alignment horizontal="center"/>
    </xf>
    <xf numFmtId="0" fontId="10" fillId="0" borderId="41" xfId="1" applyFont="1" applyBorder="1" applyAlignment="1">
      <alignment horizontal="center"/>
    </xf>
    <xf numFmtId="0" fontId="10" fillId="0" borderId="40" xfId="1" applyFont="1" applyBorder="1" applyAlignment="1">
      <alignment horizontal="center"/>
    </xf>
    <xf numFmtId="0" fontId="9" fillId="8" borderId="20" xfId="0" applyFont="1" applyFill="1" applyBorder="1" applyAlignment="1" applyProtection="1">
      <alignment horizontal="center"/>
      <protection locked="0"/>
    </xf>
    <xf numFmtId="0" fontId="9" fillId="8" borderId="23" xfId="0" applyFont="1" applyFill="1" applyBorder="1" applyAlignment="1" applyProtection="1">
      <alignment horizontal="center"/>
      <protection locked="0"/>
    </xf>
    <xf numFmtId="0" fontId="0" fillId="5" borderId="24" xfId="0" applyNumberFormat="1" applyFill="1" applyBorder="1" applyAlignment="1">
      <alignment horizontal="left" vertical="top" wrapText="1"/>
    </xf>
    <xf numFmtId="0" fontId="0" fillId="5" borderId="6" xfId="0" applyNumberFormat="1" applyFill="1" applyBorder="1" applyAlignment="1">
      <alignment horizontal="left" vertical="top" wrapText="1"/>
    </xf>
    <xf numFmtId="0" fontId="0" fillId="3" borderId="6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right" vertical="center" wrapText="1"/>
    </xf>
    <xf numFmtId="0" fontId="0" fillId="5" borderId="6" xfId="0" applyFill="1" applyBorder="1" applyAlignment="1">
      <alignment horizontal="right" vertic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9" fillId="0" borderId="0" xfId="1" applyFont="1" applyAlignment="1">
      <alignment horizontal="center" vertical="center" textRotation="180" wrapText="1"/>
    </xf>
    <xf numFmtId="0" fontId="11" fillId="0" borderId="0" xfId="1" applyFont="1" applyAlignment="1">
      <alignment horizontal="center" vertical="center" textRotation="180" wrapText="1"/>
    </xf>
    <xf numFmtId="0" fontId="18" fillId="0" borderId="0" xfId="1" applyFont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42" fillId="0" borderId="0" xfId="1" applyFont="1" applyAlignment="1" applyProtection="1">
      <alignment horizontal="center" vertical="center" wrapText="1"/>
      <protection locked="0"/>
    </xf>
    <xf numFmtId="0" fontId="34" fillId="0" borderId="0" xfId="1" applyFont="1" applyAlignment="1" applyProtection="1">
      <alignment horizontal="center" vertical="center" wrapText="1"/>
    </xf>
    <xf numFmtId="0" fontId="33" fillId="0" borderId="0" xfId="1" applyFont="1" applyAlignment="1">
      <alignment horizontal="center" vertical="center" wrapText="1"/>
    </xf>
    <xf numFmtId="0" fontId="41" fillId="0" borderId="0" xfId="1" applyFont="1" applyAlignment="1">
      <alignment horizontal="center" vertical="center" wrapText="1"/>
    </xf>
    <xf numFmtId="0" fontId="43" fillId="0" borderId="0" xfId="1" applyFont="1" applyAlignment="1">
      <alignment horizontal="center" vertical="center" textRotation="180" wrapText="1"/>
    </xf>
    <xf numFmtId="0" fontId="40" fillId="0" borderId="0" xfId="1" applyFont="1" applyAlignment="1">
      <alignment horizontal="center" vertical="center" textRotation="180" wrapText="1"/>
    </xf>
    <xf numFmtId="0" fontId="31" fillId="0" borderId="0" xfId="1" applyFont="1" applyAlignment="1">
      <alignment horizontal="center" vertical="center" wrapText="1"/>
    </xf>
    <xf numFmtId="0" fontId="39" fillId="0" borderId="0" xfId="1" applyFont="1" applyAlignment="1">
      <alignment horizontal="center" vertical="center" wrapText="1"/>
    </xf>
    <xf numFmtId="0" fontId="35" fillId="0" borderId="0" xfId="1" applyFont="1" applyAlignment="1">
      <alignment horizontal="center" vertical="center" textRotation="180" wrapText="1"/>
    </xf>
    <xf numFmtId="0" fontId="29" fillId="0" borderId="0" xfId="1" applyFont="1" applyAlignment="1">
      <alignment horizontal="center" vertical="center" textRotation="180" wrapText="1"/>
    </xf>
    <xf numFmtId="0" fontId="10" fillId="0" borderId="0" xfId="1" applyAlignment="1">
      <alignment wrapText="1"/>
    </xf>
    <xf numFmtId="0" fontId="27" fillId="0" borderId="0" xfId="1" applyFont="1" applyAlignment="1">
      <alignment horizontal="center" vertical="center" textRotation="180" wrapText="1"/>
    </xf>
    <xf numFmtId="0" fontId="10" fillId="0" borderId="0" xfId="1" applyAlignment="1">
      <alignment horizontal="center" vertical="center" textRotation="180" wrapText="1"/>
    </xf>
    <xf numFmtId="0" fontId="50" fillId="0" borderId="0" xfId="1" applyFont="1" applyAlignment="1">
      <alignment horizontal="center"/>
    </xf>
    <xf numFmtId="0" fontId="49" fillId="0" borderId="0" xfId="1" applyFont="1" applyAlignment="1">
      <alignment horizontal="center"/>
    </xf>
    <xf numFmtId="0" fontId="10" fillId="5" borderId="0" xfId="1" applyFill="1" applyAlignment="1">
      <alignment wrapText="1"/>
    </xf>
    <xf numFmtId="0" fontId="10" fillId="5" borderId="0" xfId="1" applyFill="1"/>
    <xf numFmtId="0" fontId="11" fillId="5" borderId="0" xfId="1" applyFont="1" applyFill="1" applyAlignment="1">
      <alignment horizontal="left" wrapText="1" indent="2"/>
    </xf>
    <xf numFmtId="0" fontId="10" fillId="5" borderId="0" xfId="1" applyFill="1" applyAlignment="1">
      <alignment vertical="top" wrapText="1"/>
    </xf>
    <xf numFmtId="0" fontId="10" fillId="5" borderId="0" xfId="1" applyFill="1" applyAlignment="1">
      <alignment vertical="top"/>
    </xf>
    <xf numFmtId="0" fontId="10" fillId="5" borderId="0" xfId="1" applyFill="1" applyAlignment="1">
      <alignment horizontal="left" wrapText="1" indent="2"/>
    </xf>
    <xf numFmtId="0" fontId="51" fillId="5" borderId="0" xfId="1" applyFont="1" applyFill="1"/>
    <xf numFmtId="0" fontId="10" fillId="0" borderId="0" xfId="1" applyFill="1" applyAlignment="1">
      <alignment wrapText="1"/>
    </xf>
    <xf numFmtId="49" fontId="52" fillId="5" borderId="0" xfId="0" applyNumberFormat="1" applyFont="1" applyFill="1" applyBorder="1" applyAlignment="1">
      <alignment horizontal="left" indent="1"/>
    </xf>
    <xf numFmtId="49" fontId="53" fillId="5" borderId="0" xfId="0" applyNumberFormat="1" applyFont="1" applyFill="1" applyBorder="1" applyAlignment="1">
      <alignment horizontal="left" indent="1"/>
    </xf>
    <xf numFmtId="49" fontId="11" fillId="5" borderId="0" xfId="1" applyNumberFormat="1" applyFont="1" applyFill="1" applyAlignment="1">
      <alignment horizontal="right" vertical="top"/>
    </xf>
  </cellXfs>
  <cellStyles count="4">
    <cellStyle name="Hyperlink 2" xfId="3"/>
    <cellStyle name="Normal" xfId="0" builtinId="0"/>
    <cellStyle name="Normal 2" xfId="1"/>
    <cellStyle name="Normal_Book1" xfId="2"/>
  </cellStyles>
  <dxfs count="25"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66676</xdr:colOff>
      <xdr:row>6</xdr:row>
      <xdr:rowOff>76200</xdr:rowOff>
    </xdr:from>
    <xdr:to>
      <xdr:col>12</xdr:col>
      <xdr:colOff>504826</xdr:colOff>
      <xdr:row>22</xdr:row>
      <xdr:rowOff>151129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7476" y="723900"/>
          <a:ext cx="5924550" cy="266572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57151</xdr:colOff>
      <xdr:row>25</xdr:row>
      <xdr:rowOff>47626</xdr:rowOff>
    </xdr:from>
    <xdr:to>
      <xdr:col>12</xdr:col>
      <xdr:colOff>457201</xdr:colOff>
      <xdr:row>40</xdr:row>
      <xdr:rowOff>103053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86526" y="3867151"/>
          <a:ext cx="5886450" cy="248430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76201</xdr:colOff>
      <xdr:row>44</xdr:row>
      <xdr:rowOff>9525</xdr:rowOff>
    </xdr:from>
    <xdr:to>
      <xdr:col>11</xdr:col>
      <xdr:colOff>30790</xdr:colOff>
      <xdr:row>55</xdr:row>
      <xdr:rowOff>114300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576" y="6905625"/>
          <a:ext cx="4831389" cy="23431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11</xdr:col>
      <xdr:colOff>409576</xdr:colOff>
      <xdr:row>43</xdr:row>
      <xdr:rowOff>123826</xdr:rowOff>
    </xdr:from>
    <xdr:to>
      <xdr:col>18</xdr:col>
      <xdr:colOff>542926</xdr:colOff>
      <xdr:row>55</xdr:row>
      <xdr:rowOff>155586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15751" y="6858001"/>
          <a:ext cx="4400550" cy="24320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47626</xdr:colOff>
      <xdr:row>60</xdr:row>
      <xdr:rowOff>95250</xdr:rowOff>
    </xdr:from>
    <xdr:to>
      <xdr:col>17</xdr:col>
      <xdr:colOff>119764</xdr:colOff>
      <xdr:row>72</xdr:row>
      <xdr:rowOff>28575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77001" y="9944100"/>
          <a:ext cx="8606538" cy="18764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57151</xdr:colOff>
      <xdr:row>74</xdr:row>
      <xdr:rowOff>123826</xdr:rowOff>
    </xdr:from>
    <xdr:to>
      <xdr:col>12</xdr:col>
      <xdr:colOff>209551</xdr:colOff>
      <xdr:row>91</xdr:row>
      <xdr:rowOff>90425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486526" y="12239626"/>
          <a:ext cx="5638800" cy="271932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7</xdr:col>
      <xdr:colOff>308202</xdr:colOff>
      <xdr:row>113</xdr:row>
      <xdr:rowOff>123825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29375" y="15516225"/>
          <a:ext cx="2746602" cy="30384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4</xdr:row>
      <xdr:rowOff>9525</xdr:rowOff>
    </xdr:from>
    <xdr:ext cx="781050" cy="733425"/>
    <xdr:pic>
      <xdr:nvPicPr>
        <xdr:cNvPr id="2" name="Picture 2" descr="Sundyne Comp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7200" y="657225"/>
          <a:ext cx="7810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0</xdr:row>
          <xdr:rowOff>66675</xdr:rowOff>
        </xdr:from>
        <xdr:to>
          <xdr:col>4</xdr:col>
          <xdr:colOff>38100</xdr:colOff>
          <xdr:row>0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NEW ISSUE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57150</xdr:rowOff>
        </xdr:from>
        <xdr:to>
          <xdr:col>4</xdr:col>
          <xdr:colOff>981075</xdr:colOff>
          <xdr:row>0</xdr:row>
          <xdr:rowOff>504825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1047750</xdr:colOff>
          <xdr:row>0</xdr:row>
          <xdr:rowOff>47625</xdr:rowOff>
        </xdr:from>
        <xdr:to>
          <xdr:col>7</xdr:col>
          <xdr:colOff>514350</xdr:colOff>
          <xdr:row>0</xdr:row>
          <xdr:rowOff>495300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RESOLVE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581025</xdr:colOff>
          <xdr:row>0</xdr:row>
          <xdr:rowOff>47625</xdr:rowOff>
        </xdr:from>
        <xdr:to>
          <xdr:col>7</xdr:col>
          <xdr:colOff>1457325</xdr:colOff>
          <xdr:row>0</xdr:row>
          <xdr:rowOff>495300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1533525</xdr:colOff>
          <xdr:row>0</xdr:row>
          <xdr:rowOff>47625</xdr:rowOff>
        </xdr:from>
        <xdr:to>
          <xdr:col>7</xdr:col>
          <xdr:colOff>2952750</xdr:colOff>
          <xdr:row>0</xdr:row>
          <xdr:rowOff>495300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BY SELECTED COLUMN (ASCENDING)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3019425</xdr:colOff>
          <xdr:row>0</xdr:row>
          <xdr:rowOff>47625</xdr:rowOff>
        </xdr:from>
        <xdr:to>
          <xdr:col>7</xdr:col>
          <xdr:colOff>4543425</xdr:colOff>
          <xdr:row>0</xdr:row>
          <xdr:rowOff>495300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BY SELECTED COLUMN (DESCENDING)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66675</xdr:colOff>
      <xdr:row>2</xdr:row>
      <xdr:rowOff>38100</xdr:rowOff>
    </xdr:from>
    <xdr:ext cx="698500" cy="676275"/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29875" y="361950"/>
          <a:ext cx="69850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723900</xdr:colOff>
      <xdr:row>5</xdr:row>
      <xdr:rowOff>76200</xdr:rowOff>
    </xdr:from>
    <xdr:to>
      <xdr:col>10</xdr:col>
      <xdr:colOff>295275</xdr:colOff>
      <xdr:row>21</xdr:row>
      <xdr:rowOff>57150</xdr:rowOff>
    </xdr:to>
    <xdr:sp macro="" textlink="">
      <xdr:nvSpPr>
        <xdr:cNvPr id="3" name="Freeform 2"/>
        <xdr:cNvSpPr>
          <a:spLocks/>
        </xdr:cNvSpPr>
      </xdr:nvSpPr>
      <xdr:spPr bwMode="auto">
        <a:xfrm>
          <a:off x="1219200" y="885825"/>
          <a:ext cx="5172075" cy="2571750"/>
        </a:xfrm>
        <a:custGeom>
          <a:avLst/>
          <a:gdLst>
            <a:gd name="T0" fmla="*/ 186495 w 3413"/>
            <a:gd name="T1" fmla="*/ 3949 h 1968"/>
            <a:gd name="T2" fmla="*/ 141736 w 3413"/>
            <a:gd name="T3" fmla="*/ 19747 h 1968"/>
            <a:gd name="T4" fmla="*/ 106924 w 3413"/>
            <a:gd name="T5" fmla="*/ 33570 h 1968"/>
            <a:gd name="T6" fmla="*/ 52219 w 3413"/>
            <a:gd name="T7" fmla="*/ 80963 h 1968"/>
            <a:gd name="T8" fmla="*/ 14920 w 3413"/>
            <a:gd name="T9" fmla="*/ 142178 h 1968"/>
            <a:gd name="T10" fmla="*/ 4973 w 3413"/>
            <a:gd name="T11" fmla="*/ 187596 h 1968"/>
            <a:gd name="T12" fmla="*/ 4973 w 3413"/>
            <a:gd name="T13" fmla="*/ 3698604 h 1968"/>
            <a:gd name="T14" fmla="*/ 14920 w 3413"/>
            <a:gd name="T15" fmla="*/ 3744022 h 1968"/>
            <a:gd name="T16" fmla="*/ 62165 w 3413"/>
            <a:gd name="T17" fmla="*/ 3813136 h 1968"/>
            <a:gd name="T18" fmla="*/ 96978 w 3413"/>
            <a:gd name="T19" fmla="*/ 3844731 h 1968"/>
            <a:gd name="T20" fmla="*/ 161629 w 3413"/>
            <a:gd name="T21" fmla="*/ 3876327 h 1968"/>
            <a:gd name="T22" fmla="*/ 203901 w 3413"/>
            <a:gd name="T23" fmla="*/ 3882251 h 1968"/>
            <a:gd name="T24" fmla="*/ 8280387 w 3413"/>
            <a:gd name="T25" fmla="*/ 3882251 h 1968"/>
            <a:gd name="T26" fmla="*/ 8325146 w 3413"/>
            <a:gd name="T27" fmla="*/ 3876327 h 1968"/>
            <a:gd name="T28" fmla="*/ 8374878 w 3413"/>
            <a:gd name="T29" fmla="*/ 3852630 h 1968"/>
            <a:gd name="T30" fmla="*/ 8409690 w 3413"/>
            <a:gd name="T31" fmla="*/ 3824984 h 1968"/>
            <a:gd name="T32" fmla="*/ 8471855 w 3413"/>
            <a:gd name="T33" fmla="*/ 3736123 h 1968"/>
            <a:gd name="T34" fmla="*/ 8481802 w 3413"/>
            <a:gd name="T35" fmla="*/ 3686756 h 1968"/>
            <a:gd name="T36" fmla="*/ 8481802 w 3413"/>
            <a:gd name="T37" fmla="*/ 195495 h 1968"/>
            <a:gd name="T38" fmla="*/ 8471855 w 3413"/>
            <a:gd name="T39" fmla="*/ 150077 h 1968"/>
            <a:gd name="T40" fmla="*/ 8432070 w 3413"/>
            <a:gd name="T41" fmla="*/ 84912 h 1968"/>
            <a:gd name="T42" fmla="*/ 8414664 w 3413"/>
            <a:gd name="T43" fmla="*/ 65165 h 1968"/>
            <a:gd name="T44" fmla="*/ 8369905 w 3413"/>
            <a:gd name="T45" fmla="*/ 29620 h 1968"/>
            <a:gd name="T46" fmla="*/ 8305253 w 3413"/>
            <a:gd name="T47" fmla="*/ 3949 h 1968"/>
            <a:gd name="T48" fmla="*/ 8253034 w 3413"/>
            <a:gd name="T49" fmla="*/ 0 h 1968"/>
            <a:gd name="T50" fmla="*/ 8253034 w 3413"/>
            <a:gd name="T51" fmla="*/ 77013 h 1968"/>
            <a:gd name="T52" fmla="*/ 8285360 w 3413"/>
            <a:gd name="T53" fmla="*/ 80963 h 1968"/>
            <a:gd name="T54" fmla="*/ 8310226 w 3413"/>
            <a:gd name="T55" fmla="*/ 92811 h 1968"/>
            <a:gd name="T56" fmla="*/ 8335092 w 3413"/>
            <a:gd name="T57" fmla="*/ 110583 h 1968"/>
            <a:gd name="T58" fmla="*/ 8354985 w 3413"/>
            <a:gd name="T59" fmla="*/ 130330 h 1968"/>
            <a:gd name="T60" fmla="*/ 8374878 w 3413"/>
            <a:gd name="T61" fmla="*/ 165874 h 1968"/>
            <a:gd name="T62" fmla="*/ 8384824 w 3413"/>
            <a:gd name="T63" fmla="*/ 211292 h 1968"/>
            <a:gd name="T64" fmla="*/ 8384824 w 3413"/>
            <a:gd name="T65" fmla="*/ 3670958 h 1968"/>
            <a:gd name="T66" fmla="*/ 8374878 w 3413"/>
            <a:gd name="T67" fmla="*/ 3722300 h 1968"/>
            <a:gd name="T68" fmla="*/ 8330119 w 3413"/>
            <a:gd name="T69" fmla="*/ 3779566 h 1968"/>
            <a:gd name="T70" fmla="*/ 8305253 w 3413"/>
            <a:gd name="T71" fmla="*/ 3799313 h 1968"/>
            <a:gd name="T72" fmla="*/ 8305253 w 3413"/>
            <a:gd name="T73" fmla="*/ 3799313 h 1968"/>
            <a:gd name="T74" fmla="*/ 8262981 w 3413"/>
            <a:gd name="T75" fmla="*/ 3807212 h 1968"/>
            <a:gd name="T76" fmla="*/ 223794 w 3413"/>
            <a:gd name="T77" fmla="*/ 3807212 h 1968"/>
            <a:gd name="T78" fmla="*/ 181522 w 3413"/>
            <a:gd name="T79" fmla="*/ 3799313 h 1968"/>
            <a:gd name="T80" fmla="*/ 161629 w 3413"/>
            <a:gd name="T81" fmla="*/ 3787465 h 1968"/>
            <a:gd name="T82" fmla="*/ 136763 w 3413"/>
            <a:gd name="T83" fmla="*/ 3759820 h 1968"/>
            <a:gd name="T84" fmla="*/ 111897 w 3413"/>
            <a:gd name="T85" fmla="*/ 3722300 h 1968"/>
            <a:gd name="T86" fmla="*/ 96978 w 3413"/>
            <a:gd name="T87" fmla="*/ 3670958 h 1968"/>
            <a:gd name="T88" fmla="*/ 101951 w 3413"/>
            <a:gd name="T89" fmla="*/ 179697 h 1968"/>
            <a:gd name="T90" fmla="*/ 116870 w 3413"/>
            <a:gd name="T91" fmla="*/ 146127 h 1968"/>
            <a:gd name="T92" fmla="*/ 146710 w 3413"/>
            <a:gd name="T93" fmla="*/ 110583 h 1968"/>
            <a:gd name="T94" fmla="*/ 181522 w 3413"/>
            <a:gd name="T95" fmla="*/ 88861 h 1968"/>
            <a:gd name="T96" fmla="*/ 193955 w 3413"/>
            <a:gd name="T97" fmla="*/ 80963 h 1968"/>
            <a:gd name="T98" fmla="*/ 233741 w 3413"/>
            <a:gd name="T99" fmla="*/ 77013 h 1968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w 3413"/>
            <a:gd name="T151" fmla="*/ 0 h 1968"/>
            <a:gd name="T152" fmla="*/ 3413 w 3413"/>
            <a:gd name="T153" fmla="*/ 1968 h 1968"/>
          </a:gdLst>
          <a:ahLst/>
          <a:cxnLst>
            <a:cxn ang="T100">
              <a:pos x="T0" y="T1"/>
            </a:cxn>
            <a:cxn ang="T101">
              <a:pos x="T2" y="T3"/>
            </a:cxn>
            <a:cxn ang="T102">
              <a:pos x="T4" y="T5"/>
            </a:cxn>
            <a:cxn ang="T103">
              <a:pos x="T6" y="T7"/>
            </a:cxn>
            <a:cxn ang="T104">
              <a:pos x="T8" y="T9"/>
            </a:cxn>
            <a:cxn ang="T105">
              <a:pos x="T10" y="T11"/>
            </a:cxn>
            <a:cxn ang="T106">
              <a:pos x="T12" y="T13"/>
            </a:cxn>
            <a:cxn ang="T107">
              <a:pos x="T14" y="T15"/>
            </a:cxn>
            <a:cxn ang="T108">
              <a:pos x="T16" y="T17"/>
            </a:cxn>
            <a:cxn ang="T109">
              <a:pos x="T18" y="T19"/>
            </a:cxn>
            <a:cxn ang="T110">
              <a:pos x="T20" y="T21"/>
            </a:cxn>
            <a:cxn ang="T111">
              <a:pos x="T22" y="T23"/>
            </a:cxn>
            <a:cxn ang="T112">
              <a:pos x="T24" y="T25"/>
            </a:cxn>
            <a:cxn ang="T113">
              <a:pos x="T26" y="T27"/>
            </a:cxn>
            <a:cxn ang="T114">
              <a:pos x="T28" y="T29"/>
            </a:cxn>
            <a:cxn ang="T115">
              <a:pos x="T30" y="T31"/>
            </a:cxn>
            <a:cxn ang="T116">
              <a:pos x="T32" y="T33"/>
            </a:cxn>
            <a:cxn ang="T117">
              <a:pos x="T34" y="T35"/>
            </a:cxn>
            <a:cxn ang="T118">
              <a:pos x="T36" y="T37"/>
            </a:cxn>
            <a:cxn ang="T119">
              <a:pos x="T38" y="T39"/>
            </a:cxn>
            <a:cxn ang="T120">
              <a:pos x="T40" y="T41"/>
            </a:cxn>
            <a:cxn ang="T121">
              <a:pos x="T42" y="T43"/>
            </a:cxn>
            <a:cxn ang="T122">
              <a:pos x="T44" y="T45"/>
            </a:cxn>
            <a:cxn ang="T123">
              <a:pos x="T46" y="T47"/>
            </a:cxn>
            <a:cxn ang="T124">
              <a:pos x="T48" y="T49"/>
            </a:cxn>
            <a:cxn ang="T125">
              <a:pos x="T50" y="T51"/>
            </a:cxn>
            <a:cxn ang="T126">
              <a:pos x="T52" y="T53"/>
            </a:cxn>
            <a:cxn ang="T127">
              <a:pos x="T54" y="T55"/>
            </a:cxn>
            <a:cxn ang="T128">
              <a:pos x="T56" y="T57"/>
            </a:cxn>
            <a:cxn ang="T129">
              <a:pos x="T58" y="T59"/>
            </a:cxn>
            <a:cxn ang="T130">
              <a:pos x="T60" y="T61"/>
            </a:cxn>
            <a:cxn ang="T131">
              <a:pos x="T62" y="T63"/>
            </a:cxn>
            <a:cxn ang="T132">
              <a:pos x="T64" y="T65"/>
            </a:cxn>
            <a:cxn ang="T133">
              <a:pos x="T66" y="T67"/>
            </a:cxn>
            <a:cxn ang="T134">
              <a:pos x="T68" y="T69"/>
            </a:cxn>
            <a:cxn ang="T135">
              <a:pos x="T70" y="T71"/>
            </a:cxn>
            <a:cxn ang="T136">
              <a:pos x="T72" y="T73"/>
            </a:cxn>
            <a:cxn ang="T137">
              <a:pos x="T74" y="T75"/>
            </a:cxn>
            <a:cxn ang="T138">
              <a:pos x="T76" y="T77"/>
            </a:cxn>
            <a:cxn ang="T139">
              <a:pos x="T78" y="T79"/>
            </a:cxn>
            <a:cxn ang="T140">
              <a:pos x="T80" y="T81"/>
            </a:cxn>
            <a:cxn ang="T141">
              <a:pos x="T82" y="T83"/>
            </a:cxn>
            <a:cxn ang="T142">
              <a:pos x="T84" y="T85"/>
            </a:cxn>
            <a:cxn ang="T143">
              <a:pos x="T86" y="T87"/>
            </a:cxn>
            <a:cxn ang="T144">
              <a:pos x="T88" y="T89"/>
            </a:cxn>
            <a:cxn ang="T145">
              <a:pos x="T90" y="T91"/>
            </a:cxn>
            <a:cxn ang="T146">
              <a:pos x="T92" y="T93"/>
            </a:cxn>
            <a:cxn ang="T147">
              <a:pos x="T94" y="T95"/>
            </a:cxn>
            <a:cxn ang="T148">
              <a:pos x="T96" y="T97"/>
            </a:cxn>
            <a:cxn ang="T149">
              <a:pos x="T98" y="T99"/>
            </a:cxn>
          </a:cxnLst>
          <a:rect l="T150" t="T151" r="T152" b="T153"/>
          <a:pathLst>
            <a:path w="3413" h="1968">
              <a:moveTo>
                <a:pt x="94" y="0"/>
              </a:moveTo>
              <a:lnTo>
                <a:pt x="78" y="0"/>
              </a:lnTo>
              <a:lnTo>
                <a:pt x="75" y="2"/>
              </a:lnTo>
              <a:lnTo>
                <a:pt x="71" y="2"/>
              </a:lnTo>
              <a:lnTo>
                <a:pt x="59" y="8"/>
              </a:lnTo>
              <a:lnTo>
                <a:pt x="57" y="10"/>
              </a:lnTo>
              <a:lnTo>
                <a:pt x="49" y="13"/>
              </a:lnTo>
              <a:lnTo>
                <a:pt x="47" y="15"/>
              </a:lnTo>
              <a:lnTo>
                <a:pt x="43" y="17"/>
              </a:lnTo>
              <a:lnTo>
                <a:pt x="27" y="33"/>
              </a:lnTo>
              <a:lnTo>
                <a:pt x="25" y="39"/>
              </a:lnTo>
              <a:lnTo>
                <a:pt x="21" y="41"/>
              </a:lnTo>
              <a:lnTo>
                <a:pt x="11" y="58"/>
              </a:lnTo>
              <a:lnTo>
                <a:pt x="10" y="64"/>
              </a:lnTo>
              <a:lnTo>
                <a:pt x="6" y="72"/>
              </a:lnTo>
              <a:lnTo>
                <a:pt x="6" y="76"/>
              </a:lnTo>
              <a:lnTo>
                <a:pt x="2" y="85"/>
              </a:lnTo>
              <a:lnTo>
                <a:pt x="2" y="95"/>
              </a:lnTo>
              <a:lnTo>
                <a:pt x="0" y="99"/>
              </a:lnTo>
              <a:lnTo>
                <a:pt x="0" y="1867"/>
              </a:lnTo>
              <a:lnTo>
                <a:pt x="2" y="1873"/>
              </a:lnTo>
              <a:lnTo>
                <a:pt x="2" y="1883"/>
              </a:lnTo>
              <a:lnTo>
                <a:pt x="6" y="1891"/>
              </a:lnTo>
              <a:lnTo>
                <a:pt x="6" y="1896"/>
              </a:lnTo>
              <a:lnTo>
                <a:pt x="19" y="1924"/>
              </a:lnTo>
              <a:lnTo>
                <a:pt x="23" y="1928"/>
              </a:lnTo>
              <a:lnTo>
                <a:pt x="25" y="1931"/>
              </a:lnTo>
              <a:lnTo>
                <a:pt x="31" y="1937"/>
              </a:lnTo>
              <a:lnTo>
                <a:pt x="33" y="1941"/>
              </a:lnTo>
              <a:lnTo>
                <a:pt x="39" y="1947"/>
              </a:lnTo>
              <a:lnTo>
                <a:pt x="43" y="1949"/>
              </a:lnTo>
              <a:lnTo>
                <a:pt x="49" y="1955"/>
              </a:lnTo>
              <a:lnTo>
                <a:pt x="65" y="1963"/>
              </a:lnTo>
              <a:lnTo>
                <a:pt x="67" y="1963"/>
              </a:lnTo>
              <a:lnTo>
                <a:pt x="75" y="1966"/>
              </a:lnTo>
              <a:lnTo>
                <a:pt x="82" y="1966"/>
              </a:lnTo>
              <a:lnTo>
                <a:pt x="86" y="1968"/>
              </a:lnTo>
              <a:lnTo>
                <a:pt x="3326" y="1968"/>
              </a:lnTo>
              <a:lnTo>
                <a:pt x="3330" y="1966"/>
              </a:lnTo>
              <a:lnTo>
                <a:pt x="3336" y="1966"/>
              </a:lnTo>
              <a:lnTo>
                <a:pt x="3344" y="1963"/>
              </a:lnTo>
              <a:lnTo>
                <a:pt x="3348" y="1963"/>
              </a:lnTo>
              <a:lnTo>
                <a:pt x="3360" y="1957"/>
              </a:lnTo>
              <a:lnTo>
                <a:pt x="3362" y="1955"/>
              </a:lnTo>
              <a:lnTo>
                <a:pt x="3368" y="1951"/>
              </a:lnTo>
              <a:lnTo>
                <a:pt x="3370" y="1947"/>
              </a:lnTo>
              <a:lnTo>
                <a:pt x="3372" y="1947"/>
              </a:lnTo>
              <a:lnTo>
                <a:pt x="3382" y="1937"/>
              </a:lnTo>
              <a:lnTo>
                <a:pt x="3382" y="1935"/>
              </a:lnTo>
              <a:lnTo>
                <a:pt x="3386" y="1933"/>
              </a:lnTo>
              <a:lnTo>
                <a:pt x="3407" y="1892"/>
              </a:lnTo>
              <a:lnTo>
                <a:pt x="3407" y="1887"/>
              </a:lnTo>
              <a:lnTo>
                <a:pt x="3411" y="1877"/>
              </a:lnTo>
              <a:lnTo>
                <a:pt x="3411" y="1867"/>
              </a:lnTo>
              <a:lnTo>
                <a:pt x="3413" y="1863"/>
              </a:lnTo>
              <a:lnTo>
                <a:pt x="3413" y="105"/>
              </a:lnTo>
              <a:lnTo>
                <a:pt x="3411" y="99"/>
              </a:lnTo>
              <a:lnTo>
                <a:pt x="3411" y="89"/>
              </a:lnTo>
              <a:lnTo>
                <a:pt x="3407" y="82"/>
              </a:lnTo>
              <a:lnTo>
                <a:pt x="3407" y="76"/>
              </a:lnTo>
              <a:lnTo>
                <a:pt x="3401" y="64"/>
              </a:lnTo>
              <a:lnTo>
                <a:pt x="3399" y="58"/>
              </a:lnTo>
              <a:lnTo>
                <a:pt x="3391" y="43"/>
              </a:lnTo>
              <a:lnTo>
                <a:pt x="3390" y="41"/>
              </a:lnTo>
              <a:lnTo>
                <a:pt x="3388" y="37"/>
              </a:lnTo>
              <a:lnTo>
                <a:pt x="3384" y="33"/>
              </a:lnTo>
              <a:lnTo>
                <a:pt x="3380" y="27"/>
              </a:lnTo>
              <a:lnTo>
                <a:pt x="3374" y="23"/>
              </a:lnTo>
              <a:lnTo>
                <a:pt x="3366" y="15"/>
              </a:lnTo>
              <a:lnTo>
                <a:pt x="3362" y="13"/>
              </a:lnTo>
              <a:lnTo>
                <a:pt x="3360" y="11"/>
              </a:lnTo>
              <a:lnTo>
                <a:pt x="3340" y="2"/>
              </a:lnTo>
              <a:lnTo>
                <a:pt x="3340" y="4"/>
              </a:lnTo>
              <a:lnTo>
                <a:pt x="3338" y="2"/>
              </a:lnTo>
              <a:lnTo>
                <a:pt x="3319" y="0"/>
              </a:lnTo>
              <a:lnTo>
                <a:pt x="94" y="0"/>
              </a:lnTo>
              <a:lnTo>
                <a:pt x="94" y="39"/>
              </a:lnTo>
              <a:lnTo>
                <a:pt x="3319" y="39"/>
              </a:lnTo>
              <a:lnTo>
                <a:pt x="3323" y="37"/>
              </a:lnTo>
              <a:lnTo>
                <a:pt x="3325" y="39"/>
              </a:lnTo>
              <a:lnTo>
                <a:pt x="3332" y="41"/>
              </a:lnTo>
              <a:lnTo>
                <a:pt x="3336" y="43"/>
              </a:lnTo>
              <a:lnTo>
                <a:pt x="3338" y="45"/>
              </a:lnTo>
              <a:lnTo>
                <a:pt x="3342" y="47"/>
              </a:lnTo>
              <a:lnTo>
                <a:pt x="3350" y="54"/>
              </a:lnTo>
              <a:lnTo>
                <a:pt x="3352" y="54"/>
              </a:lnTo>
              <a:lnTo>
                <a:pt x="3352" y="56"/>
              </a:lnTo>
              <a:lnTo>
                <a:pt x="3356" y="60"/>
              </a:lnTo>
              <a:lnTo>
                <a:pt x="3358" y="64"/>
              </a:lnTo>
              <a:lnTo>
                <a:pt x="3360" y="66"/>
              </a:lnTo>
              <a:lnTo>
                <a:pt x="3364" y="74"/>
              </a:lnTo>
              <a:lnTo>
                <a:pt x="3366" y="80"/>
              </a:lnTo>
              <a:lnTo>
                <a:pt x="3368" y="84"/>
              </a:lnTo>
              <a:lnTo>
                <a:pt x="3368" y="87"/>
              </a:lnTo>
              <a:lnTo>
                <a:pt x="3372" y="97"/>
              </a:lnTo>
              <a:lnTo>
                <a:pt x="3372" y="107"/>
              </a:lnTo>
              <a:lnTo>
                <a:pt x="3374" y="113"/>
              </a:lnTo>
              <a:lnTo>
                <a:pt x="3374" y="1855"/>
              </a:lnTo>
              <a:lnTo>
                <a:pt x="3372" y="1859"/>
              </a:lnTo>
              <a:lnTo>
                <a:pt x="3372" y="1871"/>
              </a:lnTo>
              <a:lnTo>
                <a:pt x="3368" y="1879"/>
              </a:lnTo>
              <a:lnTo>
                <a:pt x="3368" y="1885"/>
              </a:lnTo>
              <a:lnTo>
                <a:pt x="3358" y="1906"/>
              </a:lnTo>
              <a:lnTo>
                <a:pt x="3354" y="1908"/>
              </a:lnTo>
              <a:lnTo>
                <a:pt x="3350" y="1914"/>
              </a:lnTo>
              <a:lnTo>
                <a:pt x="3348" y="1916"/>
              </a:lnTo>
              <a:lnTo>
                <a:pt x="3342" y="1920"/>
              </a:lnTo>
              <a:lnTo>
                <a:pt x="3340" y="1924"/>
              </a:lnTo>
              <a:lnTo>
                <a:pt x="3338" y="1924"/>
              </a:lnTo>
              <a:lnTo>
                <a:pt x="3336" y="1926"/>
              </a:lnTo>
              <a:lnTo>
                <a:pt x="3340" y="1924"/>
              </a:lnTo>
              <a:lnTo>
                <a:pt x="3336" y="1924"/>
              </a:lnTo>
              <a:lnTo>
                <a:pt x="3328" y="1928"/>
              </a:lnTo>
              <a:lnTo>
                <a:pt x="3323" y="1928"/>
              </a:lnTo>
              <a:lnTo>
                <a:pt x="3319" y="1929"/>
              </a:lnTo>
              <a:lnTo>
                <a:pt x="94" y="1929"/>
              </a:lnTo>
              <a:lnTo>
                <a:pt x="90" y="1928"/>
              </a:lnTo>
              <a:lnTo>
                <a:pt x="82" y="1928"/>
              </a:lnTo>
              <a:lnTo>
                <a:pt x="75" y="1924"/>
              </a:lnTo>
              <a:lnTo>
                <a:pt x="73" y="1924"/>
              </a:lnTo>
              <a:lnTo>
                <a:pt x="67" y="1918"/>
              </a:lnTo>
              <a:lnTo>
                <a:pt x="63" y="1916"/>
              </a:lnTo>
              <a:lnTo>
                <a:pt x="65" y="1918"/>
              </a:lnTo>
              <a:lnTo>
                <a:pt x="63" y="1914"/>
              </a:lnTo>
              <a:lnTo>
                <a:pt x="57" y="1908"/>
              </a:lnTo>
              <a:lnTo>
                <a:pt x="55" y="1904"/>
              </a:lnTo>
              <a:lnTo>
                <a:pt x="51" y="1900"/>
              </a:lnTo>
              <a:lnTo>
                <a:pt x="45" y="1889"/>
              </a:lnTo>
              <a:lnTo>
                <a:pt x="45" y="1885"/>
              </a:lnTo>
              <a:lnTo>
                <a:pt x="41" y="1875"/>
              </a:lnTo>
              <a:lnTo>
                <a:pt x="41" y="1865"/>
              </a:lnTo>
              <a:lnTo>
                <a:pt x="39" y="1859"/>
              </a:lnTo>
              <a:lnTo>
                <a:pt x="39" y="107"/>
              </a:lnTo>
              <a:lnTo>
                <a:pt x="41" y="103"/>
              </a:lnTo>
              <a:lnTo>
                <a:pt x="41" y="91"/>
              </a:lnTo>
              <a:lnTo>
                <a:pt x="45" y="84"/>
              </a:lnTo>
              <a:lnTo>
                <a:pt x="45" y="80"/>
              </a:lnTo>
              <a:lnTo>
                <a:pt x="47" y="74"/>
              </a:lnTo>
              <a:lnTo>
                <a:pt x="49" y="68"/>
              </a:lnTo>
              <a:lnTo>
                <a:pt x="53" y="66"/>
              </a:lnTo>
              <a:lnTo>
                <a:pt x="59" y="56"/>
              </a:lnTo>
              <a:lnTo>
                <a:pt x="67" y="48"/>
              </a:lnTo>
              <a:lnTo>
                <a:pt x="71" y="47"/>
              </a:lnTo>
              <a:lnTo>
                <a:pt x="73" y="45"/>
              </a:lnTo>
              <a:lnTo>
                <a:pt x="80" y="41"/>
              </a:lnTo>
              <a:lnTo>
                <a:pt x="82" y="39"/>
              </a:lnTo>
              <a:lnTo>
                <a:pt x="78" y="41"/>
              </a:lnTo>
              <a:lnTo>
                <a:pt x="82" y="41"/>
              </a:lnTo>
              <a:lnTo>
                <a:pt x="86" y="39"/>
              </a:lnTo>
              <a:lnTo>
                <a:pt x="94" y="39"/>
              </a:lnTo>
              <a:lnTo>
                <a:pt x="94" y="0"/>
              </a:lnTo>
              <a:close/>
            </a:path>
          </a:pathLst>
        </a:custGeom>
        <a:solidFill>
          <a:srgbClr val="003366"/>
        </a:solidFill>
        <a:ln w="9525" cap="flat" cmpd="sng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0</xdr:colOff>
      <xdr:row>64</xdr:row>
      <xdr:rowOff>123825</xdr:rowOff>
    </xdr:to>
    <xdr:sp macro="" textlink="">
      <xdr:nvSpPr>
        <xdr:cNvPr id="4" name="Freeform 3"/>
        <xdr:cNvSpPr>
          <a:spLocks/>
        </xdr:cNvSpPr>
      </xdr:nvSpPr>
      <xdr:spPr bwMode="auto">
        <a:xfrm>
          <a:off x="0" y="0"/>
          <a:ext cx="7315200" cy="10487025"/>
        </a:xfrm>
        <a:custGeom>
          <a:avLst/>
          <a:gdLst>
            <a:gd name="T0" fmla="*/ 754886 w 4552"/>
            <a:gd name="T1" fmla="*/ 5312 h 6046"/>
            <a:gd name="T2" fmla="*/ 580481 w 4552"/>
            <a:gd name="T3" fmla="*/ 50467 h 6046"/>
            <a:gd name="T4" fmla="*/ 432107 w 4552"/>
            <a:gd name="T5" fmla="*/ 119527 h 6046"/>
            <a:gd name="T6" fmla="*/ 286336 w 4552"/>
            <a:gd name="T7" fmla="*/ 223118 h 6046"/>
            <a:gd name="T8" fmla="*/ 88504 w 4552"/>
            <a:gd name="T9" fmla="*/ 486077 h 6046"/>
            <a:gd name="T10" fmla="*/ 5206 w 4552"/>
            <a:gd name="T11" fmla="*/ 770287 h 6046"/>
            <a:gd name="T12" fmla="*/ 10412 w 4552"/>
            <a:gd name="T13" fmla="*/ 15326050 h 6046"/>
            <a:gd name="T14" fmla="*/ 88504 w 4552"/>
            <a:gd name="T15" fmla="*/ 15567760 h 6046"/>
            <a:gd name="T16" fmla="*/ 174405 w 4552"/>
            <a:gd name="T17" fmla="*/ 15713849 h 6046"/>
            <a:gd name="T18" fmla="*/ 291542 w 4552"/>
            <a:gd name="T19" fmla="*/ 15836033 h 6046"/>
            <a:gd name="T20" fmla="*/ 432107 w 4552"/>
            <a:gd name="T21" fmla="*/ 15934310 h 6046"/>
            <a:gd name="T22" fmla="*/ 580481 w 4552"/>
            <a:gd name="T23" fmla="*/ 16008683 h 6046"/>
            <a:gd name="T24" fmla="*/ 749679 w 4552"/>
            <a:gd name="T25" fmla="*/ 16048525 h 6046"/>
            <a:gd name="T26" fmla="*/ 11060375 w 4552"/>
            <a:gd name="T27" fmla="*/ 16053838 h 6046"/>
            <a:gd name="T28" fmla="*/ 11266016 w 4552"/>
            <a:gd name="T29" fmla="*/ 16008683 h 6046"/>
            <a:gd name="T30" fmla="*/ 11453436 w 4552"/>
            <a:gd name="T31" fmla="*/ 15915717 h 6046"/>
            <a:gd name="T32" fmla="*/ 11588795 w 4552"/>
            <a:gd name="T33" fmla="*/ 15812127 h 6046"/>
            <a:gd name="T34" fmla="*/ 11690314 w 4552"/>
            <a:gd name="T35" fmla="*/ 15681975 h 6046"/>
            <a:gd name="T36" fmla="*/ 11781421 w 4552"/>
            <a:gd name="T37" fmla="*/ 15525262 h 6046"/>
            <a:gd name="T38" fmla="*/ 11838688 w 4552"/>
            <a:gd name="T39" fmla="*/ 15326050 h 6046"/>
            <a:gd name="T40" fmla="*/ 11843894 w 4552"/>
            <a:gd name="T41" fmla="*/ 770287 h 6046"/>
            <a:gd name="T42" fmla="*/ 11791833 w 4552"/>
            <a:gd name="T43" fmla="*/ 568418 h 6046"/>
            <a:gd name="T44" fmla="*/ 11588795 w 4552"/>
            <a:gd name="T45" fmla="*/ 247023 h 6046"/>
            <a:gd name="T46" fmla="*/ 11383154 w 4552"/>
            <a:gd name="T47" fmla="*/ 103590 h 6046"/>
            <a:gd name="T48" fmla="*/ 11229574 w 4552"/>
            <a:gd name="T49" fmla="*/ 37186 h 6046"/>
            <a:gd name="T50" fmla="*/ 11049963 w 4552"/>
            <a:gd name="T51" fmla="*/ 5312 h 6046"/>
            <a:gd name="T52" fmla="*/ 11003108 w 4552"/>
            <a:gd name="T53" fmla="*/ 196556 h 6046"/>
            <a:gd name="T54" fmla="*/ 11141070 w 4552"/>
            <a:gd name="T55" fmla="*/ 217805 h 6046"/>
            <a:gd name="T56" fmla="*/ 11260810 w 4552"/>
            <a:gd name="T57" fmla="*/ 257648 h 6046"/>
            <a:gd name="T58" fmla="*/ 11424802 w 4552"/>
            <a:gd name="T59" fmla="*/ 366550 h 6046"/>
            <a:gd name="T60" fmla="*/ 11599207 w 4552"/>
            <a:gd name="T61" fmla="*/ 594980 h 6046"/>
            <a:gd name="T62" fmla="*/ 11643459 w 4552"/>
            <a:gd name="T63" fmla="*/ 759662 h 6046"/>
            <a:gd name="T64" fmla="*/ 11648665 w 4552"/>
            <a:gd name="T65" fmla="*/ 15256990 h 6046"/>
            <a:gd name="T66" fmla="*/ 11607016 w 4552"/>
            <a:gd name="T67" fmla="*/ 15424328 h 6046"/>
            <a:gd name="T68" fmla="*/ 11552352 w 4552"/>
            <a:gd name="T69" fmla="*/ 15541199 h 6046"/>
            <a:gd name="T70" fmla="*/ 11474260 w 4552"/>
            <a:gd name="T71" fmla="*/ 15639477 h 6046"/>
            <a:gd name="T72" fmla="*/ 11377948 w 4552"/>
            <a:gd name="T73" fmla="*/ 15727130 h 6046"/>
            <a:gd name="T74" fmla="*/ 11266016 w 4552"/>
            <a:gd name="T75" fmla="*/ 15796190 h 6046"/>
            <a:gd name="T76" fmla="*/ 11070787 w 4552"/>
            <a:gd name="T77" fmla="*/ 15851970 h 6046"/>
            <a:gd name="T78" fmla="*/ 814756 w 4552"/>
            <a:gd name="T79" fmla="*/ 15857282 h 6046"/>
            <a:gd name="T80" fmla="*/ 671588 w 4552"/>
            <a:gd name="T81" fmla="*/ 15830720 h 6046"/>
            <a:gd name="T82" fmla="*/ 554450 w 4552"/>
            <a:gd name="T83" fmla="*/ 15780253 h 6046"/>
            <a:gd name="T84" fmla="*/ 445122 w 4552"/>
            <a:gd name="T85" fmla="*/ 15708537 h 6046"/>
            <a:gd name="T86" fmla="*/ 348809 w 4552"/>
            <a:gd name="T87" fmla="*/ 15615571 h 6046"/>
            <a:gd name="T88" fmla="*/ 275924 w 4552"/>
            <a:gd name="T89" fmla="*/ 15511981 h 6046"/>
            <a:gd name="T90" fmla="*/ 210847 w 4552"/>
            <a:gd name="T91" fmla="*/ 15328706 h 6046"/>
            <a:gd name="T92" fmla="*/ 195229 w 4552"/>
            <a:gd name="T93" fmla="*/ 828722 h 6046"/>
            <a:gd name="T94" fmla="*/ 236878 w 4552"/>
            <a:gd name="T95" fmla="*/ 632166 h 6046"/>
            <a:gd name="T96" fmla="*/ 421695 w 4552"/>
            <a:gd name="T97" fmla="*/ 366550 h 6046"/>
            <a:gd name="T98" fmla="*/ 523214 w 4552"/>
            <a:gd name="T99" fmla="*/ 294834 h 6046"/>
            <a:gd name="T100" fmla="*/ 640351 w 4552"/>
            <a:gd name="T101" fmla="*/ 239055 h 6046"/>
            <a:gd name="T102" fmla="*/ 775710 w 4552"/>
            <a:gd name="T103" fmla="*/ 201868 h 6046"/>
            <a:gd name="T104" fmla="*/ 882435 w 4552"/>
            <a:gd name="T105" fmla="*/ 0 h 604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4552"/>
            <a:gd name="T160" fmla="*/ 0 h 6046"/>
            <a:gd name="T161" fmla="*/ 4552 w 4552"/>
            <a:gd name="T162" fmla="*/ 6046 h 6046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4552" h="6046">
              <a:moveTo>
                <a:pt x="339" y="0"/>
              </a:moveTo>
              <a:lnTo>
                <a:pt x="321" y="0"/>
              </a:lnTo>
              <a:lnTo>
                <a:pt x="305" y="2"/>
              </a:lnTo>
              <a:lnTo>
                <a:pt x="290" y="2"/>
              </a:lnTo>
              <a:lnTo>
                <a:pt x="270" y="6"/>
              </a:lnTo>
              <a:lnTo>
                <a:pt x="256" y="8"/>
              </a:lnTo>
              <a:lnTo>
                <a:pt x="236" y="14"/>
              </a:lnTo>
              <a:lnTo>
                <a:pt x="223" y="19"/>
              </a:lnTo>
              <a:lnTo>
                <a:pt x="207" y="23"/>
              </a:lnTo>
              <a:lnTo>
                <a:pt x="191" y="31"/>
              </a:lnTo>
              <a:lnTo>
                <a:pt x="177" y="39"/>
              </a:lnTo>
              <a:lnTo>
                <a:pt x="166" y="45"/>
              </a:lnTo>
              <a:lnTo>
                <a:pt x="150" y="55"/>
              </a:lnTo>
              <a:lnTo>
                <a:pt x="136" y="64"/>
              </a:lnTo>
              <a:lnTo>
                <a:pt x="124" y="72"/>
              </a:lnTo>
              <a:lnTo>
                <a:pt x="110" y="84"/>
              </a:lnTo>
              <a:lnTo>
                <a:pt x="79" y="115"/>
              </a:lnTo>
              <a:lnTo>
                <a:pt x="67" y="130"/>
              </a:lnTo>
              <a:lnTo>
                <a:pt x="41" y="167"/>
              </a:lnTo>
              <a:lnTo>
                <a:pt x="34" y="183"/>
              </a:lnTo>
              <a:lnTo>
                <a:pt x="20" y="214"/>
              </a:lnTo>
              <a:lnTo>
                <a:pt x="6" y="259"/>
              </a:lnTo>
              <a:lnTo>
                <a:pt x="4" y="275"/>
              </a:lnTo>
              <a:lnTo>
                <a:pt x="2" y="290"/>
              </a:lnTo>
              <a:lnTo>
                <a:pt x="0" y="308"/>
              </a:lnTo>
              <a:lnTo>
                <a:pt x="0" y="5736"/>
              </a:lnTo>
              <a:lnTo>
                <a:pt x="2" y="5756"/>
              </a:lnTo>
              <a:lnTo>
                <a:pt x="4" y="5770"/>
              </a:lnTo>
              <a:lnTo>
                <a:pt x="6" y="5787"/>
              </a:lnTo>
              <a:lnTo>
                <a:pt x="20" y="5834"/>
              </a:lnTo>
              <a:lnTo>
                <a:pt x="28" y="5847"/>
              </a:lnTo>
              <a:lnTo>
                <a:pt x="34" y="5861"/>
              </a:lnTo>
              <a:lnTo>
                <a:pt x="39" y="5875"/>
              </a:lnTo>
              <a:lnTo>
                <a:pt x="49" y="5890"/>
              </a:lnTo>
              <a:lnTo>
                <a:pt x="59" y="5904"/>
              </a:lnTo>
              <a:lnTo>
                <a:pt x="67" y="5916"/>
              </a:lnTo>
              <a:lnTo>
                <a:pt x="79" y="5929"/>
              </a:lnTo>
              <a:lnTo>
                <a:pt x="89" y="5939"/>
              </a:lnTo>
              <a:lnTo>
                <a:pt x="101" y="5953"/>
              </a:lnTo>
              <a:lnTo>
                <a:pt x="112" y="5962"/>
              </a:lnTo>
              <a:lnTo>
                <a:pt x="124" y="5972"/>
              </a:lnTo>
              <a:lnTo>
                <a:pt x="134" y="5980"/>
              </a:lnTo>
              <a:lnTo>
                <a:pt x="150" y="5992"/>
              </a:lnTo>
              <a:lnTo>
                <a:pt x="166" y="5999"/>
              </a:lnTo>
              <a:lnTo>
                <a:pt x="177" y="6007"/>
              </a:lnTo>
              <a:lnTo>
                <a:pt x="193" y="6013"/>
              </a:lnTo>
              <a:lnTo>
                <a:pt x="205" y="6019"/>
              </a:lnTo>
              <a:lnTo>
                <a:pt x="223" y="6027"/>
              </a:lnTo>
              <a:lnTo>
                <a:pt x="238" y="6030"/>
              </a:lnTo>
              <a:lnTo>
                <a:pt x="254" y="6034"/>
              </a:lnTo>
              <a:lnTo>
                <a:pt x="270" y="6040"/>
              </a:lnTo>
              <a:lnTo>
                <a:pt x="288" y="6042"/>
              </a:lnTo>
              <a:lnTo>
                <a:pt x="301" y="6044"/>
              </a:lnTo>
              <a:lnTo>
                <a:pt x="321" y="6046"/>
              </a:lnTo>
              <a:lnTo>
                <a:pt x="4231" y="6046"/>
              </a:lnTo>
              <a:lnTo>
                <a:pt x="4249" y="6044"/>
              </a:lnTo>
              <a:lnTo>
                <a:pt x="4264" y="6042"/>
              </a:lnTo>
              <a:lnTo>
                <a:pt x="4280" y="6040"/>
              </a:lnTo>
              <a:lnTo>
                <a:pt x="4298" y="6034"/>
              </a:lnTo>
              <a:lnTo>
                <a:pt x="4328" y="6027"/>
              </a:lnTo>
              <a:lnTo>
                <a:pt x="4359" y="6013"/>
              </a:lnTo>
              <a:lnTo>
                <a:pt x="4373" y="6007"/>
              </a:lnTo>
              <a:lnTo>
                <a:pt x="4387" y="5999"/>
              </a:lnTo>
              <a:lnTo>
                <a:pt x="4400" y="5992"/>
              </a:lnTo>
              <a:lnTo>
                <a:pt x="4414" y="5980"/>
              </a:lnTo>
              <a:lnTo>
                <a:pt x="4428" y="5972"/>
              </a:lnTo>
              <a:lnTo>
                <a:pt x="4438" y="5962"/>
              </a:lnTo>
              <a:lnTo>
                <a:pt x="4452" y="5953"/>
              </a:lnTo>
              <a:lnTo>
                <a:pt x="4463" y="5939"/>
              </a:lnTo>
              <a:lnTo>
                <a:pt x="4475" y="5927"/>
              </a:lnTo>
              <a:lnTo>
                <a:pt x="4483" y="5914"/>
              </a:lnTo>
              <a:lnTo>
                <a:pt x="4491" y="5904"/>
              </a:lnTo>
              <a:lnTo>
                <a:pt x="4501" y="5890"/>
              </a:lnTo>
              <a:lnTo>
                <a:pt x="4509" y="5877"/>
              </a:lnTo>
              <a:lnTo>
                <a:pt x="4519" y="5863"/>
              </a:lnTo>
              <a:lnTo>
                <a:pt x="4526" y="5845"/>
              </a:lnTo>
              <a:lnTo>
                <a:pt x="4530" y="5834"/>
              </a:lnTo>
              <a:lnTo>
                <a:pt x="4536" y="5818"/>
              </a:lnTo>
              <a:lnTo>
                <a:pt x="4546" y="5787"/>
              </a:lnTo>
              <a:lnTo>
                <a:pt x="4548" y="5770"/>
              </a:lnTo>
              <a:lnTo>
                <a:pt x="4550" y="5756"/>
              </a:lnTo>
              <a:lnTo>
                <a:pt x="4552" y="5736"/>
              </a:lnTo>
              <a:lnTo>
                <a:pt x="4552" y="308"/>
              </a:lnTo>
              <a:lnTo>
                <a:pt x="4550" y="290"/>
              </a:lnTo>
              <a:lnTo>
                <a:pt x="4548" y="275"/>
              </a:lnTo>
              <a:lnTo>
                <a:pt x="4546" y="259"/>
              </a:lnTo>
              <a:lnTo>
                <a:pt x="4536" y="228"/>
              </a:lnTo>
              <a:lnTo>
                <a:pt x="4530" y="214"/>
              </a:lnTo>
              <a:lnTo>
                <a:pt x="4526" y="201"/>
              </a:lnTo>
              <a:lnTo>
                <a:pt x="4519" y="181"/>
              </a:lnTo>
              <a:lnTo>
                <a:pt x="4475" y="117"/>
              </a:lnTo>
              <a:lnTo>
                <a:pt x="4452" y="93"/>
              </a:lnTo>
              <a:lnTo>
                <a:pt x="4440" y="84"/>
              </a:lnTo>
              <a:lnTo>
                <a:pt x="4428" y="72"/>
              </a:lnTo>
              <a:lnTo>
                <a:pt x="4387" y="45"/>
              </a:lnTo>
              <a:lnTo>
                <a:pt x="4373" y="39"/>
              </a:lnTo>
              <a:lnTo>
                <a:pt x="4361" y="31"/>
              </a:lnTo>
              <a:lnTo>
                <a:pt x="4341" y="23"/>
              </a:lnTo>
              <a:lnTo>
                <a:pt x="4328" y="19"/>
              </a:lnTo>
              <a:lnTo>
                <a:pt x="4314" y="14"/>
              </a:lnTo>
              <a:lnTo>
                <a:pt x="4296" y="8"/>
              </a:lnTo>
              <a:lnTo>
                <a:pt x="4280" y="6"/>
              </a:lnTo>
              <a:lnTo>
                <a:pt x="4264" y="2"/>
              </a:lnTo>
              <a:lnTo>
                <a:pt x="4245" y="2"/>
              </a:lnTo>
              <a:lnTo>
                <a:pt x="4231" y="0"/>
              </a:lnTo>
              <a:lnTo>
                <a:pt x="339" y="0"/>
              </a:lnTo>
              <a:lnTo>
                <a:pt x="339" y="74"/>
              </a:lnTo>
              <a:lnTo>
                <a:pt x="4227" y="74"/>
              </a:lnTo>
              <a:lnTo>
                <a:pt x="4241" y="76"/>
              </a:lnTo>
              <a:lnTo>
                <a:pt x="4253" y="76"/>
              </a:lnTo>
              <a:lnTo>
                <a:pt x="4264" y="80"/>
              </a:lnTo>
              <a:lnTo>
                <a:pt x="4280" y="82"/>
              </a:lnTo>
              <a:lnTo>
                <a:pt x="4290" y="84"/>
              </a:lnTo>
              <a:lnTo>
                <a:pt x="4304" y="90"/>
              </a:lnTo>
              <a:lnTo>
                <a:pt x="4318" y="93"/>
              </a:lnTo>
              <a:lnTo>
                <a:pt x="4326" y="97"/>
              </a:lnTo>
              <a:lnTo>
                <a:pt x="4337" y="105"/>
              </a:lnTo>
              <a:lnTo>
                <a:pt x="4351" y="111"/>
              </a:lnTo>
              <a:lnTo>
                <a:pt x="4381" y="130"/>
              </a:lnTo>
              <a:lnTo>
                <a:pt x="4389" y="138"/>
              </a:lnTo>
              <a:lnTo>
                <a:pt x="4400" y="148"/>
              </a:lnTo>
              <a:lnTo>
                <a:pt x="4416" y="164"/>
              </a:lnTo>
              <a:lnTo>
                <a:pt x="4452" y="216"/>
              </a:lnTo>
              <a:lnTo>
                <a:pt x="4456" y="224"/>
              </a:lnTo>
              <a:lnTo>
                <a:pt x="4459" y="238"/>
              </a:lnTo>
              <a:lnTo>
                <a:pt x="4465" y="251"/>
              </a:lnTo>
              <a:lnTo>
                <a:pt x="4471" y="275"/>
              </a:lnTo>
              <a:lnTo>
                <a:pt x="4473" y="286"/>
              </a:lnTo>
              <a:lnTo>
                <a:pt x="4475" y="302"/>
              </a:lnTo>
              <a:lnTo>
                <a:pt x="4477" y="312"/>
              </a:lnTo>
              <a:lnTo>
                <a:pt x="4477" y="5733"/>
              </a:lnTo>
              <a:lnTo>
                <a:pt x="4475" y="5744"/>
              </a:lnTo>
              <a:lnTo>
                <a:pt x="4473" y="5758"/>
              </a:lnTo>
              <a:lnTo>
                <a:pt x="4471" y="5771"/>
              </a:lnTo>
              <a:lnTo>
                <a:pt x="4465" y="5795"/>
              </a:lnTo>
              <a:lnTo>
                <a:pt x="4459" y="5807"/>
              </a:lnTo>
              <a:lnTo>
                <a:pt x="4456" y="5818"/>
              </a:lnTo>
              <a:lnTo>
                <a:pt x="4452" y="5828"/>
              </a:lnTo>
              <a:lnTo>
                <a:pt x="4446" y="5838"/>
              </a:lnTo>
              <a:lnTo>
                <a:pt x="4438" y="5851"/>
              </a:lnTo>
              <a:lnTo>
                <a:pt x="4432" y="5861"/>
              </a:lnTo>
              <a:lnTo>
                <a:pt x="4424" y="5871"/>
              </a:lnTo>
              <a:lnTo>
                <a:pt x="4416" y="5881"/>
              </a:lnTo>
              <a:lnTo>
                <a:pt x="4408" y="5888"/>
              </a:lnTo>
              <a:lnTo>
                <a:pt x="4400" y="5898"/>
              </a:lnTo>
              <a:lnTo>
                <a:pt x="4391" y="5904"/>
              </a:lnTo>
              <a:lnTo>
                <a:pt x="4381" y="5914"/>
              </a:lnTo>
              <a:lnTo>
                <a:pt x="4371" y="5921"/>
              </a:lnTo>
              <a:lnTo>
                <a:pt x="4361" y="5929"/>
              </a:lnTo>
              <a:lnTo>
                <a:pt x="4351" y="5933"/>
              </a:lnTo>
              <a:lnTo>
                <a:pt x="4337" y="5941"/>
              </a:lnTo>
              <a:lnTo>
                <a:pt x="4328" y="5947"/>
              </a:lnTo>
              <a:lnTo>
                <a:pt x="4304" y="5956"/>
              </a:lnTo>
              <a:lnTo>
                <a:pt x="4278" y="5964"/>
              </a:lnTo>
              <a:lnTo>
                <a:pt x="4264" y="5966"/>
              </a:lnTo>
              <a:lnTo>
                <a:pt x="4253" y="5968"/>
              </a:lnTo>
              <a:lnTo>
                <a:pt x="4237" y="5970"/>
              </a:lnTo>
              <a:lnTo>
                <a:pt x="4227" y="5972"/>
              </a:lnTo>
              <a:lnTo>
                <a:pt x="325" y="5972"/>
              </a:lnTo>
              <a:lnTo>
                <a:pt x="313" y="5970"/>
              </a:lnTo>
              <a:lnTo>
                <a:pt x="299" y="5968"/>
              </a:lnTo>
              <a:lnTo>
                <a:pt x="286" y="5966"/>
              </a:lnTo>
              <a:lnTo>
                <a:pt x="274" y="5964"/>
              </a:lnTo>
              <a:lnTo>
                <a:pt x="258" y="5960"/>
              </a:lnTo>
              <a:lnTo>
                <a:pt x="246" y="5956"/>
              </a:lnTo>
              <a:lnTo>
                <a:pt x="236" y="5953"/>
              </a:lnTo>
              <a:lnTo>
                <a:pt x="225" y="5947"/>
              </a:lnTo>
              <a:lnTo>
                <a:pt x="213" y="5941"/>
              </a:lnTo>
              <a:lnTo>
                <a:pt x="201" y="5933"/>
              </a:lnTo>
              <a:lnTo>
                <a:pt x="189" y="5929"/>
              </a:lnTo>
              <a:lnTo>
                <a:pt x="181" y="5921"/>
              </a:lnTo>
              <a:lnTo>
                <a:pt x="171" y="5914"/>
              </a:lnTo>
              <a:lnTo>
                <a:pt x="160" y="5904"/>
              </a:lnTo>
              <a:lnTo>
                <a:pt x="152" y="5898"/>
              </a:lnTo>
              <a:lnTo>
                <a:pt x="144" y="5888"/>
              </a:lnTo>
              <a:lnTo>
                <a:pt x="134" y="5879"/>
              </a:lnTo>
              <a:lnTo>
                <a:pt x="126" y="5869"/>
              </a:lnTo>
              <a:lnTo>
                <a:pt x="118" y="5861"/>
              </a:lnTo>
              <a:lnTo>
                <a:pt x="112" y="5851"/>
              </a:lnTo>
              <a:lnTo>
                <a:pt x="106" y="5840"/>
              </a:lnTo>
              <a:lnTo>
                <a:pt x="101" y="5830"/>
              </a:lnTo>
              <a:lnTo>
                <a:pt x="95" y="5816"/>
              </a:lnTo>
              <a:lnTo>
                <a:pt x="91" y="5807"/>
              </a:lnTo>
              <a:lnTo>
                <a:pt x="81" y="5771"/>
              </a:lnTo>
              <a:lnTo>
                <a:pt x="79" y="5758"/>
              </a:lnTo>
              <a:lnTo>
                <a:pt x="77" y="5744"/>
              </a:lnTo>
              <a:lnTo>
                <a:pt x="75" y="5733"/>
              </a:lnTo>
              <a:lnTo>
                <a:pt x="75" y="312"/>
              </a:lnTo>
              <a:lnTo>
                <a:pt x="77" y="302"/>
              </a:lnTo>
              <a:lnTo>
                <a:pt x="79" y="286"/>
              </a:lnTo>
              <a:lnTo>
                <a:pt x="81" y="275"/>
              </a:lnTo>
              <a:lnTo>
                <a:pt x="91" y="238"/>
              </a:lnTo>
              <a:lnTo>
                <a:pt x="101" y="214"/>
              </a:lnTo>
              <a:lnTo>
                <a:pt x="104" y="206"/>
              </a:lnTo>
              <a:lnTo>
                <a:pt x="126" y="173"/>
              </a:lnTo>
              <a:lnTo>
                <a:pt x="162" y="138"/>
              </a:lnTo>
              <a:lnTo>
                <a:pt x="171" y="130"/>
              </a:lnTo>
              <a:lnTo>
                <a:pt x="179" y="123"/>
              </a:lnTo>
              <a:lnTo>
                <a:pt x="189" y="117"/>
              </a:lnTo>
              <a:lnTo>
                <a:pt x="201" y="111"/>
              </a:lnTo>
              <a:lnTo>
                <a:pt x="213" y="105"/>
              </a:lnTo>
              <a:lnTo>
                <a:pt x="227" y="97"/>
              </a:lnTo>
              <a:lnTo>
                <a:pt x="234" y="93"/>
              </a:lnTo>
              <a:lnTo>
                <a:pt x="246" y="90"/>
              </a:lnTo>
              <a:lnTo>
                <a:pt x="260" y="84"/>
              </a:lnTo>
              <a:lnTo>
                <a:pt x="272" y="82"/>
              </a:lnTo>
              <a:lnTo>
                <a:pt x="286" y="80"/>
              </a:lnTo>
              <a:lnTo>
                <a:pt x="298" y="76"/>
              </a:lnTo>
              <a:lnTo>
                <a:pt x="309" y="76"/>
              </a:lnTo>
              <a:lnTo>
                <a:pt x="325" y="74"/>
              </a:lnTo>
              <a:lnTo>
                <a:pt x="339" y="74"/>
              </a:lnTo>
              <a:lnTo>
                <a:pt x="339" y="0"/>
              </a:lnTo>
              <a:close/>
            </a:path>
          </a:pathLst>
        </a:custGeom>
        <a:solidFill>
          <a:srgbClr val="003366"/>
        </a:solidFill>
        <a:ln w="9525" cap="flat" cmpd="sng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xdr:twoCellAnchor>
    <xdr:from>
      <xdr:col>0</xdr:col>
      <xdr:colOff>285750</xdr:colOff>
      <xdr:row>24</xdr:row>
      <xdr:rowOff>0</xdr:rowOff>
    </xdr:from>
    <xdr:to>
      <xdr:col>11</xdr:col>
      <xdr:colOff>676275</xdr:colOff>
      <xdr:row>39</xdr:row>
      <xdr:rowOff>76200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285750" y="5810250"/>
          <a:ext cx="11217275" cy="4140200"/>
          <a:chOff x="30" y="1992"/>
          <a:chExt cx="868" cy="368"/>
        </a:xfrm>
      </xdr:grpSpPr>
      <xdr:sp macro="" textlink="">
        <xdr:nvSpPr>
          <xdr:cNvPr id="6" name="Freeform 5"/>
          <xdr:cNvSpPr>
            <a:spLocks/>
          </xdr:cNvSpPr>
        </xdr:nvSpPr>
        <xdr:spPr bwMode="auto">
          <a:xfrm>
            <a:off x="207" y="1995"/>
            <a:ext cx="155" cy="364"/>
          </a:xfrm>
          <a:custGeom>
            <a:avLst/>
            <a:gdLst>
              <a:gd name="T0" fmla="*/ 119 w 763"/>
              <a:gd name="T1" fmla="*/ 264 h 1558"/>
              <a:gd name="T2" fmla="*/ 115 w 763"/>
              <a:gd name="T3" fmla="*/ 261 h 1558"/>
              <a:gd name="T4" fmla="*/ 118 w 763"/>
              <a:gd name="T5" fmla="*/ 259 h 1558"/>
              <a:gd name="T6" fmla="*/ 120 w 763"/>
              <a:gd name="T7" fmla="*/ 253 h 1558"/>
              <a:gd name="T8" fmla="*/ 121 w 763"/>
              <a:gd name="T9" fmla="*/ 249 h 1558"/>
              <a:gd name="T10" fmla="*/ 122 w 763"/>
              <a:gd name="T11" fmla="*/ 250 h 1558"/>
              <a:gd name="T12" fmla="*/ 125 w 763"/>
              <a:gd name="T13" fmla="*/ 251 h 1558"/>
              <a:gd name="T14" fmla="*/ 127 w 763"/>
              <a:gd name="T15" fmla="*/ 252 h 1558"/>
              <a:gd name="T16" fmla="*/ 134 w 763"/>
              <a:gd name="T17" fmla="*/ 253 h 1558"/>
              <a:gd name="T18" fmla="*/ 138 w 763"/>
              <a:gd name="T19" fmla="*/ 252 h 1558"/>
              <a:gd name="T20" fmla="*/ 140 w 763"/>
              <a:gd name="T21" fmla="*/ 251 h 1558"/>
              <a:gd name="T22" fmla="*/ 142 w 763"/>
              <a:gd name="T23" fmla="*/ 250 h 1558"/>
              <a:gd name="T24" fmla="*/ 143 w 763"/>
              <a:gd name="T25" fmla="*/ 220 h 1558"/>
              <a:gd name="T26" fmla="*/ 143 w 763"/>
              <a:gd name="T27" fmla="*/ 212 h 1558"/>
              <a:gd name="T28" fmla="*/ 143 w 763"/>
              <a:gd name="T29" fmla="*/ 209 h 1558"/>
              <a:gd name="T30" fmla="*/ 141 w 763"/>
              <a:gd name="T31" fmla="*/ 208 h 1558"/>
              <a:gd name="T32" fmla="*/ 138 w 763"/>
              <a:gd name="T33" fmla="*/ 205 h 1558"/>
              <a:gd name="T34" fmla="*/ 126 w 763"/>
              <a:gd name="T35" fmla="*/ 203 h 1558"/>
              <a:gd name="T36" fmla="*/ 127 w 763"/>
              <a:gd name="T37" fmla="*/ 190 h 1558"/>
              <a:gd name="T38" fmla="*/ 127 w 763"/>
              <a:gd name="T39" fmla="*/ 189 h 1558"/>
              <a:gd name="T40" fmla="*/ 127 w 763"/>
              <a:gd name="T41" fmla="*/ 186 h 1558"/>
              <a:gd name="T42" fmla="*/ 127 w 763"/>
              <a:gd name="T43" fmla="*/ 184 h 1558"/>
              <a:gd name="T44" fmla="*/ 125 w 763"/>
              <a:gd name="T45" fmla="*/ 183 h 1558"/>
              <a:gd name="T46" fmla="*/ 123 w 763"/>
              <a:gd name="T47" fmla="*/ 182 h 1558"/>
              <a:gd name="T48" fmla="*/ 111 w 763"/>
              <a:gd name="T49" fmla="*/ 146 h 1558"/>
              <a:gd name="T50" fmla="*/ 119 w 763"/>
              <a:gd name="T51" fmla="*/ 116 h 1558"/>
              <a:gd name="T52" fmla="*/ 133 w 763"/>
              <a:gd name="T53" fmla="*/ 114 h 1558"/>
              <a:gd name="T54" fmla="*/ 133 w 763"/>
              <a:gd name="T55" fmla="*/ 92 h 1558"/>
              <a:gd name="T56" fmla="*/ 132 w 763"/>
              <a:gd name="T57" fmla="*/ 91 h 1558"/>
              <a:gd name="T58" fmla="*/ 131 w 763"/>
              <a:gd name="T59" fmla="*/ 90 h 1558"/>
              <a:gd name="T60" fmla="*/ 127 w 763"/>
              <a:gd name="T61" fmla="*/ 89 h 1558"/>
              <a:gd name="T62" fmla="*/ 119 w 763"/>
              <a:gd name="T63" fmla="*/ 13 h 1558"/>
              <a:gd name="T64" fmla="*/ 36 w 763"/>
              <a:gd name="T65" fmla="*/ 126 h 1558"/>
              <a:gd name="T66" fmla="*/ 42 w 763"/>
              <a:gd name="T67" fmla="*/ 172 h 1558"/>
              <a:gd name="T68" fmla="*/ 35 w 763"/>
              <a:gd name="T69" fmla="*/ 250 h 1558"/>
              <a:gd name="T70" fmla="*/ 47 w 763"/>
              <a:gd name="T71" fmla="*/ 263 h 1558"/>
              <a:gd name="T72" fmla="*/ 34 w 763"/>
              <a:gd name="T73" fmla="*/ 270 h 1558"/>
              <a:gd name="T74" fmla="*/ 18 w 763"/>
              <a:gd name="T75" fmla="*/ 287 h 1558"/>
              <a:gd name="T76" fmla="*/ 2 w 763"/>
              <a:gd name="T77" fmla="*/ 277 h 1558"/>
              <a:gd name="T78" fmla="*/ 2 w 763"/>
              <a:gd name="T79" fmla="*/ 349 h 1558"/>
              <a:gd name="T80" fmla="*/ 16 w 763"/>
              <a:gd name="T81" fmla="*/ 336 h 1558"/>
              <a:gd name="T82" fmla="*/ 18 w 763"/>
              <a:gd name="T83" fmla="*/ 335 h 1558"/>
              <a:gd name="T84" fmla="*/ 19 w 763"/>
              <a:gd name="T85" fmla="*/ 335 h 1558"/>
              <a:gd name="T86" fmla="*/ 20 w 763"/>
              <a:gd name="T87" fmla="*/ 336 h 1558"/>
              <a:gd name="T88" fmla="*/ 21 w 763"/>
              <a:gd name="T89" fmla="*/ 337 h 1558"/>
              <a:gd name="T90" fmla="*/ 23 w 763"/>
              <a:gd name="T91" fmla="*/ 338 h 1558"/>
              <a:gd name="T92" fmla="*/ 25 w 763"/>
              <a:gd name="T93" fmla="*/ 339 h 1558"/>
              <a:gd name="T94" fmla="*/ 26 w 763"/>
              <a:gd name="T95" fmla="*/ 339 h 1558"/>
              <a:gd name="T96" fmla="*/ 28 w 763"/>
              <a:gd name="T97" fmla="*/ 339 h 1558"/>
              <a:gd name="T98" fmla="*/ 29 w 763"/>
              <a:gd name="T99" fmla="*/ 340 h 1558"/>
              <a:gd name="T100" fmla="*/ 32 w 763"/>
              <a:gd name="T101" fmla="*/ 343 h 1558"/>
              <a:gd name="T102" fmla="*/ 33 w 763"/>
              <a:gd name="T103" fmla="*/ 343 h 1558"/>
              <a:gd name="T104" fmla="*/ 33 w 763"/>
              <a:gd name="T105" fmla="*/ 345 h 1558"/>
              <a:gd name="T106" fmla="*/ 43 w 763"/>
              <a:gd name="T107" fmla="*/ 364 h 1558"/>
              <a:gd name="T108" fmla="*/ 137 w 763"/>
              <a:gd name="T109" fmla="*/ 324 h 1558"/>
              <a:gd name="T110" fmla="*/ 140 w 763"/>
              <a:gd name="T111" fmla="*/ 323 h 1558"/>
              <a:gd name="T112" fmla="*/ 141 w 763"/>
              <a:gd name="T113" fmla="*/ 325 h 1558"/>
              <a:gd name="T114" fmla="*/ 142 w 763"/>
              <a:gd name="T115" fmla="*/ 327 h 1558"/>
              <a:gd name="T116" fmla="*/ 153 w 763"/>
              <a:gd name="T117" fmla="*/ 342 h 1558"/>
              <a:gd name="T118" fmla="*/ 153 w 763"/>
              <a:gd name="T119" fmla="*/ 282 h 1558"/>
              <a:gd name="T120" fmla="*/ 141 w 763"/>
              <a:gd name="T121" fmla="*/ 285 h 1558"/>
              <a:gd name="T122" fmla="*/ 123 w 763"/>
              <a:gd name="T123" fmla="*/ 281 h 1558"/>
              <a:gd name="T124" fmla="*/ 122 w 763"/>
              <a:gd name="T125" fmla="*/ 276 h 155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763"/>
              <a:gd name="T190" fmla="*/ 0 h 1558"/>
              <a:gd name="T191" fmla="*/ 763 w 763"/>
              <a:gd name="T192" fmla="*/ 1558 h 155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763" h="1558">
                <a:moveTo>
                  <a:pt x="601" y="1188"/>
                </a:moveTo>
                <a:lnTo>
                  <a:pt x="601" y="1153"/>
                </a:lnTo>
                <a:lnTo>
                  <a:pt x="587" y="1153"/>
                </a:lnTo>
                <a:lnTo>
                  <a:pt x="587" y="1130"/>
                </a:lnTo>
                <a:lnTo>
                  <a:pt x="522" y="1130"/>
                </a:lnTo>
                <a:lnTo>
                  <a:pt x="542" y="1118"/>
                </a:lnTo>
                <a:lnTo>
                  <a:pt x="566" y="1118"/>
                </a:lnTo>
                <a:lnTo>
                  <a:pt x="564" y="1118"/>
                </a:lnTo>
                <a:lnTo>
                  <a:pt x="576" y="1118"/>
                </a:lnTo>
                <a:lnTo>
                  <a:pt x="579" y="1114"/>
                </a:lnTo>
                <a:lnTo>
                  <a:pt x="579" y="1110"/>
                </a:lnTo>
                <a:lnTo>
                  <a:pt x="581" y="1110"/>
                </a:lnTo>
                <a:lnTo>
                  <a:pt x="581" y="1100"/>
                </a:lnTo>
                <a:lnTo>
                  <a:pt x="581" y="1104"/>
                </a:lnTo>
                <a:lnTo>
                  <a:pt x="581" y="1091"/>
                </a:lnTo>
                <a:lnTo>
                  <a:pt x="589" y="1083"/>
                </a:lnTo>
                <a:lnTo>
                  <a:pt x="591" y="1061"/>
                </a:lnTo>
                <a:lnTo>
                  <a:pt x="591" y="1063"/>
                </a:lnTo>
                <a:lnTo>
                  <a:pt x="593" y="1065"/>
                </a:lnTo>
                <a:lnTo>
                  <a:pt x="595" y="1065"/>
                </a:lnTo>
                <a:lnTo>
                  <a:pt x="597" y="1067"/>
                </a:lnTo>
                <a:lnTo>
                  <a:pt x="599" y="1067"/>
                </a:lnTo>
                <a:lnTo>
                  <a:pt x="601" y="1069"/>
                </a:lnTo>
                <a:lnTo>
                  <a:pt x="603" y="1069"/>
                </a:lnTo>
                <a:lnTo>
                  <a:pt x="605" y="1071"/>
                </a:lnTo>
                <a:lnTo>
                  <a:pt x="609" y="1071"/>
                </a:lnTo>
                <a:lnTo>
                  <a:pt x="611" y="1073"/>
                </a:lnTo>
                <a:lnTo>
                  <a:pt x="613" y="1073"/>
                </a:lnTo>
                <a:lnTo>
                  <a:pt x="615" y="1075"/>
                </a:lnTo>
                <a:lnTo>
                  <a:pt x="619" y="1075"/>
                </a:lnTo>
                <a:lnTo>
                  <a:pt x="621" y="1077"/>
                </a:lnTo>
                <a:lnTo>
                  <a:pt x="625" y="1077"/>
                </a:lnTo>
                <a:lnTo>
                  <a:pt x="627" y="1079"/>
                </a:lnTo>
                <a:lnTo>
                  <a:pt x="637" y="1079"/>
                </a:lnTo>
                <a:lnTo>
                  <a:pt x="639" y="1081"/>
                </a:lnTo>
                <a:lnTo>
                  <a:pt x="662" y="1081"/>
                </a:lnTo>
                <a:lnTo>
                  <a:pt x="664" y="1079"/>
                </a:lnTo>
                <a:lnTo>
                  <a:pt x="674" y="1079"/>
                </a:lnTo>
                <a:lnTo>
                  <a:pt x="674" y="1077"/>
                </a:lnTo>
                <a:lnTo>
                  <a:pt x="678" y="1077"/>
                </a:lnTo>
                <a:lnTo>
                  <a:pt x="680" y="1075"/>
                </a:lnTo>
                <a:lnTo>
                  <a:pt x="684" y="1075"/>
                </a:lnTo>
                <a:lnTo>
                  <a:pt x="686" y="1073"/>
                </a:lnTo>
                <a:lnTo>
                  <a:pt x="688" y="1073"/>
                </a:lnTo>
                <a:lnTo>
                  <a:pt x="690" y="1071"/>
                </a:lnTo>
                <a:lnTo>
                  <a:pt x="694" y="1071"/>
                </a:lnTo>
                <a:lnTo>
                  <a:pt x="696" y="1069"/>
                </a:lnTo>
                <a:lnTo>
                  <a:pt x="698" y="1069"/>
                </a:lnTo>
                <a:lnTo>
                  <a:pt x="702" y="1065"/>
                </a:lnTo>
                <a:lnTo>
                  <a:pt x="704" y="1065"/>
                </a:lnTo>
                <a:lnTo>
                  <a:pt x="706" y="1063"/>
                </a:lnTo>
                <a:lnTo>
                  <a:pt x="706" y="943"/>
                </a:lnTo>
                <a:lnTo>
                  <a:pt x="715" y="943"/>
                </a:lnTo>
                <a:lnTo>
                  <a:pt x="717" y="927"/>
                </a:lnTo>
                <a:lnTo>
                  <a:pt x="704" y="927"/>
                </a:lnTo>
                <a:lnTo>
                  <a:pt x="704" y="906"/>
                </a:lnTo>
                <a:lnTo>
                  <a:pt x="704" y="908"/>
                </a:lnTo>
                <a:lnTo>
                  <a:pt x="704" y="898"/>
                </a:lnTo>
                <a:lnTo>
                  <a:pt x="702" y="898"/>
                </a:lnTo>
                <a:lnTo>
                  <a:pt x="702" y="894"/>
                </a:lnTo>
                <a:lnTo>
                  <a:pt x="700" y="894"/>
                </a:lnTo>
                <a:lnTo>
                  <a:pt x="700" y="892"/>
                </a:lnTo>
                <a:lnTo>
                  <a:pt x="698" y="890"/>
                </a:lnTo>
                <a:lnTo>
                  <a:pt x="696" y="890"/>
                </a:lnTo>
                <a:lnTo>
                  <a:pt x="696" y="888"/>
                </a:lnTo>
                <a:lnTo>
                  <a:pt x="688" y="888"/>
                </a:lnTo>
                <a:lnTo>
                  <a:pt x="684" y="888"/>
                </a:lnTo>
                <a:lnTo>
                  <a:pt x="678" y="878"/>
                </a:lnTo>
                <a:lnTo>
                  <a:pt x="650" y="878"/>
                </a:lnTo>
                <a:lnTo>
                  <a:pt x="635" y="892"/>
                </a:lnTo>
                <a:lnTo>
                  <a:pt x="619" y="892"/>
                </a:lnTo>
                <a:lnTo>
                  <a:pt x="619" y="869"/>
                </a:lnTo>
                <a:lnTo>
                  <a:pt x="603" y="837"/>
                </a:lnTo>
                <a:lnTo>
                  <a:pt x="619" y="818"/>
                </a:lnTo>
                <a:lnTo>
                  <a:pt x="627" y="814"/>
                </a:lnTo>
                <a:lnTo>
                  <a:pt x="623" y="814"/>
                </a:lnTo>
                <a:lnTo>
                  <a:pt x="623" y="812"/>
                </a:lnTo>
                <a:lnTo>
                  <a:pt x="625" y="812"/>
                </a:lnTo>
                <a:lnTo>
                  <a:pt x="625" y="808"/>
                </a:lnTo>
                <a:lnTo>
                  <a:pt x="627" y="808"/>
                </a:lnTo>
                <a:lnTo>
                  <a:pt x="627" y="802"/>
                </a:lnTo>
                <a:lnTo>
                  <a:pt x="629" y="802"/>
                </a:lnTo>
                <a:lnTo>
                  <a:pt x="629" y="797"/>
                </a:lnTo>
                <a:lnTo>
                  <a:pt x="627" y="795"/>
                </a:lnTo>
                <a:lnTo>
                  <a:pt x="627" y="791"/>
                </a:lnTo>
                <a:lnTo>
                  <a:pt x="625" y="791"/>
                </a:lnTo>
                <a:lnTo>
                  <a:pt x="625" y="789"/>
                </a:lnTo>
                <a:lnTo>
                  <a:pt x="623" y="789"/>
                </a:lnTo>
                <a:lnTo>
                  <a:pt x="623" y="787"/>
                </a:lnTo>
                <a:lnTo>
                  <a:pt x="621" y="787"/>
                </a:lnTo>
                <a:lnTo>
                  <a:pt x="621" y="785"/>
                </a:lnTo>
                <a:lnTo>
                  <a:pt x="617" y="785"/>
                </a:lnTo>
                <a:lnTo>
                  <a:pt x="617" y="783"/>
                </a:lnTo>
                <a:lnTo>
                  <a:pt x="611" y="783"/>
                </a:lnTo>
                <a:lnTo>
                  <a:pt x="611" y="781"/>
                </a:lnTo>
                <a:lnTo>
                  <a:pt x="607" y="781"/>
                </a:lnTo>
                <a:lnTo>
                  <a:pt x="595" y="787"/>
                </a:lnTo>
                <a:lnTo>
                  <a:pt x="576" y="787"/>
                </a:lnTo>
                <a:lnTo>
                  <a:pt x="550" y="740"/>
                </a:lnTo>
                <a:lnTo>
                  <a:pt x="548" y="625"/>
                </a:lnTo>
                <a:lnTo>
                  <a:pt x="572" y="604"/>
                </a:lnTo>
                <a:lnTo>
                  <a:pt x="572" y="553"/>
                </a:lnTo>
                <a:lnTo>
                  <a:pt x="585" y="538"/>
                </a:lnTo>
                <a:lnTo>
                  <a:pt x="585" y="497"/>
                </a:lnTo>
                <a:lnTo>
                  <a:pt x="643" y="497"/>
                </a:lnTo>
                <a:lnTo>
                  <a:pt x="650" y="505"/>
                </a:lnTo>
                <a:lnTo>
                  <a:pt x="666" y="497"/>
                </a:lnTo>
                <a:lnTo>
                  <a:pt x="656" y="487"/>
                </a:lnTo>
                <a:lnTo>
                  <a:pt x="656" y="405"/>
                </a:lnTo>
                <a:lnTo>
                  <a:pt x="656" y="409"/>
                </a:lnTo>
                <a:lnTo>
                  <a:pt x="656" y="395"/>
                </a:lnTo>
                <a:lnTo>
                  <a:pt x="654" y="394"/>
                </a:lnTo>
                <a:lnTo>
                  <a:pt x="654" y="392"/>
                </a:lnTo>
                <a:lnTo>
                  <a:pt x="652" y="392"/>
                </a:lnTo>
                <a:lnTo>
                  <a:pt x="652" y="388"/>
                </a:lnTo>
                <a:lnTo>
                  <a:pt x="648" y="388"/>
                </a:lnTo>
                <a:lnTo>
                  <a:pt x="648" y="386"/>
                </a:lnTo>
                <a:lnTo>
                  <a:pt x="646" y="386"/>
                </a:lnTo>
                <a:lnTo>
                  <a:pt x="646" y="384"/>
                </a:lnTo>
                <a:lnTo>
                  <a:pt x="643" y="384"/>
                </a:lnTo>
                <a:lnTo>
                  <a:pt x="641" y="382"/>
                </a:lnTo>
                <a:lnTo>
                  <a:pt x="635" y="382"/>
                </a:lnTo>
                <a:lnTo>
                  <a:pt x="635" y="380"/>
                </a:lnTo>
                <a:lnTo>
                  <a:pt x="623" y="380"/>
                </a:lnTo>
                <a:lnTo>
                  <a:pt x="627" y="380"/>
                </a:lnTo>
                <a:lnTo>
                  <a:pt x="591" y="380"/>
                </a:lnTo>
                <a:lnTo>
                  <a:pt x="585" y="376"/>
                </a:lnTo>
                <a:lnTo>
                  <a:pt x="585" y="57"/>
                </a:lnTo>
                <a:lnTo>
                  <a:pt x="495" y="0"/>
                </a:lnTo>
                <a:lnTo>
                  <a:pt x="268" y="0"/>
                </a:lnTo>
                <a:lnTo>
                  <a:pt x="178" y="55"/>
                </a:lnTo>
                <a:lnTo>
                  <a:pt x="178" y="538"/>
                </a:lnTo>
                <a:lnTo>
                  <a:pt x="191" y="551"/>
                </a:lnTo>
                <a:lnTo>
                  <a:pt x="191" y="606"/>
                </a:lnTo>
                <a:lnTo>
                  <a:pt x="209" y="625"/>
                </a:lnTo>
                <a:lnTo>
                  <a:pt x="209" y="736"/>
                </a:lnTo>
                <a:lnTo>
                  <a:pt x="136" y="869"/>
                </a:lnTo>
                <a:lnTo>
                  <a:pt x="136" y="964"/>
                </a:lnTo>
                <a:lnTo>
                  <a:pt x="166" y="1001"/>
                </a:lnTo>
                <a:lnTo>
                  <a:pt x="170" y="1071"/>
                </a:lnTo>
                <a:lnTo>
                  <a:pt x="176" y="1089"/>
                </a:lnTo>
                <a:lnTo>
                  <a:pt x="178" y="1110"/>
                </a:lnTo>
                <a:lnTo>
                  <a:pt x="195" y="1124"/>
                </a:lnTo>
                <a:lnTo>
                  <a:pt x="233" y="1124"/>
                </a:lnTo>
                <a:lnTo>
                  <a:pt x="233" y="1132"/>
                </a:lnTo>
                <a:lnTo>
                  <a:pt x="184" y="1128"/>
                </a:lnTo>
                <a:lnTo>
                  <a:pt x="184" y="1155"/>
                </a:lnTo>
                <a:lnTo>
                  <a:pt x="166" y="1155"/>
                </a:lnTo>
                <a:lnTo>
                  <a:pt x="166" y="1194"/>
                </a:lnTo>
                <a:lnTo>
                  <a:pt x="160" y="1209"/>
                </a:lnTo>
                <a:lnTo>
                  <a:pt x="124" y="1242"/>
                </a:lnTo>
                <a:lnTo>
                  <a:pt x="91" y="1229"/>
                </a:lnTo>
                <a:lnTo>
                  <a:pt x="77" y="1225"/>
                </a:lnTo>
                <a:lnTo>
                  <a:pt x="77" y="1145"/>
                </a:lnTo>
                <a:lnTo>
                  <a:pt x="12" y="1145"/>
                </a:lnTo>
                <a:lnTo>
                  <a:pt x="12" y="1186"/>
                </a:lnTo>
                <a:lnTo>
                  <a:pt x="0" y="1192"/>
                </a:lnTo>
                <a:lnTo>
                  <a:pt x="0" y="1447"/>
                </a:lnTo>
                <a:lnTo>
                  <a:pt x="10" y="1455"/>
                </a:lnTo>
                <a:lnTo>
                  <a:pt x="10" y="1492"/>
                </a:lnTo>
                <a:lnTo>
                  <a:pt x="77" y="1492"/>
                </a:lnTo>
                <a:lnTo>
                  <a:pt x="77" y="1441"/>
                </a:lnTo>
                <a:lnTo>
                  <a:pt x="77" y="1443"/>
                </a:lnTo>
                <a:lnTo>
                  <a:pt x="77" y="1437"/>
                </a:lnTo>
                <a:lnTo>
                  <a:pt x="79" y="1437"/>
                </a:lnTo>
                <a:lnTo>
                  <a:pt x="79" y="1431"/>
                </a:lnTo>
                <a:lnTo>
                  <a:pt x="89" y="1431"/>
                </a:lnTo>
                <a:lnTo>
                  <a:pt x="89" y="1433"/>
                </a:lnTo>
                <a:lnTo>
                  <a:pt x="91" y="1433"/>
                </a:lnTo>
                <a:lnTo>
                  <a:pt x="91" y="1431"/>
                </a:lnTo>
                <a:lnTo>
                  <a:pt x="93" y="1431"/>
                </a:lnTo>
                <a:lnTo>
                  <a:pt x="93" y="1433"/>
                </a:lnTo>
                <a:lnTo>
                  <a:pt x="95" y="1433"/>
                </a:lnTo>
                <a:lnTo>
                  <a:pt x="97" y="1435"/>
                </a:lnTo>
                <a:lnTo>
                  <a:pt x="99" y="1435"/>
                </a:lnTo>
                <a:lnTo>
                  <a:pt x="99" y="1437"/>
                </a:lnTo>
                <a:lnTo>
                  <a:pt x="101" y="1437"/>
                </a:lnTo>
                <a:lnTo>
                  <a:pt x="103" y="1439"/>
                </a:lnTo>
                <a:lnTo>
                  <a:pt x="105" y="1439"/>
                </a:lnTo>
                <a:lnTo>
                  <a:pt x="105" y="1441"/>
                </a:lnTo>
                <a:lnTo>
                  <a:pt x="109" y="1441"/>
                </a:lnTo>
                <a:lnTo>
                  <a:pt x="109" y="1443"/>
                </a:lnTo>
                <a:lnTo>
                  <a:pt x="113" y="1443"/>
                </a:lnTo>
                <a:lnTo>
                  <a:pt x="113" y="1445"/>
                </a:lnTo>
                <a:lnTo>
                  <a:pt x="117" y="1445"/>
                </a:lnTo>
                <a:lnTo>
                  <a:pt x="117" y="1447"/>
                </a:lnTo>
                <a:lnTo>
                  <a:pt x="121" y="1447"/>
                </a:lnTo>
                <a:lnTo>
                  <a:pt x="123" y="1449"/>
                </a:lnTo>
                <a:lnTo>
                  <a:pt x="126" y="1449"/>
                </a:lnTo>
                <a:lnTo>
                  <a:pt x="126" y="1451"/>
                </a:lnTo>
                <a:lnTo>
                  <a:pt x="130" y="1451"/>
                </a:lnTo>
                <a:lnTo>
                  <a:pt x="130" y="1453"/>
                </a:lnTo>
                <a:lnTo>
                  <a:pt x="136" y="1453"/>
                </a:lnTo>
                <a:lnTo>
                  <a:pt x="138" y="1455"/>
                </a:lnTo>
                <a:lnTo>
                  <a:pt x="140" y="1455"/>
                </a:lnTo>
                <a:lnTo>
                  <a:pt x="138" y="1453"/>
                </a:lnTo>
                <a:lnTo>
                  <a:pt x="140" y="1453"/>
                </a:lnTo>
                <a:lnTo>
                  <a:pt x="140" y="1455"/>
                </a:lnTo>
                <a:lnTo>
                  <a:pt x="144" y="1455"/>
                </a:lnTo>
                <a:lnTo>
                  <a:pt x="144" y="1457"/>
                </a:lnTo>
                <a:lnTo>
                  <a:pt x="146" y="1457"/>
                </a:lnTo>
                <a:lnTo>
                  <a:pt x="146" y="1459"/>
                </a:lnTo>
                <a:lnTo>
                  <a:pt x="148" y="1459"/>
                </a:lnTo>
                <a:lnTo>
                  <a:pt x="156" y="1466"/>
                </a:lnTo>
                <a:lnTo>
                  <a:pt x="156" y="1468"/>
                </a:lnTo>
                <a:lnTo>
                  <a:pt x="158" y="1468"/>
                </a:lnTo>
                <a:lnTo>
                  <a:pt x="158" y="1470"/>
                </a:lnTo>
                <a:lnTo>
                  <a:pt x="160" y="1470"/>
                </a:lnTo>
                <a:lnTo>
                  <a:pt x="160" y="1472"/>
                </a:lnTo>
                <a:lnTo>
                  <a:pt x="162" y="1474"/>
                </a:lnTo>
                <a:lnTo>
                  <a:pt x="162" y="1476"/>
                </a:lnTo>
                <a:lnTo>
                  <a:pt x="164" y="1476"/>
                </a:lnTo>
                <a:lnTo>
                  <a:pt x="164" y="1478"/>
                </a:lnTo>
                <a:lnTo>
                  <a:pt x="160" y="1476"/>
                </a:lnTo>
                <a:lnTo>
                  <a:pt x="211" y="1538"/>
                </a:lnTo>
                <a:lnTo>
                  <a:pt x="211" y="1558"/>
                </a:lnTo>
                <a:lnTo>
                  <a:pt x="560" y="1558"/>
                </a:lnTo>
                <a:lnTo>
                  <a:pt x="560" y="1533"/>
                </a:lnTo>
                <a:lnTo>
                  <a:pt x="674" y="1387"/>
                </a:lnTo>
                <a:lnTo>
                  <a:pt x="676" y="1387"/>
                </a:lnTo>
                <a:lnTo>
                  <a:pt x="676" y="1385"/>
                </a:lnTo>
                <a:lnTo>
                  <a:pt x="680" y="1385"/>
                </a:lnTo>
                <a:lnTo>
                  <a:pt x="682" y="1383"/>
                </a:lnTo>
                <a:lnTo>
                  <a:pt x="690" y="1383"/>
                </a:lnTo>
                <a:lnTo>
                  <a:pt x="690" y="1385"/>
                </a:lnTo>
                <a:lnTo>
                  <a:pt x="694" y="1385"/>
                </a:lnTo>
                <a:lnTo>
                  <a:pt x="694" y="1387"/>
                </a:lnTo>
                <a:lnTo>
                  <a:pt x="696" y="1389"/>
                </a:lnTo>
                <a:lnTo>
                  <a:pt x="696" y="1390"/>
                </a:lnTo>
                <a:lnTo>
                  <a:pt x="698" y="1392"/>
                </a:lnTo>
                <a:lnTo>
                  <a:pt x="698" y="1396"/>
                </a:lnTo>
                <a:lnTo>
                  <a:pt x="700" y="1398"/>
                </a:lnTo>
                <a:lnTo>
                  <a:pt x="700" y="1404"/>
                </a:lnTo>
                <a:lnTo>
                  <a:pt x="700" y="1400"/>
                </a:lnTo>
                <a:lnTo>
                  <a:pt x="700" y="1463"/>
                </a:lnTo>
                <a:lnTo>
                  <a:pt x="755" y="1463"/>
                </a:lnTo>
                <a:lnTo>
                  <a:pt x="755" y="1427"/>
                </a:lnTo>
                <a:lnTo>
                  <a:pt x="763" y="1416"/>
                </a:lnTo>
                <a:lnTo>
                  <a:pt x="763" y="1211"/>
                </a:lnTo>
                <a:lnTo>
                  <a:pt x="755" y="1207"/>
                </a:lnTo>
                <a:lnTo>
                  <a:pt x="755" y="1169"/>
                </a:lnTo>
                <a:lnTo>
                  <a:pt x="700" y="1169"/>
                </a:lnTo>
                <a:lnTo>
                  <a:pt x="700" y="1215"/>
                </a:lnTo>
                <a:lnTo>
                  <a:pt x="692" y="1219"/>
                </a:lnTo>
                <a:lnTo>
                  <a:pt x="609" y="1204"/>
                </a:lnTo>
                <a:lnTo>
                  <a:pt x="611" y="1204"/>
                </a:lnTo>
                <a:lnTo>
                  <a:pt x="607" y="1204"/>
                </a:lnTo>
                <a:lnTo>
                  <a:pt x="607" y="1202"/>
                </a:lnTo>
                <a:lnTo>
                  <a:pt x="605" y="1202"/>
                </a:lnTo>
                <a:lnTo>
                  <a:pt x="605" y="1200"/>
                </a:lnTo>
                <a:lnTo>
                  <a:pt x="603" y="1200"/>
                </a:lnTo>
                <a:lnTo>
                  <a:pt x="603" y="1182"/>
                </a:lnTo>
                <a:lnTo>
                  <a:pt x="601" y="1188"/>
                </a:lnTo>
                <a:close/>
              </a:path>
            </a:pathLst>
          </a:custGeom>
          <a:solidFill>
            <a:srgbClr val="C0C0C0"/>
          </a:solidFill>
          <a:ln w="0">
            <a:solidFill>
              <a:srgbClr val="0238C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" name="Rectangle 6"/>
          <xdr:cNvSpPr>
            <a:spLocks noChangeArrowheads="1"/>
          </xdr:cNvSpPr>
        </xdr:nvSpPr>
        <xdr:spPr bwMode="auto">
          <a:xfrm>
            <a:off x="30" y="2269"/>
            <a:ext cx="178" cy="70"/>
          </a:xfrm>
          <a:prstGeom prst="rect">
            <a:avLst/>
          </a:prstGeom>
          <a:gradFill rotWithShape="0">
            <a:gsLst>
              <a:gs pos="0">
                <a:srgbClr val="FF6600"/>
              </a:gs>
              <a:gs pos="100000">
                <a:srgbClr val="662900"/>
              </a:gs>
            </a:gsLst>
            <a:lin ang="0" scaled="1"/>
          </a:gradFill>
          <a:ln w="0">
            <a:noFill/>
            <a:miter lim="800000"/>
            <a:headEnd/>
            <a:tailEnd/>
          </a:ln>
        </xdr:spPr>
      </xdr:sp>
      <xdr:sp macro="" textlink="">
        <xdr:nvSpPr>
          <xdr:cNvPr id="8" name="Oval 7"/>
          <xdr:cNvSpPr>
            <a:spLocks noChangeArrowheads="1"/>
          </xdr:cNvSpPr>
        </xdr:nvSpPr>
        <xdr:spPr bwMode="auto">
          <a:xfrm>
            <a:off x="315" y="2153"/>
            <a:ext cx="6" cy="8"/>
          </a:xfrm>
          <a:prstGeom prst="ellipse">
            <a:avLst/>
          </a:prstGeom>
          <a:solidFill>
            <a:srgbClr val="DEAD3D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" name="Freeform 8"/>
          <xdr:cNvSpPr>
            <a:spLocks/>
          </xdr:cNvSpPr>
        </xdr:nvSpPr>
        <xdr:spPr bwMode="auto">
          <a:xfrm>
            <a:off x="315" y="2152"/>
            <a:ext cx="6" cy="9"/>
          </a:xfrm>
          <a:custGeom>
            <a:avLst/>
            <a:gdLst>
              <a:gd name="T0" fmla="*/ 0 w 32"/>
              <a:gd name="T1" fmla="*/ 6 h 41"/>
              <a:gd name="T2" fmla="*/ 0 w 32"/>
              <a:gd name="T3" fmla="*/ 7 h 41"/>
              <a:gd name="T4" fmla="*/ 1 w 32"/>
              <a:gd name="T5" fmla="*/ 8 h 41"/>
              <a:gd name="T6" fmla="*/ 1 w 32"/>
              <a:gd name="T7" fmla="*/ 9 h 41"/>
              <a:gd name="T8" fmla="*/ 2 w 32"/>
              <a:gd name="T9" fmla="*/ 9 h 41"/>
              <a:gd name="T10" fmla="*/ 4 w 32"/>
              <a:gd name="T11" fmla="*/ 9 h 41"/>
              <a:gd name="T12" fmla="*/ 4 w 32"/>
              <a:gd name="T13" fmla="*/ 8 h 41"/>
              <a:gd name="T14" fmla="*/ 6 w 32"/>
              <a:gd name="T15" fmla="*/ 7 h 41"/>
              <a:gd name="T16" fmla="*/ 6 w 32"/>
              <a:gd name="T17" fmla="*/ 5 h 41"/>
              <a:gd name="T18" fmla="*/ 6 w 32"/>
              <a:gd name="T19" fmla="*/ 3 h 41"/>
              <a:gd name="T20" fmla="*/ 5 w 32"/>
              <a:gd name="T21" fmla="*/ 2 h 41"/>
              <a:gd name="T22" fmla="*/ 5 w 32"/>
              <a:gd name="T23" fmla="*/ 1 h 41"/>
              <a:gd name="T24" fmla="*/ 4 w 32"/>
              <a:gd name="T25" fmla="*/ 0 h 41"/>
              <a:gd name="T26" fmla="*/ 2 w 32"/>
              <a:gd name="T27" fmla="*/ 0 h 41"/>
              <a:gd name="T28" fmla="*/ 1 w 32"/>
              <a:gd name="T29" fmla="*/ 0 h 41"/>
              <a:gd name="T30" fmla="*/ 1 w 32"/>
              <a:gd name="T31" fmla="*/ 1 h 41"/>
              <a:gd name="T32" fmla="*/ 0 w 32"/>
              <a:gd name="T33" fmla="*/ 1 h 41"/>
              <a:gd name="T34" fmla="*/ 0 w 32"/>
              <a:gd name="T35" fmla="*/ 3 h 41"/>
              <a:gd name="T36" fmla="*/ 1 w 32"/>
              <a:gd name="T37" fmla="*/ 4 h 41"/>
              <a:gd name="T38" fmla="*/ 1 w 32"/>
              <a:gd name="T39" fmla="*/ 2 h 41"/>
              <a:gd name="T40" fmla="*/ 2 w 32"/>
              <a:gd name="T41" fmla="*/ 2 h 41"/>
              <a:gd name="T42" fmla="*/ 2 w 32"/>
              <a:gd name="T43" fmla="*/ 1 h 41"/>
              <a:gd name="T44" fmla="*/ 2 w 32"/>
              <a:gd name="T45" fmla="*/ 1 h 41"/>
              <a:gd name="T46" fmla="*/ 4 w 32"/>
              <a:gd name="T47" fmla="*/ 1 h 41"/>
              <a:gd name="T48" fmla="*/ 4 w 32"/>
              <a:gd name="T49" fmla="*/ 2 h 41"/>
              <a:gd name="T50" fmla="*/ 5 w 32"/>
              <a:gd name="T51" fmla="*/ 2 h 41"/>
              <a:gd name="T52" fmla="*/ 5 w 32"/>
              <a:gd name="T53" fmla="*/ 3 h 41"/>
              <a:gd name="T54" fmla="*/ 5 w 32"/>
              <a:gd name="T55" fmla="*/ 5 h 41"/>
              <a:gd name="T56" fmla="*/ 4 w 32"/>
              <a:gd name="T57" fmla="*/ 6 h 41"/>
              <a:gd name="T58" fmla="*/ 4 w 32"/>
              <a:gd name="T59" fmla="*/ 7 h 41"/>
              <a:gd name="T60" fmla="*/ 3 w 32"/>
              <a:gd name="T61" fmla="*/ 8 h 41"/>
              <a:gd name="T62" fmla="*/ 3 w 32"/>
              <a:gd name="T63" fmla="*/ 8 h 41"/>
              <a:gd name="T64" fmla="*/ 2 w 32"/>
              <a:gd name="T65" fmla="*/ 7 h 41"/>
              <a:gd name="T66" fmla="*/ 1 w 32"/>
              <a:gd name="T67" fmla="*/ 7 h 41"/>
              <a:gd name="T68" fmla="*/ 1 w 32"/>
              <a:gd name="T69" fmla="*/ 6 h 41"/>
              <a:gd name="T70" fmla="*/ 0 w 32"/>
              <a:gd name="T71" fmla="*/ 4 h 41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32"/>
              <a:gd name="T109" fmla="*/ 0 h 41"/>
              <a:gd name="T110" fmla="*/ 32 w 32"/>
              <a:gd name="T111" fmla="*/ 41 h 41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32" h="41">
                <a:moveTo>
                  <a:pt x="0" y="19"/>
                </a:moveTo>
                <a:lnTo>
                  <a:pt x="0" y="27"/>
                </a:lnTo>
                <a:lnTo>
                  <a:pt x="2" y="29"/>
                </a:lnTo>
                <a:lnTo>
                  <a:pt x="2" y="31"/>
                </a:lnTo>
                <a:lnTo>
                  <a:pt x="4" y="33"/>
                </a:lnTo>
                <a:lnTo>
                  <a:pt x="4" y="37"/>
                </a:lnTo>
                <a:lnTo>
                  <a:pt x="6" y="37"/>
                </a:lnTo>
                <a:lnTo>
                  <a:pt x="6" y="39"/>
                </a:lnTo>
                <a:lnTo>
                  <a:pt x="10" y="39"/>
                </a:lnTo>
                <a:lnTo>
                  <a:pt x="10" y="41"/>
                </a:lnTo>
                <a:lnTo>
                  <a:pt x="18" y="41"/>
                </a:lnTo>
                <a:lnTo>
                  <a:pt x="20" y="39"/>
                </a:lnTo>
                <a:lnTo>
                  <a:pt x="24" y="39"/>
                </a:lnTo>
                <a:lnTo>
                  <a:pt x="24" y="37"/>
                </a:lnTo>
                <a:lnTo>
                  <a:pt x="28" y="33"/>
                </a:lnTo>
                <a:lnTo>
                  <a:pt x="30" y="33"/>
                </a:lnTo>
                <a:lnTo>
                  <a:pt x="30" y="25"/>
                </a:lnTo>
                <a:lnTo>
                  <a:pt x="32" y="23"/>
                </a:lnTo>
                <a:lnTo>
                  <a:pt x="32" y="12"/>
                </a:lnTo>
                <a:lnTo>
                  <a:pt x="30" y="12"/>
                </a:lnTo>
                <a:lnTo>
                  <a:pt x="30" y="10"/>
                </a:lnTo>
                <a:lnTo>
                  <a:pt x="28" y="8"/>
                </a:lnTo>
                <a:lnTo>
                  <a:pt x="28" y="4"/>
                </a:lnTo>
                <a:lnTo>
                  <a:pt x="26" y="4"/>
                </a:lnTo>
                <a:lnTo>
                  <a:pt x="26" y="2"/>
                </a:lnTo>
                <a:lnTo>
                  <a:pt x="24" y="2"/>
                </a:lnTo>
                <a:lnTo>
                  <a:pt x="24" y="0"/>
                </a:lnTo>
                <a:lnTo>
                  <a:pt x="8" y="0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4" y="4"/>
                </a:lnTo>
                <a:lnTo>
                  <a:pt x="4" y="6"/>
                </a:lnTo>
                <a:lnTo>
                  <a:pt x="2" y="6"/>
                </a:lnTo>
                <a:lnTo>
                  <a:pt x="2" y="10"/>
                </a:lnTo>
                <a:lnTo>
                  <a:pt x="0" y="12"/>
                </a:lnTo>
                <a:lnTo>
                  <a:pt x="0" y="19"/>
                </a:lnTo>
                <a:lnTo>
                  <a:pt x="4" y="19"/>
                </a:lnTo>
                <a:lnTo>
                  <a:pt x="4" y="12"/>
                </a:lnTo>
                <a:lnTo>
                  <a:pt x="6" y="10"/>
                </a:lnTo>
                <a:lnTo>
                  <a:pt x="8" y="10"/>
                </a:lnTo>
                <a:lnTo>
                  <a:pt x="8" y="8"/>
                </a:lnTo>
                <a:lnTo>
                  <a:pt x="10" y="8"/>
                </a:lnTo>
                <a:lnTo>
                  <a:pt x="10" y="6"/>
                </a:lnTo>
                <a:lnTo>
                  <a:pt x="12" y="6"/>
                </a:lnTo>
                <a:lnTo>
                  <a:pt x="12" y="4"/>
                </a:lnTo>
                <a:lnTo>
                  <a:pt x="20" y="4"/>
                </a:lnTo>
                <a:lnTo>
                  <a:pt x="20" y="6"/>
                </a:lnTo>
                <a:lnTo>
                  <a:pt x="22" y="6"/>
                </a:lnTo>
                <a:lnTo>
                  <a:pt x="22" y="8"/>
                </a:lnTo>
                <a:lnTo>
                  <a:pt x="24" y="8"/>
                </a:lnTo>
                <a:lnTo>
                  <a:pt x="26" y="10"/>
                </a:lnTo>
                <a:lnTo>
                  <a:pt x="26" y="15"/>
                </a:lnTo>
                <a:lnTo>
                  <a:pt x="28" y="15"/>
                </a:lnTo>
                <a:lnTo>
                  <a:pt x="28" y="23"/>
                </a:lnTo>
                <a:lnTo>
                  <a:pt x="26" y="25"/>
                </a:lnTo>
                <a:lnTo>
                  <a:pt x="26" y="29"/>
                </a:lnTo>
                <a:lnTo>
                  <a:pt x="24" y="29"/>
                </a:lnTo>
                <a:lnTo>
                  <a:pt x="24" y="33"/>
                </a:lnTo>
                <a:lnTo>
                  <a:pt x="20" y="33"/>
                </a:lnTo>
                <a:lnTo>
                  <a:pt x="20" y="35"/>
                </a:lnTo>
                <a:lnTo>
                  <a:pt x="18" y="37"/>
                </a:lnTo>
                <a:lnTo>
                  <a:pt x="14" y="37"/>
                </a:lnTo>
                <a:lnTo>
                  <a:pt x="14" y="35"/>
                </a:lnTo>
                <a:lnTo>
                  <a:pt x="10" y="35"/>
                </a:lnTo>
                <a:lnTo>
                  <a:pt x="10" y="33"/>
                </a:lnTo>
                <a:lnTo>
                  <a:pt x="8" y="33"/>
                </a:lnTo>
                <a:lnTo>
                  <a:pt x="6" y="31"/>
                </a:lnTo>
                <a:lnTo>
                  <a:pt x="6" y="29"/>
                </a:lnTo>
                <a:lnTo>
                  <a:pt x="4" y="27"/>
                </a:lnTo>
                <a:lnTo>
                  <a:pt x="4" y="19"/>
                </a:lnTo>
                <a:lnTo>
                  <a:pt x="0" y="1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" name="Oval 9"/>
          <xdr:cNvSpPr>
            <a:spLocks noChangeArrowheads="1"/>
          </xdr:cNvSpPr>
        </xdr:nvSpPr>
        <xdr:spPr bwMode="auto">
          <a:xfrm>
            <a:off x="259" y="2237"/>
            <a:ext cx="12" cy="1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" name="Freeform 10"/>
          <xdr:cNvSpPr>
            <a:spLocks/>
          </xdr:cNvSpPr>
        </xdr:nvSpPr>
        <xdr:spPr bwMode="auto">
          <a:xfrm>
            <a:off x="259" y="2235"/>
            <a:ext cx="12" cy="16"/>
          </a:xfrm>
          <a:custGeom>
            <a:avLst/>
            <a:gdLst>
              <a:gd name="T0" fmla="*/ 0 w 59"/>
              <a:gd name="T1" fmla="*/ 10 h 61"/>
              <a:gd name="T2" fmla="*/ 0 w 59"/>
              <a:gd name="T3" fmla="*/ 12 h 61"/>
              <a:gd name="T4" fmla="*/ 1 w 59"/>
              <a:gd name="T5" fmla="*/ 13 h 61"/>
              <a:gd name="T6" fmla="*/ 1 w 59"/>
              <a:gd name="T7" fmla="*/ 13 h 61"/>
              <a:gd name="T8" fmla="*/ 1 w 59"/>
              <a:gd name="T9" fmla="*/ 14 h 61"/>
              <a:gd name="T10" fmla="*/ 2 w 59"/>
              <a:gd name="T11" fmla="*/ 14 h 61"/>
              <a:gd name="T12" fmla="*/ 2 w 59"/>
              <a:gd name="T13" fmla="*/ 15 h 61"/>
              <a:gd name="T14" fmla="*/ 3 w 59"/>
              <a:gd name="T15" fmla="*/ 15 h 61"/>
              <a:gd name="T16" fmla="*/ 5 w 59"/>
              <a:gd name="T17" fmla="*/ 16 h 61"/>
              <a:gd name="T18" fmla="*/ 7 w 59"/>
              <a:gd name="T19" fmla="*/ 15 h 61"/>
              <a:gd name="T20" fmla="*/ 8 w 59"/>
              <a:gd name="T21" fmla="*/ 15 h 61"/>
              <a:gd name="T22" fmla="*/ 11 w 59"/>
              <a:gd name="T23" fmla="*/ 12 h 61"/>
              <a:gd name="T24" fmla="*/ 11 w 59"/>
              <a:gd name="T25" fmla="*/ 11 h 61"/>
              <a:gd name="T26" fmla="*/ 12 w 59"/>
              <a:gd name="T27" fmla="*/ 10 h 61"/>
              <a:gd name="T28" fmla="*/ 12 w 59"/>
              <a:gd name="T29" fmla="*/ 9 h 61"/>
              <a:gd name="T30" fmla="*/ 12 w 59"/>
              <a:gd name="T31" fmla="*/ 6 h 61"/>
              <a:gd name="T32" fmla="*/ 11 w 59"/>
              <a:gd name="T33" fmla="*/ 4 h 61"/>
              <a:gd name="T34" fmla="*/ 11 w 59"/>
              <a:gd name="T35" fmla="*/ 3 h 61"/>
              <a:gd name="T36" fmla="*/ 9 w 59"/>
              <a:gd name="T37" fmla="*/ 1 h 61"/>
              <a:gd name="T38" fmla="*/ 8 w 59"/>
              <a:gd name="T39" fmla="*/ 0 h 61"/>
              <a:gd name="T40" fmla="*/ 3 w 59"/>
              <a:gd name="T41" fmla="*/ 1 h 61"/>
              <a:gd name="T42" fmla="*/ 3 w 59"/>
              <a:gd name="T43" fmla="*/ 1 h 61"/>
              <a:gd name="T44" fmla="*/ 2 w 59"/>
              <a:gd name="T45" fmla="*/ 2 h 61"/>
              <a:gd name="T46" fmla="*/ 1 w 59"/>
              <a:gd name="T47" fmla="*/ 2 h 61"/>
              <a:gd name="T48" fmla="*/ 1 w 59"/>
              <a:gd name="T49" fmla="*/ 3 h 61"/>
              <a:gd name="T50" fmla="*/ 1 w 59"/>
              <a:gd name="T51" fmla="*/ 4 h 61"/>
              <a:gd name="T52" fmla="*/ 0 w 59"/>
              <a:gd name="T53" fmla="*/ 5 h 61"/>
              <a:gd name="T54" fmla="*/ 0 w 59"/>
              <a:gd name="T55" fmla="*/ 8 h 61"/>
              <a:gd name="T56" fmla="*/ 1 w 59"/>
              <a:gd name="T57" fmla="*/ 6 h 61"/>
              <a:gd name="T58" fmla="*/ 1 w 59"/>
              <a:gd name="T59" fmla="*/ 4 h 61"/>
              <a:gd name="T60" fmla="*/ 2 w 59"/>
              <a:gd name="T61" fmla="*/ 4 h 61"/>
              <a:gd name="T62" fmla="*/ 2 w 59"/>
              <a:gd name="T63" fmla="*/ 3 h 61"/>
              <a:gd name="T64" fmla="*/ 3 w 59"/>
              <a:gd name="T65" fmla="*/ 3 h 61"/>
              <a:gd name="T66" fmla="*/ 3 w 59"/>
              <a:gd name="T67" fmla="*/ 2 h 61"/>
              <a:gd name="T68" fmla="*/ 4 w 59"/>
              <a:gd name="T69" fmla="*/ 1 h 61"/>
              <a:gd name="T70" fmla="*/ 8 w 59"/>
              <a:gd name="T71" fmla="*/ 2 h 61"/>
              <a:gd name="T72" fmla="*/ 8 w 59"/>
              <a:gd name="T73" fmla="*/ 2 h 61"/>
              <a:gd name="T74" fmla="*/ 10 w 59"/>
              <a:gd name="T75" fmla="*/ 3 h 61"/>
              <a:gd name="T76" fmla="*/ 10 w 59"/>
              <a:gd name="T77" fmla="*/ 4 h 61"/>
              <a:gd name="T78" fmla="*/ 11 w 59"/>
              <a:gd name="T79" fmla="*/ 5 h 61"/>
              <a:gd name="T80" fmla="*/ 11 w 59"/>
              <a:gd name="T81" fmla="*/ 7 h 61"/>
              <a:gd name="T82" fmla="*/ 11 w 59"/>
              <a:gd name="T83" fmla="*/ 9 h 61"/>
              <a:gd name="T84" fmla="*/ 10 w 59"/>
              <a:gd name="T85" fmla="*/ 11 h 61"/>
              <a:gd name="T86" fmla="*/ 10 w 59"/>
              <a:gd name="T87" fmla="*/ 12 h 61"/>
              <a:gd name="T88" fmla="*/ 9 w 59"/>
              <a:gd name="T89" fmla="*/ 14 h 61"/>
              <a:gd name="T90" fmla="*/ 8 w 59"/>
              <a:gd name="T91" fmla="*/ 14 h 61"/>
              <a:gd name="T92" fmla="*/ 7 w 59"/>
              <a:gd name="T93" fmla="*/ 15 h 61"/>
              <a:gd name="T94" fmla="*/ 5 w 59"/>
              <a:gd name="T95" fmla="*/ 14 h 61"/>
              <a:gd name="T96" fmla="*/ 4 w 59"/>
              <a:gd name="T97" fmla="*/ 14 h 61"/>
              <a:gd name="T98" fmla="*/ 3 w 59"/>
              <a:gd name="T99" fmla="*/ 13 h 61"/>
              <a:gd name="T100" fmla="*/ 3 w 59"/>
              <a:gd name="T101" fmla="*/ 13 h 61"/>
              <a:gd name="T102" fmla="*/ 2 w 59"/>
              <a:gd name="T103" fmla="*/ 12 h 61"/>
              <a:gd name="T104" fmla="*/ 2 w 59"/>
              <a:gd name="T105" fmla="*/ 12 h 61"/>
              <a:gd name="T106" fmla="*/ 1 w 59"/>
              <a:gd name="T107" fmla="*/ 11 h 61"/>
              <a:gd name="T108" fmla="*/ 1 w 59"/>
              <a:gd name="T109" fmla="*/ 10 h 61"/>
              <a:gd name="T110" fmla="*/ 1 w 59"/>
              <a:gd name="T111" fmla="*/ 8 h 6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59"/>
              <a:gd name="T169" fmla="*/ 0 h 61"/>
              <a:gd name="T170" fmla="*/ 59 w 59"/>
              <a:gd name="T171" fmla="*/ 61 h 6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59" h="61">
                <a:moveTo>
                  <a:pt x="0" y="29"/>
                </a:moveTo>
                <a:lnTo>
                  <a:pt x="0" y="37"/>
                </a:lnTo>
                <a:lnTo>
                  <a:pt x="1" y="39"/>
                </a:lnTo>
                <a:lnTo>
                  <a:pt x="1" y="45"/>
                </a:lnTo>
                <a:lnTo>
                  <a:pt x="3" y="45"/>
                </a:lnTo>
                <a:lnTo>
                  <a:pt x="3" y="49"/>
                </a:lnTo>
                <a:lnTo>
                  <a:pt x="5" y="49"/>
                </a:lnTo>
                <a:lnTo>
                  <a:pt x="5" y="51"/>
                </a:lnTo>
                <a:lnTo>
                  <a:pt x="7" y="51"/>
                </a:lnTo>
                <a:lnTo>
                  <a:pt x="7" y="53"/>
                </a:lnTo>
                <a:lnTo>
                  <a:pt x="9" y="53"/>
                </a:lnTo>
                <a:lnTo>
                  <a:pt x="9" y="55"/>
                </a:lnTo>
                <a:lnTo>
                  <a:pt x="11" y="55"/>
                </a:lnTo>
                <a:lnTo>
                  <a:pt x="11" y="57"/>
                </a:lnTo>
                <a:lnTo>
                  <a:pt x="15" y="57"/>
                </a:lnTo>
                <a:lnTo>
                  <a:pt x="15" y="59"/>
                </a:lnTo>
                <a:lnTo>
                  <a:pt x="23" y="59"/>
                </a:lnTo>
                <a:lnTo>
                  <a:pt x="25" y="61"/>
                </a:lnTo>
                <a:lnTo>
                  <a:pt x="33" y="61"/>
                </a:lnTo>
                <a:lnTo>
                  <a:pt x="35" y="59"/>
                </a:lnTo>
                <a:lnTo>
                  <a:pt x="39" y="59"/>
                </a:lnTo>
                <a:lnTo>
                  <a:pt x="41" y="57"/>
                </a:lnTo>
                <a:lnTo>
                  <a:pt x="43" y="57"/>
                </a:lnTo>
                <a:lnTo>
                  <a:pt x="53" y="47"/>
                </a:lnTo>
                <a:lnTo>
                  <a:pt x="53" y="45"/>
                </a:lnTo>
                <a:lnTo>
                  <a:pt x="55" y="43"/>
                </a:lnTo>
                <a:lnTo>
                  <a:pt x="55" y="41"/>
                </a:lnTo>
                <a:lnTo>
                  <a:pt x="57" y="39"/>
                </a:lnTo>
                <a:lnTo>
                  <a:pt x="57" y="35"/>
                </a:lnTo>
                <a:lnTo>
                  <a:pt x="59" y="33"/>
                </a:lnTo>
                <a:lnTo>
                  <a:pt x="59" y="25"/>
                </a:lnTo>
                <a:lnTo>
                  <a:pt x="57" y="24"/>
                </a:lnTo>
                <a:lnTo>
                  <a:pt x="57" y="16"/>
                </a:lnTo>
                <a:lnTo>
                  <a:pt x="55" y="16"/>
                </a:lnTo>
                <a:lnTo>
                  <a:pt x="55" y="12"/>
                </a:lnTo>
                <a:lnTo>
                  <a:pt x="53" y="12"/>
                </a:lnTo>
                <a:lnTo>
                  <a:pt x="45" y="4"/>
                </a:lnTo>
                <a:lnTo>
                  <a:pt x="45" y="2"/>
                </a:lnTo>
                <a:lnTo>
                  <a:pt x="39" y="2"/>
                </a:lnTo>
                <a:lnTo>
                  <a:pt x="37" y="0"/>
                </a:lnTo>
                <a:lnTo>
                  <a:pt x="17" y="0"/>
                </a:lnTo>
                <a:lnTo>
                  <a:pt x="17" y="2"/>
                </a:lnTo>
                <a:lnTo>
                  <a:pt x="15" y="2"/>
                </a:lnTo>
                <a:lnTo>
                  <a:pt x="13" y="4"/>
                </a:lnTo>
                <a:lnTo>
                  <a:pt x="9" y="4"/>
                </a:lnTo>
                <a:lnTo>
                  <a:pt x="9" y="6"/>
                </a:lnTo>
                <a:lnTo>
                  <a:pt x="7" y="6"/>
                </a:lnTo>
                <a:lnTo>
                  <a:pt x="7" y="8"/>
                </a:lnTo>
                <a:lnTo>
                  <a:pt x="5" y="8"/>
                </a:lnTo>
                <a:lnTo>
                  <a:pt x="5" y="10"/>
                </a:lnTo>
                <a:lnTo>
                  <a:pt x="3" y="10"/>
                </a:lnTo>
                <a:lnTo>
                  <a:pt x="3" y="14"/>
                </a:lnTo>
                <a:lnTo>
                  <a:pt x="1" y="16"/>
                </a:lnTo>
                <a:lnTo>
                  <a:pt x="1" y="18"/>
                </a:lnTo>
                <a:lnTo>
                  <a:pt x="0" y="18"/>
                </a:lnTo>
                <a:lnTo>
                  <a:pt x="0" y="29"/>
                </a:lnTo>
                <a:lnTo>
                  <a:pt x="3" y="29"/>
                </a:lnTo>
                <a:lnTo>
                  <a:pt x="3" y="22"/>
                </a:lnTo>
                <a:lnTo>
                  <a:pt x="5" y="22"/>
                </a:lnTo>
                <a:lnTo>
                  <a:pt x="5" y="16"/>
                </a:lnTo>
                <a:lnTo>
                  <a:pt x="7" y="14"/>
                </a:lnTo>
                <a:lnTo>
                  <a:pt x="9" y="14"/>
                </a:lnTo>
                <a:lnTo>
                  <a:pt x="9" y="12"/>
                </a:lnTo>
                <a:lnTo>
                  <a:pt x="11" y="12"/>
                </a:lnTo>
                <a:lnTo>
                  <a:pt x="11" y="10"/>
                </a:lnTo>
                <a:lnTo>
                  <a:pt x="13" y="10"/>
                </a:lnTo>
                <a:lnTo>
                  <a:pt x="13" y="8"/>
                </a:lnTo>
                <a:lnTo>
                  <a:pt x="15" y="6"/>
                </a:lnTo>
                <a:lnTo>
                  <a:pt x="21" y="6"/>
                </a:lnTo>
                <a:lnTo>
                  <a:pt x="21" y="4"/>
                </a:lnTo>
                <a:lnTo>
                  <a:pt x="37" y="4"/>
                </a:lnTo>
                <a:lnTo>
                  <a:pt x="39" y="6"/>
                </a:lnTo>
                <a:lnTo>
                  <a:pt x="41" y="6"/>
                </a:lnTo>
                <a:lnTo>
                  <a:pt x="41" y="8"/>
                </a:lnTo>
                <a:lnTo>
                  <a:pt x="45" y="8"/>
                </a:lnTo>
                <a:lnTo>
                  <a:pt x="49" y="12"/>
                </a:lnTo>
                <a:lnTo>
                  <a:pt x="49" y="16"/>
                </a:lnTo>
                <a:lnTo>
                  <a:pt x="51" y="16"/>
                </a:lnTo>
                <a:lnTo>
                  <a:pt x="51" y="20"/>
                </a:lnTo>
                <a:lnTo>
                  <a:pt x="53" y="20"/>
                </a:lnTo>
                <a:lnTo>
                  <a:pt x="53" y="24"/>
                </a:lnTo>
                <a:lnTo>
                  <a:pt x="55" y="25"/>
                </a:lnTo>
                <a:lnTo>
                  <a:pt x="55" y="33"/>
                </a:lnTo>
                <a:lnTo>
                  <a:pt x="53" y="35"/>
                </a:lnTo>
                <a:lnTo>
                  <a:pt x="53" y="39"/>
                </a:lnTo>
                <a:lnTo>
                  <a:pt x="51" y="41"/>
                </a:lnTo>
                <a:lnTo>
                  <a:pt x="51" y="43"/>
                </a:lnTo>
                <a:lnTo>
                  <a:pt x="49" y="45"/>
                </a:lnTo>
                <a:lnTo>
                  <a:pt x="49" y="47"/>
                </a:lnTo>
                <a:lnTo>
                  <a:pt x="43" y="53"/>
                </a:lnTo>
                <a:lnTo>
                  <a:pt x="41" y="53"/>
                </a:lnTo>
                <a:lnTo>
                  <a:pt x="39" y="55"/>
                </a:lnTo>
                <a:lnTo>
                  <a:pt x="35" y="55"/>
                </a:lnTo>
                <a:lnTo>
                  <a:pt x="33" y="57"/>
                </a:lnTo>
                <a:lnTo>
                  <a:pt x="25" y="57"/>
                </a:lnTo>
                <a:lnTo>
                  <a:pt x="23" y="55"/>
                </a:lnTo>
                <a:lnTo>
                  <a:pt x="19" y="55"/>
                </a:lnTo>
                <a:lnTo>
                  <a:pt x="19" y="53"/>
                </a:lnTo>
                <a:lnTo>
                  <a:pt x="15" y="53"/>
                </a:lnTo>
                <a:lnTo>
                  <a:pt x="15" y="51"/>
                </a:lnTo>
                <a:lnTo>
                  <a:pt x="13" y="51"/>
                </a:lnTo>
                <a:lnTo>
                  <a:pt x="13" y="49"/>
                </a:lnTo>
                <a:lnTo>
                  <a:pt x="11" y="49"/>
                </a:lnTo>
                <a:lnTo>
                  <a:pt x="11" y="47"/>
                </a:lnTo>
                <a:lnTo>
                  <a:pt x="9" y="47"/>
                </a:lnTo>
                <a:lnTo>
                  <a:pt x="9" y="45"/>
                </a:lnTo>
                <a:lnTo>
                  <a:pt x="7" y="45"/>
                </a:lnTo>
                <a:lnTo>
                  <a:pt x="7" y="41"/>
                </a:lnTo>
                <a:lnTo>
                  <a:pt x="5" y="41"/>
                </a:lnTo>
                <a:lnTo>
                  <a:pt x="5" y="39"/>
                </a:lnTo>
                <a:lnTo>
                  <a:pt x="3" y="37"/>
                </a:lnTo>
                <a:lnTo>
                  <a:pt x="3" y="29"/>
                </a:lnTo>
                <a:lnTo>
                  <a:pt x="0" y="2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" name="Oval 11"/>
          <xdr:cNvSpPr>
            <a:spLocks noChangeArrowheads="1"/>
          </xdr:cNvSpPr>
        </xdr:nvSpPr>
        <xdr:spPr bwMode="auto">
          <a:xfrm>
            <a:off x="260" y="2238"/>
            <a:ext cx="10" cy="11"/>
          </a:xfrm>
          <a:prstGeom prst="ellipse">
            <a:avLst/>
          </a:prstGeom>
          <a:solidFill>
            <a:srgbClr val="FFFFFF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" name="Freeform 12"/>
          <xdr:cNvSpPr>
            <a:spLocks/>
          </xdr:cNvSpPr>
        </xdr:nvSpPr>
        <xdr:spPr bwMode="auto">
          <a:xfrm>
            <a:off x="260" y="2238"/>
            <a:ext cx="10" cy="11"/>
          </a:xfrm>
          <a:custGeom>
            <a:avLst/>
            <a:gdLst>
              <a:gd name="T0" fmla="*/ 0 w 50"/>
              <a:gd name="T1" fmla="*/ 7 h 49"/>
              <a:gd name="T2" fmla="*/ 0 w 50"/>
              <a:gd name="T3" fmla="*/ 8 h 49"/>
              <a:gd name="T4" fmla="*/ 1 w 50"/>
              <a:gd name="T5" fmla="*/ 9 h 49"/>
              <a:gd name="T6" fmla="*/ 1 w 50"/>
              <a:gd name="T7" fmla="*/ 10 h 49"/>
              <a:gd name="T8" fmla="*/ 2 w 50"/>
              <a:gd name="T9" fmla="*/ 10 h 49"/>
              <a:gd name="T10" fmla="*/ 4 w 50"/>
              <a:gd name="T11" fmla="*/ 11 h 49"/>
              <a:gd name="T12" fmla="*/ 6 w 50"/>
              <a:gd name="T13" fmla="*/ 11 h 49"/>
              <a:gd name="T14" fmla="*/ 7 w 50"/>
              <a:gd name="T15" fmla="*/ 11 h 49"/>
              <a:gd name="T16" fmla="*/ 8 w 50"/>
              <a:gd name="T17" fmla="*/ 10 h 49"/>
              <a:gd name="T18" fmla="*/ 8 w 50"/>
              <a:gd name="T19" fmla="*/ 10 h 49"/>
              <a:gd name="T20" fmla="*/ 9 w 50"/>
              <a:gd name="T21" fmla="*/ 9 h 49"/>
              <a:gd name="T22" fmla="*/ 9 w 50"/>
              <a:gd name="T23" fmla="*/ 9 h 49"/>
              <a:gd name="T24" fmla="*/ 10 w 50"/>
              <a:gd name="T25" fmla="*/ 7 h 49"/>
              <a:gd name="T26" fmla="*/ 10 w 50"/>
              <a:gd name="T27" fmla="*/ 6 h 49"/>
              <a:gd name="T28" fmla="*/ 10 w 50"/>
              <a:gd name="T29" fmla="*/ 4 h 49"/>
              <a:gd name="T30" fmla="*/ 9 w 50"/>
              <a:gd name="T31" fmla="*/ 3 h 49"/>
              <a:gd name="T32" fmla="*/ 9 w 50"/>
              <a:gd name="T33" fmla="*/ 1 h 49"/>
              <a:gd name="T34" fmla="*/ 8 w 50"/>
              <a:gd name="T35" fmla="*/ 1 h 49"/>
              <a:gd name="T36" fmla="*/ 7 w 50"/>
              <a:gd name="T37" fmla="*/ 0 h 49"/>
              <a:gd name="T38" fmla="*/ 6 w 50"/>
              <a:gd name="T39" fmla="*/ 0 h 49"/>
              <a:gd name="T40" fmla="*/ 3 w 50"/>
              <a:gd name="T41" fmla="*/ 0 h 49"/>
              <a:gd name="T42" fmla="*/ 2 w 50"/>
              <a:gd name="T43" fmla="*/ 1 h 49"/>
              <a:gd name="T44" fmla="*/ 0 w 50"/>
              <a:gd name="T45" fmla="*/ 2 h 49"/>
              <a:gd name="T46" fmla="*/ 0 w 50"/>
              <a:gd name="T47" fmla="*/ 3 h 49"/>
              <a:gd name="T48" fmla="*/ 1 w 50"/>
              <a:gd name="T49" fmla="*/ 5 h 49"/>
              <a:gd name="T50" fmla="*/ 1 w 50"/>
              <a:gd name="T51" fmla="*/ 4 h 49"/>
              <a:gd name="T52" fmla="*/ 2 w 50"/>
              <a:gd name="T53" fmla="*/ 3 h 49"/>
              <a:gd name="T54" fmla="*/ 2 w 50"/>
              <a:gd name="T55" fmla="*/ 2 h 49"/>
              <a:gd name="T56" fmla="*/ 3 w 50"/>
              <a:gd name="T57" fmla="*/ 1 h 49"/>
              <a:gd name="T58" fmla="*/ 4 w 50"/>
              <a:gd name="T59" fmla="*/ 1 h 49"/>
              <a:gd name="T60" fmla="*/ 7 w 50"/>
              <a:gd name="T61" fmla="*/ 1 h 49"/>
              <a:gd name="T62" fmla="*/ 8 w 50"/>
              <a:gd name="T63" fmla="*/ 2 h 49"/>
              <a:gd name="T64" fmla="*/ 8 w 50"/>
              <a:gd name="T65" fmla="*/ 2 h 49"/>
              <a:gd name="T66" fmla="*/ 8 w 50"/>
              <a:gd name="T67" fmla="*/ 4 h 49"/>
              <a:gd name="T68" fmla="*/ 9 w 50"/>
              <a:gd name="T69" fmla="*/ 4 h 49"/>
              <a:gd name="T70" fmla="*/ 9 w 50"/>
              <a:gd name="T71" fmla="*/ 6 h 49"/>
              <a:gd name="T72" fmla="*/ 9 w 50"/>
              <a:gd name="T73" fmla="*/ 7 h 49"/>
              <a:gd name="T74" fmla="*/ 8 w 50"/>
              <a:gd name="T75" fmla="*/ 8 h 49"/>
              <a:gd name="T76" fmla="*/ 8 w 50"/>
              <a:gd name="T77" fmla="*/ 8 h 49"/>
              <a:gd name="T78" fmla="*/ 7 w 50"/>
              <a:gd name="T79" fmla="*/ 9 h 49"/>
              <a:gd name="T80" fmla="*/ 7 w 50"/>
              <a:gd name="T81" fmla="*/ 10 h 49"/>
              <a:gd name="T82" fmla="*/ 6 w 50"/>
              <a:gd name="T83" fmla="*/ 10 h 49"/>
              <a:gd name="T84" fmla="*/ 4 w 50"/>
              <a:gd name="T85" fmla="*/ 10 h 49"/>
              <a:gd name="T86" fmla="*/ 3 w 50"/>
              <a:gd name="T87" fmla="*/ 9 h 49"/>
              <a:gd name="T88" fmla="*/ 2 w 50"/>
              <a:gd name="T89" fmla="*/ 9 h 49"/>
              <a:gd name="T90" fmla="*/ 2 w 50"/>
              <a:gd name="T91" fmla="*/ 8 h 49"/>
              <a:gd name="T92" fmla="*/ 1 w 50"/>
              <a:gd name="T93" fmla="*/ 7 h 49"/>
              <a:gd name="T94" fmla="*/ 1 w 50"/>
              <a:gd name="T95" fmla="*/ 5 h 49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50"/>
              <a:gd name="T145" fmla="*/ 0 h 49"/>
              <a:gd name="T146" fmla="*/ 50 w 50"/>
              <a:gd name="T147" fmla="*/ 49 h 49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50" h="49">
                <a:moveTo>
                  <a:pt x="0" y="23"/>
                </a:moveTo>
                <a:lnTo>
                  <a:pt x="0" y="31"/>
                </a:lnTo>
                <a:lnTo>
                  <a:pt x="2" y="33"/>
                </a:lnTo>
                <a:lnTo>
                  <a:pt x="2" y="35"/>
                </a:lnTo>
                <a:lnTo>
                  <a:pt x="4" y="37"/>
                </a:lnTo>
                <a:lnTo>
                  <a:pt x="4" y="41"/>
                </a:lnTo>
                <a:lnTo>
                  <a:pt x="6" y="41"/>
                </a:lnTo>
                <a:lnTo>
                  <a:pt x="6" y="43"/>
                </a:lnTo>
                <a:lnTo>
                  <a:pt x="10" y="43"/>
                </a:lnTo>
                <a:lnTo>
                  <a:pt x="12" y="45"/>
                </a:lnTo>
                <a:lnTo>
                  <a:pt x="12" y="47"/>
                </a:lnTo>
                <a:lnTo>
                  <a:pt x="18" y="47"/>
                </a:lnTo>
                <a:lnTo>
                  <a:pt x="20" y="49"/>
                </a:lnTo>
                <a:lnTo>
                  <a:pt x="28" y="49"/>
                </a:lnTo>
                <a:lnTo>
                  <a:pt x="30" y="47"/>
                </a:lnTo>
                <a:lnTo>
                  <a:pt x="34" y="47"/>
                </a:lnTo>
                <a:lnTo>
                  <a:pt x="36" y="45"/>
                </a:lnTo>
                <a:lnTo>
                  <a:pt x="40" y="45"/>
                </a:lnTo>
                <a:lnTo>
                  <a:pt x="40" y="43"/>
                </a:lnTo>
                <a:lnTo>
                  <a:pt x="42" y="43"/>
                </a:lnTo>
                <a:lnTo>
                  <a:pt x="42" y="41"/>
                </a:lnTo>
                <a:lnTo>
                  <a:pt x="44" y="41"/>
                </a:lnTo>
                <a:lnTo>
                  <a:pt x="44" y="39"/>
                </a:lnTo>
                <a:lnTo>
                  <a:pt x="46" y="39"/>
                </a:lnTo>
                <a:lnTo>
                  <a:pt x="46" y="35"/>
                </a:lnTo>
                <a:lnTo>
                  <a:pt x="48" y="33"/>
                </a:lnTo>
                <a:lnTo>
                  <a:pt x="48" y="29"/>
                </a:lnTo>
                <a:lnTo>
                  <a:pt x="50" y="27"/>
                </a:lnTo>
                <a:lnTo>
                  <a:pt x="50" y="19"/>
                </a:lnTo>
                <a:lnTo>
                  <a:pt x="48" y="18"/>
                </a:lnTo>
                <a:lnTo>
                  <a:pt x="48" y="12"/>
                </a:lnTo>
                <a:lnTo>
                  <a:pt x="46" y="12"/>
                </a:lnTo>
                <a:lnTo>
                  <a:pt x="44" y="10"/>
                </a:lnTo>
                <a:lnTo>
                  <a:pt x="44" y="6"/>
                </a:lnTo>
                <a:lnTo>
                  <a:pt x="42" y="6"/>
                </a:lnTo>
                <a:lnTo>
                  <a:pt x="42" y="4"/>
                </a:lnTo>
                <a:lnTo>
                  <a:pt x="38" y="4"/>
                </a:lnTo>
                <a:lnTo>
                  <a:pt x="36" y="2"/>
                </a:lnTo>
                <a:lnTo>
                  <a:pt x="34" y="2"/>
                </a:lnTo>
                <a:lnTo>
                  <a:pt x="32" y="0"/>
                </a:lnTo>
                <a:lnTo>
                  <a:pt x="14" y="0"/>
                </a:lnTo>
                <a:lnTo>
                  <a:pt x="14" y="2"/>
                </a:lnTo>
                <a:lnTo>
                  <a:pt x="10" y="2"/>
                </a:lnTo>
                <a:lnTo>
                  <a:pt x="10" y="4"/>
                </a:lnTo>
                <a:lnTo>
                  <a:pt x="4" y="10"/>
                </a:lnTo>
                <a:lnTo>
                  <a:pt x="2" y="10"/>
                </a:lnTo>
                <a:lnTo>
                  <a:pt x="2" y="14"/>
                </a:lnTo>
                <a:lnTo>
                  <a:pt x="0" y="14"/>
                </a:lnTo>
                <a:lnTo>
                  <a:pt x="0" y="23"/>
                </a:lnTo>
                <a:lnTo>
                  <a:pt x="4" y="23"/>
                </a:lnTo>
                <a:lnTo>
                  <a:pt x="4" y="18"/>
                </a:lnTo>
                <a:lnTo>
                  <a:pt x="6" y="18"/>
                </a:lnTo>
                <a:lnTo>
                  <a:pt x="6" y="14"/>
                </a:lnTo>
                <a:lnTo>
                  <a:pt x="8" y="14"/>
                </a:lnTo>
                <a:lnTo>
                  <a:pt x="8" y="10"/>
                </a:lnTo>
                <a:lnTo>
                  <a:pt x="10" y="8"/>
                </a:lnTo>
                <a:lnTo>
                  <a:pt x="14" y="8"/>
                </a:lnTo>
                <a:lnTo>
                  <a:pt x="14" y="6"/>
                </a:lnTo>
                <a:lnTo>
                  <a:pt x="18" y="6"/>
                </a:lnTo>
                <a:lnTo>
                  <a:pt x="18" y="4"/>
                </a:lnTo>
                <a:lnTo>
                  <a:pt x="32" y="4"/>
                </a:lnTo>
                <a:lnTo>
                  <a:pt x="34" y="6"/>
                </a:lnTo>
                <a:lnTo>
                  <a:pt x="36" y="6"/>
                </a:lnTo>
                <a:lnTo>
                  <a:pt x="38" y="8"/>
                </a:lnTo>
                <a:lnTo>
                  <a:pt x="38" y="10"/>
                </a:lnTo>
                <a:lnTo>
                  <a:pt x="40" y="10"/>
                </a:lnTo>
                <a:lnTo>
                  <a:pt x="42" y="12"/>
                </a:lnTo>
                <a:lnTo>
                  <a:pt x="42" y="16"/>
                </a:lnTo>
                <a:lnTo>
                  <a:pt x="44" y="16"/>
                </a:lnTo>
                <a:lnTo>
                  <a:pt x="44" y="18"/>
                </a:lnTo>
                <a:lnTo>
                  <a:pt x="46" y="19"/>
                </a:lnTo>
                <a:lnTo>
                  <a:pt x="46" y="27"/>
                </a:lnTo>
                <a:lnTo>
                  <a:pt x="44" y="29"/>
                </a:lnTo>
                <a:lnTo>
                  <a:pt x="44" y="33"/>
                </a:lnTo>
                <a:lnTo>
                  <a:pt x="42" y="35"/>
                </a:lnTo>
                <a:lnTo>
                  <a:pt x="40" y="35"/>
                </a:lnTo>
                <a:lnTo>
                  <a:pt x="40" y="37"/>
                </a:lnTo>
                <a:lnTo>
                  <a:pt x="38" y="37"/>
                </a:lnTo>
                <a:lnTo>
                  <a:pt x="38" y="39"/>
                </a:lnTo>
                <a:lnTo>
                  <a:pt x="36" y="39"/>
                </a:lnTo>
                <a:lnTo>
                  <a:pt x="36" y="41"/>
                </a:lnTo>
                <a:lnTo>
                  <a:pt x="34" y="43"/>
                </a:lnTo>
                <a:lnTo>
                  <a:pt x="30" y="43"/>
                </a:lnTo>
                <a:lnTo>
                  <a:pt x="28" y="45"/>
                </a:lnTo>
                <a:lnTo>
                  <a:pt x="20" y="45"/>
                </a:lnTo>
                <a:lnTo>
                  <a:pt x="18" y="43"/>
                </a:lnTo>
                <a:lnTo>
                  <a:pt x="16" y="43"/>
                </a:lnTo>
                <a:lnTo>
                  <a:pt x="16" y="41"/>
                </a:lnTo>
                <a:lnTo>
                  <a:pt x="12" y="41"/>
                </a:lnTo>
                <a:lnTo>
                  <a:pt x="10" y="39"/>
                </a:lnTo>
                <a:lnTo>
                  <a:pt x="10" y="37"/>
                </a:lnTo>
                <a:lnTo>
                  <a:pt x="8" y="37"/>
                </a:lnTo>
                <a:lnTo>
                  <a:pt x="6" y="35"/>
                </a:lnTo>
                <a:lnTo>
                  <a:pt x="6" y="33"/>
                </a:lnTo>
                <a:lnTo>
                  <a:pt x="4" y="31"/>
                </a:lnTo>
                <a:lnTo>
                  <a:pt x="4" y="23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" name="Freeform 13"/>
          <xdr:cNvSpPr>
            <a:spLocks/>
          </xdr:cNvSpPr>
        </xdr:nvSpPr>
        <xdr:spPr bwMode="auto">
          <a:xfrm>
            <a:off x="273" y="2252"/>
            <a:ext cx="3" cy="4"/>
          </a:xfrm>
          <a:custGeom>
            <a:avLst/>
            <a:gdLst>
              <a:gd name="T0" fmla="*/ 3 w 15"/>
              <a:gd name="T1" fmla="*/ 1 h 18"/>
              <a:gd name="T2" fmla="*/ 3 w 15"/>
              <a:gd name="T3" fmla="*/ 0 h 18"/>
              <a:gd name="T4" fmla="*/ 2 w 15"/>
              <a:gd name="T5" fmla="*/ 0 h 18"/>
              <a:gd name="T6" fmla="*/ 3 w 15"/>
              <a:gd name="T7" fmla="*/ 0 h 18"/>
              <a:gd name="T8" fmla="*/ 2 w 15"/>
              <a:gd name="T9" fmla="*/ 0 h 18"/>
              <a:gd name="T10" fmla="*/ 2 w 15"/>
              <a:gd name="T11" fmla="*/ 3 h 18"/>
              <a:gd name="T12" fmla="*/ 2 w 15"/>
              <a:gd name="T13" fmla="*/ 2 h 18"/>
              <a:gd name="T14" fmla="*/ 2 w 15"/>
              <a:gd name="T15" fmla="*/ 2 h 18"/>
              <a:gd name="T16" fmla="*/ 1 w 15"/>
              <a:gd name="T17" fmla="*/ 2 h 18"/>
              <a:gd name="T18" fmla="*/ 1 w 15"/>
              <a:gd name="T19" fmla="*/ 3 h 18"/>
              <a:gd name="T20" fmla="*/ 0 w 15"/>
              <a:gd name="T21" fmla="*/ 3 h 18"/>
              <a:gd name="T22" fmla="*/ 0 w 15"/>
              <a:gd name="T23" fmla="*/ 3 h 18"/>
              <a:gd name="T24" fmla="*/ 0 w 15"/>
              <a:gd name="T25" fmla="*/ 3 h 18"/>
              <a:gd name="T26" fmla="*/ 0 w 15"/>
              <a:gd name="T27" fmla="*/ 4 h 18"/>
              <a:gd name="T28" fmla="*/ 0 w 15"/>
              <a:gd name="T29" fmla="*/ 4 h 18"/>
              <a:gd name="T30" fmla="*/ 1 w 15"/>
              <a:gd name="T31" fmla="*/ 4 h 18"/>
              <a:gd name="T32" fmla="*/ 1 w 15"/>
              <a:gd name="T33" fmla="*/ 4 h 18"/>
              <a:gd name="T34" fmla="*/ 2 w 15"/>
              <a:gd name="T35" fmla="*/ 4 h 18"/>
              <a:gd name="T36" fmla="*/ 2 w 15"/>
              <a:gd name="T37" fmla="*/ 3 h 18"/>
              <a:gd name="T38" fmla="*/ 3 w 15"/>
              <a:gd name="T39" fmla="*/ 3 h 18"/>
              <a:gd name="T40" fmla="*/ 3 w 15"/>
              <a:gd name="T41" fmla="*/ 1 h 18"/>
              <a:gd name="T42" fmla="*/ 3 w 15"/>
              <a:gd name="T43" fmla="*/ 1 h 18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5"/>
              <a:gd name="T67" fmla="*/ 0 h 18"/>
              <a:gd name="T68" fmla="*/ 15 w 15"/>
              <a:gd name="T69" fmla="*/ 18 h 18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5" h="18">
                <a:moveTo>
                  <a:pt x="15" y="4"/>
                </a:moveTo>
                <a:lnTo>
                  <a:pt x="15" y="0"/>
                </a:lnTo>
                <a:lnTo>
                  <a:pt x="11" y="0"/>
                </a:lnTo>
                <a:lnTo>
                  <a:pt x="13" y="0"/>
                </a:lnTo>
                <a:lnTo>
                  <a:pt x="9" y="0"/>
                </a:lnTo>
                <a:lnTo>
                  <a:pt x="9" y="12"/>
                </a:lnTo>
                <a:lnTo>
                  <a:pt x="9" y="10"/>
                </a:lnTo>
                <a:lnTo>
                  <a:pt x="11" y="10"/>
                </a:lnTo>
                <a:lnTo>
                  <a:pt x="5" y="10"/>
                </a:lnTo>
                <a:lnTo>
                  <a:pt x="5" y="12"/>
                </a:lnTo>
                <a:lnTo>
                  <a:pt x="1" y="12"/>
                </a:lnTo>
                <a:lnTo>
                  <a:pt x="1" y="14"/>
                </a:lnTo>
                <a:lnTo>
                  <a:pt x="0" y="14"/>
                </a:lnTo>
                <a:lnTo>
                  <a:pt x="0" y="18"/>
                </a:lnTo>
                <a:lnTo>
                  <a:pt x="1" y="18"/>
                </a:lnTo>
                <a:lnTo>
                  <a:pt x="5" y="18"/>
                </a:lnTo>
                <a:lnTo>
                  <a:pt x="5" y="16"/>
                </a:lnTo>
                <a:lnTo>
                  <a:pt x="9" y="16"/>
                </a:lnTo>
                <a:lnTo>
                  <a:pt x="9" y="14"/>
                </a:lnTo>
                <a:lnTo>
                  <a:pt x="13" y="14"/>
                </a:lnTo>
                <a:lnTo>
                  <a:pt x="13" y="4"/>
                </a:lnTo>
                <a:lnTo>
                  <a:pt x="15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" name="Freeform 14"/>
          <xdr:cNvSpPr>
            <a:spLocks/>
          </xdr:cNvSpPr>
        </xdr:nvSpPr>
        <xdr:spPr bwMode="auto">
          <a:xfrm>
            <a:off x="263" y="2230"/>
            <a:ext cx="12" cy="12"/>
          </a:xfrm>
          <a:custGeom>
            <a:avLst/>
            <a:gdLst>
              <a:gd name="T0" fmla="*/ 0 w 61"/>
              <a:gd name="T1" fmla="*/ 0 h 52"/>
              <a:gd name="T2" fmla="*/ 0 w 61"/>
              <a:gd name="T3" fmla="*/ 0 h 52"/>
              <a:gd name="T4" fmla="*/ 0 w 61"/>
              <a:gd name="T5" fmla="*/ 1 h 52"/>
              <a:gd name="T6" fmla="*/ 4 w 61"/>
              <a:gd name="T7" fmla="*/ 1 h 52"/>
              <a:gd name="T8" fmla="*/ 4 w 61"/>
              <a:gd name="T9" fmla="*/ 1 h 52"/>
              <a:gd name="T10" fmla="*/ 5 w 61"/>
              <a:gd name="T11" fmla="*/ 1 h 52"/>
              <a:gd name="T12" fmla="*/ 5 w 61"/>
              <a:gd name="T13" fmla="*/ 2 h 52"/>
              <a:gd name="T14" fmla="*/ 6 w 61"/>
              <a:gd name="T15" fmla="*/ 2 h 52"/>
              <a:gd name="T16" fmla="*/ 7 w 61"/>
              <a:gd name="T17" fmla="*/ 2 h 52"/>
              <a:gd name="T18" fmla="*/ 7 w 61"/>
              <a:gd name="T19" fmla="*/ 3 h 52"/>
              <a:gd name="T20" fmla="*/ 7 w 61"/>
              <a:gd name="T21" fmla="*/ 3 h 52"/>
              <a:gd name="T22" fmla="*/ 7 w 61"/>
              <a:gd name="T23" fmla="*/ 3 h 52"/>
              <a:gd name="T24" fmla="*/ 7 w 61"/>
              <a:gd name="T25" fmla="*/ 3 h 52"/>
              <a:gd name="T26" fmla="*/ 8 w 61"/>
              <a:gd name="T27" fmla="*/ 4 h 52"/>
              <a:gd name="T28" fmla="*/ 8 w 61"/>
              <a:gd name="T29" fmla="*/ 3 h 52"/>
              <a:gd name="T30" fmla="*/ 8 w 61"/>
              <a:gd name="T31" fmla="*/ 4 h 52"/>
              <a:gd name="T32" fmla="*/ 9 w 61"/>
              <a:gd name="T33" fmla="*/ 4 h 52"/>
              <a:gd name="T34" fmla="*/ 9 w 61"/>
              <a:gd name="T35" fmla="*/ 5 h 52"/>
              <a:gd name="T36" fmla="*/ 9 w 61"/>
              <a:gd name="T37" fmla="*/ 5 h 52"/>
              <a:gd name="T38" fmla="*/ 9 w 61"/>
              <a:gd name="T39" fmla="*/ 6 h 52"/>
              <a:gd name="T40" fmla="*/ 9 w 61"/>
              <a:gd name="T41" fmla="*/ 6 h 52"/>
              <a:gd name="T42" fmla="*/ 10 w 61"/>
              <a:gd name="T43" fmla="*/ 7 h 52"/>
              <a:gd name="T44" fmla="*/ 10 w 61"/>
              <a:gd name="T45" fmla="*/ 8 h 52"/>
              <a:gd name="T46" fmla="*/ 10 w 61"/>
              <a:gd name="T47" fmla="*/ 8 h 52"/>
              <a:gd name="T48" fmla="*/ 10 w 61"/>
              <a:gd name="T49" fmla="*/ 8 h 52"/>
              <a:gd name="T50" fmla="*/ 10 w 61"/>
              <a:gd name="T51" fmla="*/ 9 h 52"/>
              <a:gd name="T52" fmla="*/ 10 w 61"/>
              <a:gd name="T53" fmla="*/ 10 h 52"/>
              <a:gd name="T54" fmla="*/ 11 w 61"/>
              <a:gd name="T55" fmla="*/ 10 h 52"/>
              <a:gd name="T56" fmla="*/ 11 w 61"/>
              <a:gd name="T57" fmla="*/ 11 h 52"/>
              <a:gd name="T58" fmla="*/ 11 w 61"/>
              <a:gd name="T59" fmla="*/ 11 h 52"/>
              <a:gd name="T60" fmla="*/ 11 w 61"/>
              <a:gd name="T61" fmla="*/ 12 h 52"/>
              <a:gd name="T62" fmla="*/ 12 w 61"/>
              <a:gd name="T63" fmla="*/ 12 h 52"/>
              <a:gd name="T64" fmla="*/ 12 w 61"/>
              <a:gd name="T65" fmla="*/ 12 h 52"/>
              <a:gd name="T66" fmla="*/ 12 w 61"/>
              <a:gd name="T67" fmla="*/ 11 h 52"/>
              <a:gd name="T68" fmla="*/ 12 w 61"/>
              <a:gd name="T69" fmla="*/ 11 h 52"/>
              <a:gd name="T70" fmla="*/ 12 w 61"/>
              <a:gd name="T71" fmla="*/ 9 h 52"/>
              <a:gd name="T72" fmla="*/ 11 w 61"/>
              <a:gd name="T73" fmla="*/ 9 h 52"/>
              <a:gd name="T74" fmla="*/ 11 w 61"/>
              <a:gd name="T75" fmla="*/ 9 h 52"/>
              <a:gd name="T76" fmla="*/ 11 w 61"/>
              <a:gd name="T77" fmla="*/ 8 h 52"/>
              <a:gd name="T78" fmla="*/ 11 w 61"/>
              <a:gd name="T79" fmla="*/ 7 h 52"/>
              <a:gd name="T80" fmla="*/ 10 w 61"/>
              <a:gd name="T81" fmla="*/ 7 h 52"/>
              <a:gd name="T82" fmla="*/ 10 w 61"/>
              <a:gd name="T83" fmla="*/ 6 h 52"/>
              <a:gd name="T84" fmla="*/ 10 w 61"/>
              <a:gd name="T85" fmla="*/ 6 h 52"/>
              <a:gd name="T86" fmla="*/ 10 w 61"/>
              <a:gd name="T87" fmla="*/ 5 h 52"/>
              <a:gd name="T88" fmla="*/ 10 w 61"/>
              <a:gd name="T89" fmla="*/ 4 h 52"/>
              <a:gd name="T90" fmla="*/ 9 w 61"/>
              <a:gd name="T91" fmla="*/ 4 h 52"/>
              <a:gd name="T92" fmla="*/ 9 w 61"/>
              <a:gd name="T93" fmla="*/ 3 h 52"/>
              <a:gd name="T94" fmla="*/ 9 w 61"/>
              <a:gd name="T95" fmla="*/ 3 h 52"/>
              <a:gd name="T96" fmla="*/ 8 w 61"/>
              <a:gd name="T97" fmla="*/ 3 h 52"/>
              <a:gd name="T98" fmla="*/ 8 w 61"/>
              <a:gd name="T99" fmla="*/ 2 h 52"/>
              <a:gd name="T100" fmla="*/ 8 w 61"/>
              <a:gd name="T101" fmla="*/ 2 h 52"/>
              <a:gd name="T102" fmla="*/ 8 w 61"/>
              <a:gd name="T103" fmla="*/ 2 h 52"/>
              <a:gd name="T104" fmla="*/ 7 w 61"/>
              <a:gd name="T105" fmla="*/ 2 h 52"/>
              <a:gd name="T106" fmla="*/ 7 w 61"/>
              <a:gd name="T107" fmla="*/ 1 h 52"/>
              <a:gd name="T108" fmla="*/ 7 w 61"/>
              <a:gd name="T109" fmla="*/ 1 h 52"/>
              <a:gd name="T110" fmla="*/ 6 w 61"/>
              <a:gd name="T111" fmla="*/ 1 h 52"/>
              <a:gd name="T112" fmla="*/ 6 w 61"/>
              <a:gd name="T113" fmla="*/ 1 h 52"/>
              <a:gd name="T114" fmla="*/ 6 w 61"/>
              <a:gd name="T115" fmla="*/ 0 h 52"/>
              <a:gd name="T116" fmla="*/ 4 w 61"/>
              <a:gd name="T117" fmla="*/ 0 h 52"/>
              <a:gd name="T118" fmla="*/ 4 w 61"/>
              <a:gd name="T119" fmla="*/ 0 h 52"/>
              <a:gd name="T120" fmla="*/ 0 w 61"/>
              <a:gd name="T121" fmla="*/ 0 h 5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61"/>
              <a:gd name="T184" fmla="*/ 0 h 52"/>
              <a:gd name="T185" fmla="*/ 61 w 61"/>
              <a:gd name="T186" fmla="*/ 52 h 52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61" h="52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8" y="4"/>
                </a:lnTo>
                <a:lnTo>
                  <a:pt x="18" y="6"/>
                </a:lnTo>
                <a:lnTo>
                  <a:pt x="26" y="6"/>
                </a:lnTo>
                <a:lnTo>
                  <a:pt x="26" y="8"/>
                </a:lnTo>
                <a:lnTo>
                  <a:pt x="32" y="8"/>
                </a:lnTo>
                <a:lnTo>
                  <a:pt x="34" y="10"/>
                </a:lnTo>
                <a:lnTo>
                  <a:pt x="34" y="12"/>
                </a:lnTo>
                <a:lnTo>
                  <a:pt x="36" y="12"/>
                </a:lnTo>
                <a:lnTo>
                  <a:pt x="36" y="13"/>
                </a:lnTo>
                <a:lnTo>
                  <a:pt x="38" y="13"/>
                </a:lnTo>
                <a:lnTo>
                  <a:pt x="40" y="17"/>
                </a:lnTo>
                <a:lnTo>
                  <a:pt x="40" y="15"/>
                </a:lnTo>
                <a:lnTo>
                  <a:pt x="40" y="19"/>
                </a:lnTo>
                <a:lnTo>
                  <a:pt x="44" y="19"/>
                </a:lnTo>
                <a:lnTo>
                  <a:pt x="44" y="23"/>
                </a:lnTo>
                <a:lnTo>
                  <a:pt x="46" y="23"/>
                </a:lnTo>
                <a:lnTo>
                  <a:pt x="48" y="25"/>
                </a:lnTo>
                <a:lnTo>
                  <a:pt x="48" y="27"/>
                </a:lnTo>
                <a:lnTo>
                  <a:pt x="49" y="29"/>
                </a:lnTo>
                <a:lnTo>
                  <a:pt x="49" y="33"/>
                </a:lnTo>
                <a:lnTo>
                  <a:pt x="51" y="33"/>
                </a:lnTo>
                <a:lnTo>
                  <a:pt x="51" y="35"/>
                </a:lnTo>
                <a:lnTo>
                  <a:pt x="53" y="37"/>
                </a:lnTo>
                <a:lnTo>
                  <a:pt x="53" y="43"/>
                </a:lnTo>
                <a:lnTo>
                  <a:pt x="55" y="43"/>
                </a:lnTo>
                <a:lnTo>
                  <a:pt x="55" y="47"/>
                </a:lnTo>
                <a:lnTo>
                  <a:pt x="57" y="49"/>
                </a:lnTo>
                <a:lnTo>
                  <a:pt x="57" y="52"/>
                </a:lnTo>
                <a:lnTo>
                  <a:pt x="61" y="52"/>
                </a:lnTo>
                <a:lnTo>
                  <a:pt x="61" y="50"/>
                </a:lnTo>
                <a:lnTo>
                  <a:pt x="61" y="49"/>
                </a:lnTo>
                <a:lnTo>
                  <a:pt x="59" y="47"/>
                </a:lnTo>
                <a:lnTo>
                  <a:pt x="59" y="39"/>
                </a:lnTo>
                <a:lnTo>
                  <a:pt x="57" y="39"/>
                </a:lnTo>
                <a:lnTo>
                  <a:pt x="57" y="37"/>
                </a:lnTo>
                <a:lnTo>
                  <a:pt x="55" y="35"/>
                </a:lnTo>
                <a:lnTo>
                  <a:pt x="55" y="29"/>
                </a:lnTo>
                <a:lnTo>
                  <a:pt x="53" y="29"/>
                </a:lnTo>
                <a:lnTo>
                  <a:pt x="51" y="27"/>
                </a:lnTo>
                <a:lnTo>
                  <a:pt x="51" y="25"/>
                </a:lnTo>
                <a:lnTo>
                  <a:pt x="49" y="23"/>
                </a:lnTo>
                <a:lnTo>
                  <a:pt x="49" y="19"/>
                </a:lnTo>
                <a:lnTo>
                  <a:pt x="48" y="19"/>
                </a:lnTo>
                <a:lnTo>
                  <a:pt x="44" y="15"/>
                </a:lnTo>
                <a:lnTo>
                  <a:pt x="44" y="13"/>
                </a:lnTo>
                <a:lnTo>
                  <a:pt x="42" y="13"/>
                </a:lnTo>
                <a:lnTo>
                  <a:pt x="42" y="10"/>
                </a:lnTo>
                <a:lnTo>
                  <a:pt x="40" y="10"/>
                </a:lnTo>
                <a:lnTo>
                  <a:pt x="40" y="8"/>
                </a:lnTo>
                <a:lnTo>
                  <a:pt x="38" y="8"/>
                </a:lnTo>
                <a:lnTo>
                  <a:pt x="38" y="6"/>
                </a:lnTo>
                <a:lnTo>
                  <a:pt x="34" y="6"/>
                </a:lnTo>
                <a:lnTo>
                  <a:pt x="32" y="4"/>
                </a:lnTo>
                <a:lnTo>
                  <a:pt x="30" y="4"/>
                </a:lnTo>
                <a:lnTo>
                  <a:pt x="30" y="2"/>
                </a:lnTo>
                <a:lnTo>
                  <a:pt x="22" y="2"/>
                </a:lnTo>
                <a:lnTo>
                  <a:pt x="22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" name="Freeform 15"/>
          <xdr:cNvSpPr>
            <a:spLocks/>
          </xdr:cNvSpPr>
        </xdr:nvSpPr>
        <xdr:spPr bwMode="auto">
          <a:xfrm>
            <a:off x="258" y="2247"/>
            <a:ext cx="1" cy="2"/>
          </a:xfrm>
          <a:custGeom>
            <a:avLst/>
            <a:gdLst>
              <a:gd name="T0" fmla="*/ 0 w 10"/>
              <a:gd name="T1" fmla="*/ 1 h 16"/>
              <a:gd name="T2" fmla="*/ 1 w 10"/>
              <a:gd name="T3" fmla="*/ 1 h 16"/>
              <a:gd name="T4" fmla="*/ 1 w 10"/>
              <a:gd name="T5" fmla="*/ 0 h 16"/>
              <a:gd name="T6" fmla="*/ 0 w 10"/>
              <a:gd name="T7" fmla="*/ 0 h 16"/>
              <a:gd name="T8" fmla="*/ 0 w 10"/>
              <a:gd name="T9" fmla="*/ 0 h 16"/>
              <a:gd name="T10" fmla="*/ 0 w 10"/>
              <a:gd name="T11" fmla="*/ 1 h 16"/>
              <a:gd name="T12" fmla="*/ 0 w 10"/>
              <a:gd name="T13" fmla="*/ 1 h 16"/>
              <a:gd name="T14" fmla="*/ 0 w 10"/>
              <a:gd name="T15" fmla="*/ 1 h 16"/>
              <a:gd name="T16" fmla="*/ 0 w 10"/>
              <a:gd name="T17" fmla="*/ 1 h 16"/>
              <a:gd name="T18" fmla="*/ 1 w 10"/>
              <a:gd name="T19" fmla="*/ 1 h 16"/>
              <a:gd name="T20" fmla="*/ 0 w 10"/>
              <a:gd name="T21" fmla="*/ 1 h 16"/>
              <a:gd name="T22" fmla="*/ 0 w 10"/>
              <a:gd name="T23" fmla="*/ 1 h 16"/>
              <a:gd name="T24" fmla="*/ 0 w 10"/>
              <a:gd name="T25" fmla="*/ 1 h 16"/>
              <a:gd name="T26" fmla="*/ 1 w 10"/>
              <a:gd name="T27" fmla="*/ 1 h 16"/>
              <a:gd name="T28" fmla="*/ 1 w 10"/>
              <a:gd name="T29" fmla="*/ 2 h 16"/>
              <a:gd name="T30" fmla="*/ 1 w 10"/>
              <a:gd name="T31" fmla="*/ 2 h 16"/>
              <a:gd name="T32" fmla="*/ 1 w 10"/>
              <a:gd name="T33" fmla="*/ 2 h 16"/>
              <a:gd name="T34" fmla="*/ 1 w 10"/>
              <a:gd name="T35" fmla="*/ 1 h 16"/>
              <a:gd name="T36" fmla="*/ 1 w 10"/>
              <a:gd name="T37" fmla="*/ 1 h 16"/>
              <a:gd name="T38" fmla="*/ 1 w 10"/>
              <a:gd name="T39" fmla="*/ 1 h 16"/>
              <a:gd name="T40" fmla="*/ 1 w 10"/>
              <a:gd name="T41" fmla="*/ 1 h 16"/>
              <a:gd name="T42" fmla="*/ 1 w 10"/>
              <a:gd name="T43" fmla="*/ 1 h 16"/>
              <a:gd name="T44" fmla="*/ 1 w 10"/>
              <a:gd name="T45" fmla="*/ 1 h 16"/>
              <a:gd name="T46" fmla="*/ 1 w 10"/>
              <a:gd name="T47" fmla="*/ 0 h 16"/>
              <a:gd name="T48" fmla="*/ 1 w 10"/>
              <a:gd name="T49" fmla="*/ 0 h 16"/>
              <a:gd name="T50" fmla="*/ 1 w 10"/>
              <a:gd name="T51" fmla="*/ 0 h 16"/>
              <a:gd name="T52" fmla="*/ 0 w 10"/>
              <a:gd name="T53" fmla="*/ 0 h 16"/>
              <a:gd name="T54" fmla="*/ 0 w 10"/>
              <a:gd name="T55" fmla="*/ 1 h 1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10"/>
              <a:gd name="T85" fmla="*/ 0 h 16"/>
              <a:gd name="T86" fmla="*/ 10 w 10"/>
              <a:gd name="T87" fmla="*/ 16 h 16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10" h="16">
                <a:moveTo>
                  <a:pt x="4" y="4"/>
                </a:moveTo>
                <a:lnTo>
                  <a:pt x="6" y="4"/>
                </a:lnTo>
                <a:lnTo>
                  <a:pt x="6" y="0"/>
                </a:lnTo>
                <a:lnTo>
                  <a:pt x="4" y="0"/>
                </a:lnTo>
                <a:lnTo>
                  <a:pt x="0" y="2"/>
                </a:lnTo>
                <a:lnTo>
                  <a:pt x="2" y="4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6" y="6"/>
                </a:lnTo>
                <a:lnTo>
                  <a:pt x="2" y="8"/>
                </a:lnTo>
                <a:lnTo>
                  <a:pt x="4" y="10"/>
                </a:lnTo>
                <a:lnTo>
                  <a:pt x="4" y="12"/>
                </a:lnTo>
                <a:lnTo>
                  <a:pt x="6" y="12"/>
                </a:lnTo>
                <a:lnTo>
                  <a:pt x="6" y="16"/>
                </a:lnTo>
                <a:lnTo>
                  <a:pt x="10" y="16"/>
                </a:lnTo>
                <a:lnTo>
                  <a:pt x="10" y="14"/>
                </a:lnTo>
                <a:lnTo>
                  <a:pt x="10" y="8"/>
                </a:lnTo>
                <a:lnTo>
                  <a:pt x="8" y="8"/>
                </a:lnTo>
                <a:lnTo>
                  <a:pt x="8" y="6"/>
                </a:lnTo>
                <a:lnTo>
                  <a:pt x="6" y="8"/>
                </a:lnTo>
                <a:lnTo>
                  <a:pt x="6" y="10"/>
                </a:lnTo>
                <a:lnTo>
                  <a:pt x="8" y="10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4" y="2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" name="Freeform 16"/>
          <xdr:cNvSpPr>
            <a:spLocks/>
          </xdr:cNvSpPr>
        </xdr:nvSpPr>
        <xdr:spPr bwMode="auto">
          <a:xfrm>
            <a:off x="259" y="2248"/>
            <a:ext cx="15" cy="8"/>
          </a:xfrm>
          <a:custGeom>
            <a:avLst/>
            <a:gdLst>
              <a:gd name="T0" fmla="*/ 1 w 72"/>
              <a:gd name="T1" fmla="*/ 0 h 33"/>
              <a:gd name="T2" fmla="*/ 1 w 72"/>
              <a:gd name="T3" fmla="*/ 0 h 33"/>
              <a:gd name="T4" fmla="*/ 0 w 72"/>
              <a:gd name="T5" fmla="*/ 0 h 33"/>
              <a:gd name="T6" fmla="*/ 0 w 72"/>
              <a:gd name="T7" fmla="*/ 1 h 33"/>
              <a:gd name="T8" fmla="*/ 1 w 72"/>
              <a:gd name="T9" fmla="*/ 1 h 33"/>
              <a:gd name="T10" fmla="*/ 1 w 72"/>
              <a:gd name="T11" fmla="*/ 2 h 33"/>
              <a:gd name="T12" fmla="*/ 1 w 72"/>
              <a:gd name="T13" fmla="*/ 2 h 33"/>
              <a:gd name="T14" fmla="*/ 1 w 72"/>
              <a:gd name="T15" fmla="*/ 2 h 33"/>
              <a:gd name="T16" fmla="*/ 2 w 72"/>
              <a:gd name="T17" fmla="*/ 2 h 33"/>
              <a:gd name="T18" fmla="*/ 2 w 72"/>
              <a:gd name="T19" fmla="*/ 3 h 33"/>
              <a:gd name="T20" fmla="*/ 3 w 72"/>
              <a:gd name="T21" fmla="*/ 3 h 33"/>
              <a:gd name="T22" fmla="*/ 3 w 72"/>
              <a:gd name="T23" fmla="*/ 3 h 33"/>
              <a:gd name="T24" fmla="*/ 3 w 72"/>
              <a:gd name="T25" fmla="*/ 4 h 33"/>
              <a:gd name="T26" fmla="*/ 4 w 72"/>
              <a:gd name="T27" fmla="*/ 4 h 33"/>
              <a:gd name="T28" fmla="*/ 4 w 72"/>
              <a:gd name="T29" fmla="*/ 4 h 33"/>
              <a:gd name="T30" fmla="*/ 4 w 72"/>
              <a:gd name="T31" fmla="*/ 5 h 33"/>
              <a:gd name="T32" fmla="*/ 5 w 72"/>
              <a:gd name="T33" fmla="*/ 5 h 33"/>
              <a:gd name="T34" fmla="*/ 5 w 72"/>
              <a:gd name="T35" fmla="*/ 5 h 33"/>
              <a:gd name="T36" fmla="*/ 6 w 72"/>
              <a:gd name="T37" fmla="*/ 5 h 33"/>
              <a:gd name="T38" fmla="*/ 6 w 72"/>
              <a:gd name="T39" fmla="*/ 6 h 33"/>
              <a:gd name="T40" fmla="*/ 9 w 72"/>
              <a:gd name="T41" fmla="*/ 6 h 33"/>
              <a:gd name="T42" fmla="*/ 9 w 72"/>
              <a:gd name="T43" fmla="*/ 6 h 33"/>
              <a:gd name="T44" fmla="*/ 10 w 72"/>
              <a:gd name="T45" fmla="*/ 6 h 33"/>
              <a:gd name="T46" fmla="*/ 11 w 72"/>
              <a:gd name="T47" fmla="*/ 7 h 33"/>
              <a:gd name="T48" fmla="*/ 12 w 72"/>
              <a:gd name="T49" fmla="*/ 7 h 33"/>
              <a:gd name="T50" fmla="*/ 12 w 72"/>
              <a:gd name="T51" fmla="*/ 7 h 33"/>
              <a:gd name="T52" fmla="*/ 13 w 72"/>
              <a:gd name="T53" fmla="*/ 7 h 33"/>
              <a:gd name="T54" fmla="*/ 14 w 72"/>
              <a:gd name="T55" fmla="*/ 8 h 33"/>
              <a:gd name="T56" fmla="*/ 14 w 72"/>
              <a:gd name="T57" fmla="*/ 8 h 33"/>
              <a:gd name="T58" fmla="*/ 14 w 72"/>
              <a:gd name="T59" fmla="*/ 8 h 33"/>
              <a:gd name="T60" fmla="*/ 15 w 72"/>
              <a:gd name="T61" fmla="*/ 8 h 33"/>
              <a:gd name="T62" fmla="*/ 15 w 72"/>
              <a:gd name="T63" fmla="*/ 7 h 33"/>
              <a:gd name="T64" fmla="*/ 15 w 72"/>
              <a:gd name="T65" fmla="*/ 7 h 33"/>
              <a:gd name="T66" fmla="*/ 15 w 72"/>
              <a:gd name="T67" fmla="*/ 7 h 33"/>
              <a:gd name="T68" fmla="*/ 14 w 72"/>
              <a:gd name="T69" fmla="*/ 7 h 33"/>
              <a:gd name="T70" fmla="*/ 14 w 72"/>
              <a:gd name="T71" fmla="*/ 7 h 33"/>
              <a:gd name="T72" fmla="*/ 13 w 72"/>
              <a:gd name="T73" fmla="*/ 6 h 33"/>
              <a:gd name="T74" fmla="*/ 12 w 72"/>
              <a:gd name="T75" fmla="*/ 6 h 33"/>
              <a:gd name="T76" fmla="*/ 12 w 72"/>
              <a:gd name="T77" fmla="*/ 6 h 33"/>
              <a:gd name="T78" fmla="*/ 11 w 72"/>
              <a:gd name="T79" fmla="*/ 6 h 33"/>
              <a:gd name="T80" fmla="*/ 10 w 72"/>
              <a:gd name="T81" fmla="*/ 5 h 33"/>
              <a:gd name="T82" fmla="*/ 9 w 72"/>
              <a:gd name="T83" fmla="*/ 5 h 33"/>
              <a:gd name="T84" fmla="*/ 9 w 72"/>
              <a:gd name="T85" fmla="*/ 5 h 33"/>
              <a:gd name="T86" fmla="*/ 7 w 72"/>
              <a:gd name="T87" fmla="*/ 5 h 33"/>
              <a:gd name="T88" fmla="*/ 7 w 72"/>
              <a:gd name="T89" fmla="*/ 4 h 33"/>
              <a:gd name="T90" fmla="*/ 6 w 72"/>
              <a:gd name="T91" fmla="*/ 4 h 33"/>
              <a:gd name="T92" fmla="*/ 6 w 72"/>
              <a:gd name="T93" fmla="*/ 4 h 33"/>
              <a:gd name="T94" fmla="*/ 5 w 72"/>
              <a:gd name="T95" fmla="*/ 4 h 33"/>
              <a:gd name="T96" fmla="*/ 5 w 72"/>
              <a:gd name="T97" fmla="*/ 3 h 33"/>
              <a:gd name="T98" fmla="*/ 4 w 72"/>
              <a:gd name="T99" fmla="*/ 3 h 33"/>
              <a:gd name="T100" fmla="*/ 4 w 72"/>
              <a:gd name="T101" fmla="*/ 3 h 33"/>
              <a:gd name="T102" fmla="*/ 4 w 72"/>
              <a:gd name="T103" fmla="*/ 2 h 33"/>
              <a:gd name="T104" fmla="*/ 3 w 72"/>
              <a:gd name="T105" fmla="*/ 2 h 33"/>
              <a:gd name="T106" fmla="*/ 3 w 72"/>
              <a:gd name="T107" fmla="*/ 2 h 33"/>
              <a:gd name="T108" fmla="*/ 2 w 72"/>
              <a:gd name="T109" fmla="*/ 2 h 33"/>
              <a:gd name="T110" fmla="*/ 2 w 72"/>
              <a:gd name="T111" fmla="*/ 1 h 33"/>
              <a:gd name="T112" fmla="*/ 2 w 72"/>
              <a:gd name="T113" fmla="*/ 1 h 33"/>
              <a:gd name="T114" fmla="*/ 1 w 72"/>
              <a:gd name="T115" fmla="*/ 1 h 33"/>
              <a:gd name="T116" fmla="*/ 1 w 72"/>
              <a:gd name="T117" fmla="*/ 0 h 33"/>
              <a:gd name="T118" fmla="*/ 1 w 72"/>
              <a:gd name="T119" fmla="*/ 0 h 3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72"/>
              <a:gd name="T181" fmla="*/ 0 h 33"/>
              <a:gd name="T182" fmla="*/ 72 w 72"/>
              <a:gd name="T183" fmla="*/ 33 h 33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72" h="3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6"/>
                </a:lnTo>
                <a:lnTo>
                  <a:pt x="4" y="6"/>
                </a:lnTo>
                <a:lnTo>
                  <a:pt x="4" y="8"/>
                </a:lnTo>
                <a:lnTo>
                  <a:pt x="5" y="8"/>
                </a:lnTo>
                <a:lnTo>
                  <a:pt x="5" y="9"/>
                </a:lnTo>
                <a:lnTo>
                  <a:pt x="9" y="9"/>
                </a:lnTo>
                <a:lnTo>
                  <a:pt x="11" y="11"/>
                </a:lnTo>
                <a:lnTo>
                  <a:pt x="13" y="11"/>
                </a:lnTo>
                <a:lnTo>
                  <a:pt x="15" y="13"/>
                </a:lnTo>
                <a:lnTo>
                  <a:pt x="15" y="15"/>
                </a:lnTo>
                <a:lnTo>
                  <a:pt x="19" y="15"/>
                </a:lnTo>
                <a:lnTo>
                  <a:pt x="21" y="17"/>
                </a:lnTo>
                <a:lnTo>
                  <a:pt x="21" y="19"/>
                </a:lnTo>
                <a:lnTo>
                  <a:pt x="25" y="19"/>
                </a:lnTo>
                <a:lnTo>
                  <a:pt x="25" y="21"/>
                </a:lnTo>
                <a:lnTo>
                  <a:pt x="31" y="21"/>
                </a:lnTo>
                <a:lnTo>
                  <a:pt x="31" y="23"/>
                </a:lnTo>
                <a:lnTo>
                  <a:pt x="41" y="23"/>
                </a:lnTo>
                <a:lnTo>
                  <a:pt x="43" y="25"/>
                </a:lnTo>
                <a:lnTo>
                  <a:pt x="49" y="25"/>
                </a:lnTo>
                <a:lnTo>
                  <a:pt x="51" y="27"/>
                </a:lnTo>
                <a:lnTo>
                  <a:pt x="57" y="27"/>
                </a:lnTo>
                <a:lnTo>
                  <a:pt x="59" y="29"/>
                </a:lnTo>
                <a:lnTo>
                  <a:pt x="63" y="29"/>
                </a:lnTo>
                <a:lnTo>
                  <a:pt x="65" y="31"/>
                </a:lnTo>
                <a:lnTo>
                  <a:pt x="69" y="31"/>
                </a:lnTo>
                <a:lnTo>
                  <a:pt x="69" y="33"/>
                </a:lnTo>
                <a:lnTo>
                  <a:pt x="72" y="33"/>
                </a:lnTo>
                <a:lnTo>
                  <a:pt x="72" y="29"/>
                </a:lnTo>
                <a:lnTo>
                  <a:pt x="70" y="29"/>
                </a:lnTo>
                <a:lnTo>
                  <a:pt x="72" y="29"/>
                </a:lnTo>
                <a:lnTo>
                  <a:pt x="69" y="27"/>
                </a:lnTo>
                <a:lnTo>
                  <a:pt x="65" y="27"/>
                </a:lnTo>
                <a:lnTo>
                  <a:pt x="63" y="25"/>
                </a:lnTo>
                <a:lnTo>
                  <a:pt x="59" y="25"/>
                </a:lnTo>
                <a:lnTo>
                  <a:pt x="57" y="23"/>
                </a:lnTo>
                <a:lnTo>
                  <a:pt x="51" y="23"/>
                </a:lnTo>
                <a:lnTo>
                  <a:pt x="49" y="21"/>
                </a:lnTo>
                <a:lnTo>
                  <a:pt x="43" y="21"/>
                </a:lnTo>
                <a:lnTo>
                  <a:pt x="41" y="19"/>
                </a:lnTo>
                <a:lnTo>
                  <a:pt x="35" y="19"/>
                </a:lnTo>
                <a:lnTo>
                  <a:pt x="35" y="17"/>
                </a:lnTo>
                <a:lnTo>
                  <a:pt x="27" y="17"/>
                </a:lnTo>
                <a:lnTo>
                  <a:pt x="29" y="17"/>
                </a:lnTo>
                <a:lnTo>
                  <a:pt x="25" y="15"/>
                </a:lnTo>
                <a:lnTo>
                  <a:pt x="25" y="13"/>
                </a:lnTo>
                <a:lnTo>
                  <a:pt x="21" y="13"/>
                </a:lnTo>
                <a:lnTo>
                  <a:pt x="19" y="11"/>
                </a:lnTo>
                <a:lnTo>
                  <a:pt x="19" y="9"/>
                </a:lnTo>
                <a:lnTo>
                  <a:pt x="15" y="9"/>
                </a:lnTo>
                <a:lnTo>
                  <a:pt x="13" y="8"/>
                </a:lnTo>
                <a:lnTo>
                  <a:pt x="11" y="8"/>
                </a:lnTo>
                <a:lnTo>
                  <a:pt x="9" y="6"/>
                </a:lnTo>
                <a:lnTo>
                  <a:pt x="9" y="4"/>
                </a:lnTo>
                <a:lnTo>
                  <a:pt x="7" y="4"/>
                </a:lnTo>
                <a:lnTo>
                  <a:pt x="7" y="2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" name="Freeform 17"/>
          <xdr:cNvSpPr>
            <a:spLocks/>
          </xdr:cNvSpPr>
        </xdr:nvSpPr>
        <xdr:spPr bwMode="auto">
          <a:xfrm>
            <a:off x="274" y="2242"/>
            <a:ext cx="2" cy="10"/>
          </a:xfrm>
          <a:custGeom>
            <a:avLst/>
            <a:gdLst>
              <a:gd name="T0" fmla="*/ 1 w 8"/>
              <a:gd name="T1" fmla="*/ 0 h 47"/>
              <a:gd name="T2" fmla="*/ 1 w 8"/>
              <a:gd name="T3" fmla="*/ 0 h 47"/>
              <a:gd name="T4" fmla="*/ 0 w 8"/>
              <a:gd name="T5" fmla="*/ 0 h 47"/>
              <a:gd name="T6" fmla="*/ 0 w 8"/>
              <a:gd name="T7" fmla="*/ 0 h 47"/>
              <a:gd name="T8" fmla="*/ 1 w 8"/>
              <a:gd name="T9" fmla="*/ 10 h 47"/>
              <a:gd name="T10" fmla="*/ 1 w 8"/>
              <a:gd name="T11" fmla="*/ 10 h 47"/>
              <a:gd name="T12" fmla="*/ 2 w 8"/>
              <a:gd name="T13" fmla="*/ 10 h 47"/>
              <a:gd name="T14" fmla="*/ 2 w 8"/>
              <a:gd name="T15" fmla="*/ 10 h 47"/>
              <a:gd name="T16" fmla="*/ 1 w 8"/>
              <a:gd name="T17" fmla="*/ 0 h 4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8"/>
              <a:gd name="T28" fmla="*/ 0 h 47"/>
              <a:gd name="T29" fmla="*/ 8 w 8"/>
              <a:gd name="T30" fmla="*/ 47 h 4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8" h="4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4" y="45"/>
                </a:lnTo>
                <a:lnTo>
                  <a:pt x="4" y="47"/>
                </a:lnTo>
                <a:lnTo>
                  <a:pt x="8" y="47"/>
                </a:lnTo>
                <a:lnTo>
                  <a:pt x="8" y="45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" name="Freeform 18"/>
          <xdr:cNvSpPr>
            <a:spLocks/>
          </xdr:cNvSpPr>
        </xdr:nvSpPr>
        <xdr:spPr bwMode="auto">
          <a:xfrm>
            <a:off x="258" y="2233"/>
            <a:ext cx="1" cy="14"/>
          </a:xfrm>
          <a:custGeom>
            <a:avLst/>
            <a:gdLst>
              <a:gd name="T0" fmla="*/ 1 w 4"/>
              <a:gd name="T1" fmla="*/ 0 h 62"/>
              <a:gd name="T2" fmla="*/ 1 w 4"/>
              <a:gd name="T3" fmla="*/ 0 h 62"/>
              <a:gd name="T4" fmla="*/ 0 w 4"/>
              <a:gd name="T5" fmla="*/ 0 h 62"/>
              <a:gd name="T6" fmla="*/ 0 w 4"/>
              <a:gd name="T7" fmla="*/ 14 h 62"/>
              <a:gd name="T8" fmla="*/ 1 w 4"/>
              <a:gd name="T9" fmla="*/ 14 h 62"/>
              <a:gd name="T10" fmla="*/ 1 w 4"/>
              <a:gd name="T11" fmla="*/ 14 h 62"/>
              <a:gd name="T12" fmla="*/ 1 w 4"/>
              <a:gd name="T13" fmla="*/ 0 h 6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62"/>
              <a:gd name="T23" fmla="*/ 4 w 4"/>
              <a:gd name="T24" fmla="*/ 62 h 6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6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62"/>
                </a:lnTo>
                <a:lnTo>
                  <a:pt x="4" y="62"/>
                </a:lnTo>
                <a:lnTo>
                  <a:pt x="4" y="6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" name="Freeform 19"/>
          <xdr:cNvSpPr>
            <a:spLocks/>
          </xdr:cNvSpPr>
        </xdr:nvSpPr>
        <xdr:spPr bwMode="auto">
          <a:xfrm>
            <a:off x="258" y="2230"/>
            <a:ext cx="2" cy="4"/>
          </a:xfrm>
          <a:custGeom>
            <a:avLst/>
            <a:gdLst>
              <a:gd name="T0" fmla="*/ 0 w 15"/>
              <a:gd name="T1" fmla="*/ 4 h 13"/>
              <a:gd name="T2" fmla="*/ 0 w 15"/>
              <a:gd name="T3" fmla="*/ 4 h 13"/>
              <a:gd name="T4" fmla="*/ 1 w 15"/>
              <a:gd name="T5" fmla="*/ 4 h 13"/>
              <a:gd name="T6" fmla="*/ 1 w 15"/>
              <a:gd name="T7" fmla="*/ 2 h 13"/>
              <a:gd name="T8" fmla="*/ 1 w 15"/>
              <a:gd name="T9" fmla="*/ 2 h 13"/>
              <a:gd name="T10" fmla="*/ 1 w 15"/>
              <a:gd name="T11" fmla="*/ 1 h 13"/>
              <a:gd name="T12" fmla="*/ 2 w 15"/>
              <a:gd name="T13" fmla="*/ 1 h 13"/>
              <a:gd name="T14" fmla="*/ 2 w 15"/>
              <a:gd name="T15" fmla="*/ 0 h 13"/>
              <a:gd name="T16" fmla="*/ 2 w 15"/>
              <a:gd name="T17" fmla="*/ 0 h 13"/>
              <a:gd name="T18" fmla="*/ 0 w 15"/>
              <a:gd name="T19" fmla="*/ 0 h 13"/>
              <a:gd name="T20" fmla="*/ 0 w 15"/>
              <a:gd name="T21" fmla="*/ 1 h 13"/>
              <a:gd name="T22" fmla="*/ 1 w 15"/>
              <a:gd name="T23" fmla="*/ 1 h 13"/>
              <a:gd name="T24" fmla="*/ 0 w 15"/>
              <a:gd name="T25" fmla="*/ 1 h 13"/>
              <a:gd name="T26" fmla="*/ 0 w 15"/>
              <a:gd name="T27" fmla="*/ 4 h 13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5"/>
              <a:gd name="T43" fmla="*/ 0 h 13"/>
              <a:gd name="T44" fmla="*/ 15 w 15"/>
              <a:gd name="T45" fmla="*/ 13 h 13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15" h="13">
                <a:moveTo>
                  <a:pt x="0" y="12"/>
                </a:moveTo>
                <a:lnTo>
                  <a:pt x="0" y="13"/>
                </a:lnTo>
                <a:lnTo>
                  <a:pt x="4" y="13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15" y="4"/>
                </a:lnTo>
                <a:lnTo>
                  <a:pt x="15" y="0"/>
                </a:lnTo>
                <a:lnTo>
                  <a:pt x="13" y="0"/>
                </a:lnTo>
                <a:lnTo>
                  <a:pt x="2" y="0"/>
                </a:lnTo>
                <a:lnTo>
                  <a:pt x="2" y="4"/>
                </a:lnTo>
                <a:lnTo>
                  <a:pt x="4" y="2"/>
                </a:lnTo>
                <a:lnTo>
                  <a:pt x="0" y="2"/>
                </a:lnTo>
                <a:lnTo>
                  <a:pt x="0" y="1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" name="Freeform 20"/>
          <xdr:cNvSpPr>
            <a:spLocks/>
          </xdr:cNvSpPr>
        </xdr:nvSpPr>
        <xdr:spPr bwMode="auto">
          <a:xfrm>
            <a:off x="260" y="2230"/>
            <a:ext cx="4" cy="1"/>
          </a:xfrm>
          <a:custGeom>
            <a:avLst/>
            <a:gdLst>
              <a:gd name="T0" fmla="*/ 0 w 20"/>
              <a:gd name="T1" fmla="*/ 0 h 4"/>
              <a:gd name="T2" fmla="*/ 0 w 20"/>
              <a:gd name="T3" fmla="*/ 0 h 4"/>
              <a:gd name="T4" fmla="*/ 0 w 20"/>
              <a:gd name="T5" fmla="*/ 1 h 4"/>
              <a:gd name="T6" fmla="*/ 4 w 20"/>
              <a:gd name="T7" fmla="*/ 1 h 4"/>
              <a:gd name="T8" fmla="*/ 4 w 20"/>
              <a:gd name="T9" fmla="*/ 0 h 4"/>
              <a:gd name="T10" fmla="*/ 4 w 20"/>
              <a:gd name="T11" fmla="*/ 0 h 4"/>
              <a:gd name="T12" fmla="*/ 0 w 20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0"/>
              <a:gd name="T22" fmla="*/ 0 h 4"/>
              <a:gd name="T23" fmla="*/ 20 w 20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0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0" y="4"/>
                </a:lnTo>
                <a:lnTo>
                  <a:pt x="20" y="0"/>
                </a:lnTo>
                <a:lnTo>
                  <a:pt x="18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" name="Freeform 21"/>
          <xdr:cNvSpPr>
            <a:spLocks/>
          </xdr:cNvSpPr>
        </xdr:nvSpPr>
        <xdr:spPr bwMode="auto">
          <a:xfrm>
            <a:off x="243" y="2254"/>
            <a:ext cx="5" cy="2"/>
          </a:xfrm>
          <a:custGeom>
            <a:avLst/>
            <a:gdLst>
              <a:gd name="T0" fmla="*/ 1 w 23"/>
              <a:gd name="T1" fmla="*/ 1 h 12"/>
              <a:gd name="T2" fmla="*/ 1 w 23"/>
              <a:gd name="T3" fmla="*/ 0 h 12"/>
              <a:gd name="T4" fmla="*/ 0 w 23"/>
              <a:gd name="T5" fmla="*/ 0 h 12"/>
              <a:gd name="T6" fmla="*/ 0 w 23"/>
              <a:gd name="T7" fmla="*/ 1 h 12"/>
              <a:gd name="T8" fmla="*/ 0 w 23"/>
              <a:gd name="T9" fmla="*/ 1 h 12"/>
              <a:gd name="T10" fmla="*/ 0 w 23"/>
              <a:gd name="T11" fmla="*/ 2 h 12"/>
              <a:gd name="T12" fmla="*/ 1 w 23"/>
              <a:gd name="T13" fmla="*/ 2 h 12"/>
              <a:gd name="T14" fmla="*/ 1 w 23"/>
              <a:gd name="T15" fmla="*/ 2 h 12"/>
              <a:gd name="T16" fmla="*/ 3 w 23"/>
              <a:gd name="T17" fmla="*/ 2 h 12"/>
              <a:gd name="T18" fmla="*/ 3 w 23"/>
              <a:gd name="T19" fmla="*/ 2 h 12"/>
              <a:gd name="T20" fmla="*/ 4 w 23"/>
              <a:gd name="T21" fmla="*/ 2 h 12"/>
              <a:gd name="T22" fmla="*/ 5 w 23"/>
              <a:gd name="T23" fmla="*/ 1 h 12"/>
              <a:gd name="T24" fmla="*/ 5 w 23"/>
              <a:gd name="T25" fmla="*/ 1 h 12"/>
              <a:gd name="T26" fmla="*/ 5 w 23"/>
              <a:gd name="T27" fmla="*/ 0 h 12"/>
              <a:gd name="T28" fmla="*/ 4 w 23"/>
              <a:gd name="T29" fmla="*/ 0 h 12"/>
              <a:gd name="T30" fmla="*/ 4 w 23"/>
              <a:gd name="T31" fmla="*/ 0 h 12"/>
              <a:gd name="T32" fmla="*/ 4 w 23"/>
              <a:gd name="T33" fmla="*/ 0 h 12"/>
              <a:gd name="T34" fmla="*/ 4 w 23"/>
              <a:gd name="T35" fmla="*/ 1 h 12"/>
              <a:gd name="T36" fmla="*/ 3 w 23"/>
              <a:gd name="T37" fmla="*/ 1 h 12"/>
              <a:gd name="T38" fmla="*/ 3 w 23"/>
              <a:gd name="T39" fmla="*/ 1 h 12"/>
              <a:gd name="T40" fmla="*/ 2 w 23"/>
              <a:gd name="T41" fmla="*/ 1 h 12"/>
              <a:gd name="T42" fmla="*/ 2 w 23"/>
              <a:gd name="T43" fmla="*/ 1 h 12"/>
              <a:gd name="T44" fmla="*/ 1 w 23"/>
              <a:gd name="T45" fmla="*/ 1 h 12"/>
              <a:gd name="T46" fmla="*/ 1 w 23"/>
              <a:gd name="T47" fmla="*/ 1 h 12"/>
              <a:gd name="T48" fmla="*/ 1 w 23"/>
              <a:gd name="T49" fmla="*/ 1 h 12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23"/>
              <a:gd name="T76" fmla="*/ 0 h 12"/>
              <a:gd name="T77" fmla="*/ 23 w 23"/>
              <a:gd name="T78" fmla="*/ 12 h 12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23" h="12">
                <a:moveTo>
                  <a:pt x="4" y="4"/>
                </a:moveTo>
                <a:lnTo>
                  <a:pt x="4" y="2"/>
                </a:lnTo>
                <a:lnTo>
                  <a:pt x="0" y="2"/>
                </a:lnTo>
                <a:lnTo>
                  <a:pt x="0" y="8"/>
                </a:lnTo>
                <a:lnTo>
                  <a:pt x="2" y="8"/>
                </a:lnTo>
                <a:lnTo>
                  <a:pt x="2" y="10"/>
                </a:lnTo>
                <a:lnTo>
                  <a:pt x="6" y="10"/>
                </a:lnTo>
                <a:lnTo>
                  <a:pt x="6" y="12"/>
                </a:lnTo>
                <a:lnTo>
                  <a:pt x="13" y="12"/>
                </a:lnTo>
                <a:lnTo>
                  <a:pt x="15" y="10"/>
                </a:lnTo>
                <a:lnTo>
                  <a:pt x="17" y="10"/>
                </a:lnTo>
                <a:lnTo>
                  <a:pt x="21" y="6"/>
                </a:lnTo>
                <a:lnTo>
                  <a:pt x="23" y="6"/>
                </a:lnTo>
                <a:lnTo>
                  <a:pt x="23" y="0"/>
                </a:lnTo>
                <a:lnTo>
                  <a:pt x="19" y="0"/>
                </a:lnTo>
                <a:lnTo>
                  <a:pt x="19" y="2"/>
                </a:lnTo>
                <a:lnTo>
                  <a:pt x="17" y="2"/>
                </a:lnTo>
                <a:lnTo>
                  <a:pt x="17" y="6"/>
                </a:lnTo>
                <a:lnTo>
                  <a:pt x="15" y="6"/>
                </a:lnTo>
                <a:lnTo>
                  <a:pt x="13" y="8"/>
                </a:lnTo>
                <a:lnTo>
                  <a:pt x="9" y="8"/>
                </a:lnTo>
                <a:lnTo>
                  <a:pt x="9" y="6"/>
                </a:lnTo>
                <a:lnTo>
                  <a:pt x="6" y="6"/>
                </a:lnTo>
                <a:lnTo>
                  <a:pt x="6" y="4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" name="Oval 22"/>
          <xdr:cNvSpPr>
            <a:spLocks noChangeArrowheads="1"/>
          </xdr:cNvSpPr>
        </xdr:nvSpPr>
        <xdr:spPr bwMode="auto">
          <a:xfrm>
            <a:off x="245" y="2254"/>
            <a:ext cx="2" cy="1"/>
          </a:xfrm>
          <a:prstGeom prst="ellipse">
            <a:avLst/>
          </a:prstGeom>
          <a:solidFill>
            <a:srgbClr val="DEAD3D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" name="Freeform 23"/>
          <xdr:cNvSpPr>
            <a:spLocks/>
          </xdr:cNvSpPr>
        </xdr:nvSpPr>
        <xdr:spPr bwMode="auto">
          <a:xfrm>
            <a:off x="247" y="2252"/>
            <a:ext cx="1" cy="3"/>
          </a:xfrm>
          <a:custGeom>
            <a:avLst/>
            <a:gdLst>
              <a:gd name="T0" fmla="*/ 0 w 12"/>
              <a:gd name="T1" fmla="*/ 1 h 10"/>
              <a:gd name="T2" fmla="*/ 0 w 12"/>
              <a:gd name="T3" fmla="*/ 2 h 10"/>
              <a:gd name="T4" fmla="*/ 0 w 12"/>
              <a:gd name="T5" fmla="*/ 2 h 10"/>
              <a:gd name="T6" fmla="*/ 0 w 12"/>
              <a:gd name="T7" fmla="*/ 3 h 10"/>
              <a:gd name="T8" fmla="*/ 1 w 12"/>
              <a:gd name="T9" fmla="*/ 3 h 10"/>
              <a:gd name="T10" fmla="*/ 1 w 12"/>
              <a:gd name="T11" fmla="*/ 2 h 10"/>
              <a:gd name="T12" fmla="*/ 1 w 12"/>
              <a:gd name="T13" fmla="*/ 2 h 10"/>
              <a:gd name="T14" fmla="*/ 1 w 12"/>
              <a:gd name="T15" fmla="*/ 0 h 10"/>
              <a:gd name="T16" fmla="*/ 0 w 12"/>
              <a:gd name="T17" fmla="*/ 0 h 10"/>
              <a:gd name="T18" fmla="*/ 0 w 12"/>
              <a:gd name="T19" fmla="*/ 1 h 10"/>
              <a:gd name="T20" fmla="*/ 0 w 12"/>
              <a:gd name="T21" fmla="*/ 1 h 10"/>
              <a:gd name="T22" fmla="*/ 1 w 12"/>
              <a:gd name="T23" fmla="*/ 1 h 10"/>
              <a:gd name="T24" fmla="*/ 1 w 12"/>
              <a:gd name="T25" fmla="*/ 1 h 10"/>
              <a:gd name="T26" fmla="*/ 1 w 12"/>
              <a:gd name="T27" fmla="*/ 2 h 10"/>
              <a:gd name="T28" fmla="*/ 1 w 12"/>
              <a:gd name="T29" fmla="*/ 1 h 10"/>
              <a:gd name="T30" fmla="*/ 0 w 12"/>
              <a:gd name="T31" fmla="*/ 1 h 10"/>
              <a:gd name="T32" fmla="*/ 0 w 12"/>
              <a:gd name="T33" fmla="*/ 1 h 10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2"/>
              <a:gd name="T52" fmla="*/ 0 h 10"/>
              <a:gd name="T53" fmla="*/ 12 w 12"/>
              <a:gd name="T54" fmla="*/ 10 h 10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2" h="10">
                <a:moveTo>
                  <a:pt x="0" y="4"/>
                </a:moveTo>
                <a:lnTo>
                  <a:pt x="0" y="8"/>
                </a:lnTo>
                <a:lnTo>
                  <a:pt x="2" y="8"/>
                </a:lnTo>
                <a:lnTo>
                  <a:pt x="2" y="10"/>
                </a:lnTo>
                <a:lnTo>
                  <a:pt x="10" y="10"/>
                </a:lnTo>
                <a:lnTo>
                  <a:pt x="10" y="8"/>
                </a:lnTo>
                <a:lnTo>
                  <a:pt x="12" y="8"/>
                </a:lnTo>
                <a:lnTo>
                  <a:pt x="12" y="0"/>
                </a:lnTo>
                <a:lnTo>
                  <a:pt x="0" y="0"/>
                </a:lnTo>
                <a:lnTo>
                  <a:pt x="0" y="4"/>
                </a:lnTo>
                <a:lnTo>
                  <a:pt x="4" y="4"/>
                </a:lnTo>
                <a:lnTo>
                  <a:pt x="8" y="4"/>
                </a:lnTo>
                <a:lnTo>
                  <a:pt x="6" y="4"/>
                </a:lnTo>
                <a:lnTo>
                  <a:pt x="6" y="6"/>
                </a:lnTo>
                <a:lnTo>
                  <a:pt x="6" y="4"/>
                </a:lnTo>
                <a:lnTo>
                  <a:pt x="4" y="4"/>
                </a:lnTo>
                <a:lnTo>
                  <a:pt x="0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" name="Freeform 24"/>
          <xdr:cNvSpPr>
            <a:spLocks/>
          </xdr:cNvSpPr>
        </xdr:nvSpPr>
        <xdr:spPr bwMode="auto">
          <a:xfrm>
            <a:off x="254" y="2255"/>
            <a:ext cx="6" cy="6"/>
          </a:xfrm>
          <a:custGeom>
            <a:avLst/>
            <a:gdLst>
              <a:gd name="T0" fmla="*/ 1 w 29"/>
              <a:gd name="T1" fmla="*/ 0 h 25"/>
              <a:gd name="T2" fmla="*/ 0 w 29"/>
              <a:gd name="T3" fmla="*/ 0 h 25"/>
              <a:gd name="T4" fmla="*/ 0 w 29"/>
              <a:gd name="T5" fmla="*/ 1 h 25"/>
              <a:gd name="T6" fmla="*/ 0 w 29"/>
              <a:gd name="T7" fmla="*/ 1 h 25"/>
              <a:gd name="T8" fmla="*/ 0 w 29"/>
              <a:gd name="T9" fmla="*/ 3 h 25"/>
              <a:gd name="T10" fmla="*/ 0 w 29"/>
              <a:gd name="T11" fmla="*/ 3 h 25"/>
              <a:gd name="T12" fmla="*/ 1 w 29"/>
              <a:gd name="T13" fmla="*/ 3 h 25"/>
              <a:gd name="T14" fmla="*/ 2 w 29"/>
              <a:gd name="T15" fmla="*/ 3 h 25"/>
              <a:gd name="T16" fmla="*/ 1 w 29"/>
              <a:gd name="T17" fmla="*/ 3 h 25"/>
              <a:gd name="T18" fmla="*/ 2 w 29"/>
              <a:gd name="T19" fmla="*/ 3 h 25"/>
              <a:gd name="T20" fmla="*/ 2 w 29"/>
              <a:gd name="T21" fmla="*/ 3 h 25"/>
              <a:gd name="T22" fmla="*/ 2 w 29"/>
              <a:gd name="T23" fmla="*/ 3 h 25"/>
              <a:gd name="T24" fmla="*/ 2 w 29"/>
              <a:gd name="T25" fmla="*/ 3 h 25"/>
              <a:gd name="T26" fmla="*/ 2 w 29"/>
              <a:gd name="T27" fmla="*/ 3 h 25"/>
              <a:gd name="T28" fmla="*/ 3 w 29"/>
              <a:gd name="T29" fmla="*/ 3 h 25"/>
              <a:gd name="T30" fmla="*/ 3 w 29"/>
              <a:gd name="T31" fmla="*/ 4 h 25"/>
              <a:gd name="T32" fmla="*/ 4 w 29"/>
              <a:gd name="T33" fmla="*/ 4 h 25"/>
              <a:gd name="T34" fmla="*/ 4 w 29"/>
              <a:gd name="T35" fmla="*/ 4 h 25"/>
              <a:gd name="T36" fmla="*/ 3 w 29"/>
              <a:gd name="T37" fmla="*/ 3 h 25"/>
              <a:gd name="T38" fmla="*/ 3 w 29"/>
              <a:gd name="T39" fmla="*/ 4 h 25"/>
              <a:gd name="T40" fmla="*/ 4 w 29"/>
              <a:gd name="T41" fmla="*/ 4 h 25"/>
              <a:gd name="T42" fmla="*/ 4 w 29"/>
              <a:gd name="T43" fmla="*/ 5 h 25"/>
              <a:gd name="T44" fmla="*/ 4 w 29"/>
              <a:gd name="T45" fmla="*/ 5 h 25"/>
              <a:gd name="T46" fmla="*/ 4 w 29"/>
              <a:gd name="T47" fmla="*/ 5 h 25"/>
              <a:gd name="T48" fmla="*/ 4 w 29"/>
              <a:gd name="T49" fmla="*/ 6 h 25"/>
              <a:gd name="T50" fmla="*/ 4 w 29"/>
              <a:gd name="T51" fmla="*/ 6 h 25"/>
              <a:gd name="T52" fmla="*/ 4 w 29"/>
              <a:gd name="T53" fmla="*/ 6 h 25"/>
              <a:gd name="T54" fmla="*/ 6 w 29"/>
              <a:gd name="T55" fmla="*/ 6 h 25"/>
              <a:gd name="T56" fmla="*/ 6 w 29"/>
              <a:gd name="T57" fmla="*/ 6 h 25"/>
              <a:gd name="T58" fmla="*/ 6 w 29"/>
              <a:gd name="T59" fmla="*/ 6 h 25"/>
              <a:gd name="T60" fmla="*/ 6 w 29"/>
              <a:gd name="T61" fmla="*/ 5 h 25"/>
              <a:gd name="T62" fmla="*/ 6 w 29"/>
              <a:gd name="T63" fmla="*/ 3 h 25"/>
              <a:gd name="T64" fmla="*/ 5 w 29"/>
              <a:gd name="T65" fmla="*/ 3 h 25"/>
              <a:gd name="T66" fmla="*/ 5 w 29"/>
              <a:gd name="T67" fmla="*/ 2 h 25"/>
              <a:gd name="T68" fmla="*/ 5 w 29"/>
              <a:gd name="T69" fmla="*/ 2 h 25"/>
              <a:gd name="T70" fmla="*/ 5 w 29"/>
              <a:gd name="T71" fmla="*/ 3 h 25"/>
              <a:gd name="T72" fmla="*/ 5 w 29"/>
              <a:gd name="T73" fmla="*/ 2 h 25"/>
              <a:gd name="T74" fmla="*/ 5 w 29"/>
              <a:gd name="T75" fmla="*/ 2 h 25"/>
              <a:gd name="T76" fmla="*/ 5 w 29"/>
              <a:gd name="T77" fmla="*/ 1 h 25"/>
              <a:gd name="T78" fmla="*/ 4 w 29"/>
              <a:gd name="T79" fmla="*/ 1 h 25"/>
              <a:gd name="T80" fmla="*/ 5 w 29"/>
              <a:gd name="T81" fmla="*/ 2 h 25"/>
              <a:gd name="T82" fmla="*/ 5 w 29"/>
              <a:gd name="T83" fmla="*/ 1 h 25"/>
              <a:gd name="T84" fmla="*/ 4 w 29"/>
              <a:gd name="T85" fmla="*/ 1 h 25"/>
              <a:gd name="T86" fmla="*/ 4 w 29"/>
              <a:gd name="T87" fmla="*/ 1 h 25"/>
              <a:gd name="T88" fmla="*/ 2 w 29"/>
              <a:gd name="T89" fmla="*/ 0 h 25"/>
              <a:gd name="T90" fmla="*/ 1 w 29"/>
              <a:gd name="T91" fmla="*/ 0 h 25"/>
              <a:gd name="T92" fmla="*/ 1 w 29"/>
              <a:gd name="T93" fmla="*/ 1 h 25"/>
              <a:gd name="T94" fmla="*/ 1 w 29"/>
              <a:gd name="T95" fmla="*/ 0 h 25"/>
              <a:gd name="T96" fmla="*/ 1 w 29"/>
              <a:gd name="T97" fmla="*/ 0 h 2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29"/>
              <a:gd name="T148" fmla="*/ 0 h 25"/>
              <a:gd name="T149" fmla="*/ 29 w 29"/>
              <a:gd name="T150" fmla="*/ 25 h 2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29" h="25">
                <a:moveTo>
                  <a:pt x="4" y="2"/>
                </a:moveTo>
                <a:lnTo>
                  <a:pt x="2" y="2"/>
                </a:lnTo>
                <a:lnTo>
                  <a:pt x="2" y="4"/>
                </a:lnTo>
                <a:lnTo>
                  <a:pt x="0" y="6"/>
                </a:lnTo>
                <a:lnTo>
                  <a:pt x="0" y="12"/>
                </a:lnTo>
                <a:lnTo>
                  <a:pt x="2" y="12"/>
                </a:lnTo>
                <a:lnTo>
                  <a:pt x="4" y="14"/>
                </a:lnTo>
                <a:lnTo>
                  <a:pt x="8" y="14"/>
                </a:lnTo>
                <a:lnTo>
                  <a:pt x="6" y="14"/>
                </a:lnTo>
                <a:lnTo>
                  <a:pt x="12" y="12"/>
                </a:lnTo>
                <a:lnTo>
                  <a:pt x="10" y="12"/>
                </a:lnTo>
                <a:lnTo>
                  <a:pt x="8" y="14"/>
                </a:lnTo>
                <a:lnTo>
                  <a:pt x="10" y="12"/>
                </a:lnTo>
                <a:lnTo>
                  <a:pt x="10" y="14"/>
                </a:lnTo>
                <a:lnTo>
                  <a:pt x="14" y="14"/>
                </a:lnTo>
                <a:lnTo>
                  <a:pt x="14" y="16"/>
                </a:lnTo>
                <a:lnTo>
                  <a:pt x="20" y="18"/>
                </a:lnTo>
                <a:lnTo>
                  <a:pt x="18" y="18"/>
                </a:lnTo>
                <a:lnTo>
                  <a:pt x="14" y="12"/>
                </a:lnTo>
                <a:lnTo>
                  <a:pt x="16" y="18"/>
                </a:lnTo>
                <a:lnTo>
                  <a:pt x="18" y="18"/>
                </a:lnTo>
                <a:lnTo>
                  <a:pt x="18" y="19"/>
                </a:lnTo>
                <a:lnTo>
                  <a:pt x="20" y="19"/>
                </a:lnTo>
                <a:lnTo>
                  <a:pt x="18" y="19"/>
                </a:lnTo>
                <a:lnTo>
                  <a:pt x="18" y="23"/>
                </a:lnTo>
                <a:lnTo>
                  <a:pt x="20" y="23"/>
                </a:lnTo>
                <a:lnTo>
                  <a:pt x="20" y="25"/>
                </a:lnTo>
                <a:lnTo>
                  <a:pt x="27" y="25"/>
                </a:lnTo>
                <a:lnTo>
                  <a:pt x="27" y="23"/>
                </a:lnTo>
                <a:lnTo>
                  <a:pt x="29" y="23"/>
                </a:lnTo>
                <a:lnTo>
                  <a:pt x="29" y="19"/>
                </a:lnTo>
                <a:lnTo>
                  <a:pt x="27" y="12"/>
                </a:lnTo>
                <a:lnTo>
                  <a:pt x="26" y="12"/>
                </a:lnTo>
                <a:lnTo>
                  <a:pt x="26" y="10"/>
                </a:lnTo>
                <a:lnTo>
                  <a:pt x="24" y="10"/>
                </a:lnTo>
                <a:lnTo>
                  <a:pt x="26" y="12"/>
                </a:lnTo>
                <a:lnTo>
                  <a:pt x="26" y="10"/>
                </a:lnTo>
                <a:lnTo>
                  <a:pt x="24" y="8"/>
                </a:lnTo>
                <a:lnTo>
                  <a:pt x="24" y="6"/>
                </a:lnTo>
                <a:lnTo>
                  <a:pt x="20" y="6"/>
                </a:lnTo>
                <a:lnTo>
                  <a:pt x="22" y="8"/>
                </a:lnTo>
                <a:lnTo>
                  <a:pt x="22" y="6"/>
                </a:lnTo>
                <a:lnTo>
                  <a:pt x="18" y="6"/>
                </a:lnTo>
                <a:lnTo>
                  <a:pt x="18" y="4"/>
                </a:lnTo>
                <a:lnTo>
                  <a:pt x="12" y="2"/>
                </a:lnTo>
                <a:lnTo>
                  <a:pt x="6" y="0"/>
                </a:lnTo>
                <a:lnTo>
                  <a:pt x="4" y="4"/>
                </a:lnTo>
                <a:lnTo>
                  <a:pt x="6" y="2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" name="Freeform 25"/>
          <xdr:cNvSpPr>
            <a:spLocks/>
          </xdr:cNvSpPr>
        </xdr:nvSpPr>
        <xdr:spPr bwMode="auto">
          <a:xfrm>
            <a:off x="245" y="2255"/>
            <a:ext cx="11" cy="3"/>
          </a:xfrm>
          <a:custGeom>
            <a:avLst/>
            <a:gdLst>
              <a:gd name="T0" fmla="*/ 1 w 55"/>
              <a:gd name="T1" fmla="*/ 0 h 14"/>
              <a:gd name="T2" fmla="*/ 1 w 55"/>
              <a:gd name="T3" fmla="*/ 0 h 14"/>
              <a:gd name="T4" fmla="*/ 0 w 55"/>
              <a:gd name="T5" fmla="*/ 0 h 14"/>
              <a:gd name="T6" fmla="*/ 0 w 55"/>
              <a:gd name="T7" fmla="*/ 0 h 14"/>
              <a:gd name="T8" fmla="*/ 0 w 55"/>
              <a:gd name="T9" fmla="*/ 2 h 14"/>
              <a:gd name="T10" fmla="*/ 0 w 55"/>
              <a:gd name="T11" fmla="*/ 2 h 14"/>
              <a:gd name="T12" fmla="*/ 0 w 55"/>
              <a:gd name="T13" fmla="*/ 3 h 14"/>
              <a:gd name="T14" fmla="*/ 1 w 55"/>
              <a:gd name="T15" fmla="*/ 3 h 14"/>
              <a:gd name="T16" fmla="*/ 10 w 55"/>
              <a:gd name="T17" fmla="*/ 3 h 14"/>
              <a:gd name="T18" fmla="*/ 10 w 55"/>
              <a:gd name="T19" fmla="*/ 3 h 14"/>
              <a:gd name="T20" fmla="*/ 11 w 55"/>
              <a:gd name="T21" fmla="*/ 3 h 14"/>
              <a:gd name="T22" fmla="*/ 11 w 55"/>
              <a:gd name="T23" fmla="*/ 3 h 14"/>
              <a:gd name="T24" fmla="*/ 11 w 55"/>
              <a:gd name="T25" fmla="*/ 1 h 14"/>
              <a:gd name="T26" fmla="*/ 11 w 55"/>
              <a:gd name="T27" fmla="*/ 1 h 14"/>
              <a:gd name="T28" fmla="*/ 11 w 55"/>
              <a:gd name="T29" fmla="*/ 0 h 14"/>
              <a:gd name="T30" fmla="*/ 10 w 55"/>
              <a:gd name="T31" fmla="*/ 0 h 14"/>
              <a:gd name="T32" fmla="*/ 1 w 55"/>
              <a:gd name="T33" fmla="*/ 0 h 1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55"/>
              <a:gd name="T52" fmla="*/ 0 h 14"/>
              <a:gd name="T53" fmla="*/ 55 w 55"/>
              <a:gd name="T54" fmla="*/ 14 h 1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55" h="14">
                <a:moveTo>
                  <a:pt x="5" y="0"/>
                </a:moveTo>
                <a:lnTo>
                  <a:pt x="3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2" y="10"/>
                </a:lnTo>
                <a:lnTo>
                  <a:pt x="2" y="12"/>
                </a:lnTo>
                <a:lnTo>
                  <a:pt x="5" y="12"/>
                </a:lnTo>
                <a:lnTo>
                  <a:pt x="49" y="14"/>
                </a:lnTo>
                <a:lnTo>
                  <a:pt x="51" y="14"/>
                </a:lnTo>
                <a:lnTo>
                  <a:pt x="53" y="12"/>
                </a:lnTo>
                <a:lnTo>
                  <a:pt x="55" y="12"/>
                </a:lnTo>
                <a:lnTo>
                  <a:pt x="55" y="6"/>
                </a:lnTo>
                <a:lnTo>
                  <a:pt x="53" y="4"/>
                </a:lnTo>
                <a:lnTo>
                  <a:pt x="53" y="2"/>
                </a:lnTo>
                <a:lnTo>
                  <a:pt x="49" y="2"/>
                </a:lnTo>
                <a:lnTo>
                  <a:pt x="5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" name="Freeform 26"/>
          <xdr:cNvSpPr>
            <a:spLocks/>
          </xdr:cNvSpPr>
        </xdr:nvSpPr>
        <xdr:spPr bwMode="auto">
          <a:xfrm>
            <a:off x="245" y="2228"/>
            <a:ext cx="0" cy="27"/>
          </a:xfrm>
          <a:custGeom>
            <a:avLst/>
            <a:gdLst>
              <a:gd name="T0" fmla="*/ 0 w 4"/>
              <a:gd name="T1" fmla="*/ 27 h 111"/>
              <a:gd name="T2" fmla="*/ 0 w 4"/>
              <a:gd name="T3" fmla="*/ 27 h 111"/>
              <a:gd name="T4" fmla="*/ 0 w 4"/>
              <a:gd name="T5" fmla="*/ 27 h 111"/>
              <a:gd name="T6" fmla="*/ 0 w 4"/>
              <a:gd name="T7" fmla="*/ 0 h 111"/>
              <a:gd name="T8" fmla="*/ 0 w 4"/>
              <a:gd name="T9" fmla="*/ 0 h 111"/>
              <a:gd name="T10" fmla="*/ 0 w 4"/>
              <a:gd name="T11" fmla="*/ 0 h 111"/>
              <a:gd name="T12" fmla="*/ 0 w 4"/>
              <a:gd name="T13" fmla="*/ 27 h 1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11"/>
              <a:gd name="T23" fmla="*/ 0 w 4"/>
              <a:gd name="T24" fmla="*/ 111 h 1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11">
                <a:moveTo>
                  <a:pt x="0" y="109"/>
                </a:moveTo>
                <a:lnTo>
                  <a:pt x="0" y="111"/>
                </a:lnTo>
                <a:lnTo>
                  <a:pt x="4" y="111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10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" name="Freeform 27"/>
          <xdr:cNvSpPr>
            <a:spLocks/>
          </xdr:cNvSpPr>
        </xdr:nvSpPr>
        <xdr:spPr bwMode="auto">
          <a:xfrm>
            <a:off x="248" y="2247"/>
            <a:ext cx="1" cy="8"/>
          </a:xfrm>
          <a:custGeom>
            <a:avLst/>
            <a:gdLst>
              <a:gd name="T0" fmla="*/ 0 w 4"/>
              <a:gd name="T1" fmla="*/ 7 h 31"/>
              <a:gd name="T2" fmla="*/ 0 w 4"/>
              <a:gd name="T3" fmla="*/ 8 h 31"/>
              <a:gd name="T4" fmla="*/ 1 w 4"/>
              <a:gd name="T5" fmla="*/ 8 h 31"/>
              <a:gd name="T6" fmla="*/ 1 w 4"/>
              <a:gd name="T7" fmla="*/ 0 h 31"/>
              <a:gd name="T8" fmla="*/ 0 w 4"/>
              <a:gd name="T9" fmla="*/ 0 h 31"/>
              <a:gd name="T10" fmla="*/ 0 w 4"/>
              <a:gd name="T11" fmla="*/ 1 h 31"/>
              <a:gd name="T12" fmla="*/ 0 w 4"/>
              <a:gd name="T13" fmla="*/ 7 h 3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31"/>
              <a:gd name="T23" fmla="*/ 4 w 4"/>
              <a:gd name="T24" fmla="*/ 31 h 3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31">
                <a:moveTo>
                  <a:pt x="0" y="29"/>
                </a:moveTo>
                <a:lnTo>
                  <a:pt x="0" y="31"/>
                </a:lnTo>
                <a:lnTo>
                  <a:pt x="4" y="31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2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9" name="Freeform 28"/>
          <xdr:cNvSpPr>
            <a:spLocks/>
          </xdr:cNvSpPr>
        </xdr:nvSpPr>
        <xdr:spPr bwMode="auto">
          <a:xfrm>
            <a:off x="237" y="2214"/>
            <a:ext cx="95" cy="6"/>
          </a:xfrm>
          <a:custGeom>
            <a:avLst/>
            <a:gdLst>
              <a:gd name="T0" fmla="*/ 95 w 465"/>
              <a:gd name="T1" fmla="*/ 4 h 25"/>
              <a:gd name="T2" fmla="*/ 95 w 465"/>
              <a:gd name="T3" fmla="*/ 3 h 25"/>
              <a:gd name="T4" fmla="*/ 94 w 465"/>
              <a:gd name="T5" fmla="*/ 3 h 25"/>
              <a:gd name="T6" fmla="*/ 94 w 465"/>
              <a:gd name="T7" fmla="*/ 6 h 25"/>
              <a:gd name="T8" fmla="*/ 95 w 465"/>
              <a:gd name="T9" fmla="*/ 5 h 25"/>
              <a:gd name="T10" fmla="*/ 0 w 465"/>
              <a:gd name="T11" fmla="*/ 5 h 25"/>
              <a:gd name="T12" fmla="*/ 1 w 465"/>
              <a:gd name="T13" fmla="*/ 6 h 25"/>
              <a:gd name="T14" fmla="*/ 1 w 465"/>
              <a:gd name="T15" fmla="*/ 0 h 25"/>
              <a:gd name="T16" fmla="*/ 0 w 465"/>
              <a:gd name="T17" fmla="*/ 1 h 25"/>
              <a:gd name="T18" fmla="*/ 87 w 465"/>
              <a:gd name="T19" fmla="*/ 1 h 25"/>
              <a:gd name="T20" fmla="*/ 86 w 465"/>
              <a:gd name="T21" fmla="*/ 0 h 25"/>
              <a:gd name="T22" fmla="*/ 86 w 465"/>
              <a:gd name="T23" fmla="*/ 3 h 25"/>
              <a:gd name="T24" fmla="*/ 87 w 465"/>
              <a:gd name="T25" fmla="*/ 3 h 25"/>
              <a:gd name="T26" fmla="*/ 87 w 465"/>
              <a:gd name="T27" fmla="*/ 2 h 25"/>
              <a:gd name="T28" fmla="*/ 87 w 465"/>
              <a:gd name="T29" fmla="*/ 0 h 25"/>
              <a:gd name="T30" fmla="*/ 87 w 465"/>
              <a:gd name="T31" fmla="*/ 0 h 25"/>
              <a:gd name="T32" fmla="*/ 0 w 465"/>
              <a:gd name="T33" fmla="*/ 0 h 25"/>
              <a:gd name="T34" fmla="*/ 0 w 465"/>
              <a:gd name="T35" fmla="*/ 6 h 25"/>
              <a:gd name="T36" fmla="*/ 95 w 465"/>
              <a:gd name="T37" fmla="*/ 6 h 25"/>
              <a:gd name="T38" fmla="*/ 95 w 465"/>
              <a:gd name="T39" fmla="*/ 6 h 25"/>
              <a:gd name="T40" fmla="*/ 95 w 465"/>
              <a:gd name="T41" fmla="*/ 4 h 25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65"/>
              <a:gd name="T64" fmla="*/ 0 h 25"/>
              <a:gd name="T65" fmla="*/ 465 w 465"/>
              <a:gd name="T66" fmla="*/ 25 h 25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65" h="25">
                <a:moveTo>
                  <a:pt x="465" y="15"/>
                </a:moveTo>
                <a:lnTo>
                  <a:pt x="465" y="13"/>
                </a:lnTo>
                <a:lnTo>
                  <a:pt x="461" y="13"/>
                </a:lnTo>
                <a:lnTo>
                  <a:pt x="461" y="23"/>
                </a:lnTo>
                <a:lnTo>
                  <a:pt x="463" y="21"/>
                </a:lnTo>
                <a:lnTo>
                  <a:pt x="2" y="21"/>
                </a:lnTo>
                <a:lnTo>
                  <a:pt x="4" y="23"/>
                </a:lnTo>
                <a:lnTo>
                  <a:pt x="4" y="2"/>
                </a:lnTo>
                <a:lnTo>
                  <a:pt x="2" y="4"/>
                </a:lnTo>
                <a:lnTo>
                  <a:pt x="424" y="4"/>
                </a:lnTo>
                <a:lnTo>
                  <a:pt x="422" y="2"/>
                </a:lnTo>
                <a:lnTo>
                  <a:pt x="422" y="11"/>
                </a:lnTo>
                <a:lnTo>
                  <a:pt x="426" y="11"/>
                </a:lnTo>
                <a:lnTo>
                  <a:pt x="426" y="9"/>
                </a:lnTo>
                <a:lnTo>
                  <a:pt x="426" y="2"/>
                </a:lnTo>
                <a:lnTo>
                  <a:pt x="426" y="0"/>
                </a:lnTo>
                <a:lnTo>
                  <a:pt x="0" y="0"/>
                </a:lnTo>
                <a:lnTo>
                  <a:pt x="0" y="25"/>
                </a:lnTo>
                <a:lnTo>
                  <a:pt x="465" y="25"/>
                </a:lnTo>
                <a:lnTo>
                  <a:pt x="465" y="23"/>
                </a:lnTo>
                <a:lnTo>
                  <a:pt x="465" y="15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0" name="Freeform 29"/>
          <xdr:cNvSpPr>
            <a:spLocks/>
          </xdr:cNvSpPr>
        </xdr:nvSpPr>
        <xdr:spPr bwMode="auto">
          <a:xfrm>
            <a:off x="324" y="2217"/>
            <a:ext cx="8" cy="2"/>
          </a:xfrm>
          <a:custGeom>
            <a:avLst/>
            <a:gdLst>
              <a:gd name="T0" fmla="*/ 8 w 37"/>
              <a:gd name="T1" fmla="*/ 2 h 4"/>
              <a:gd name="T2" fmla="*/ 8 w 37"/>
              <a:gd name="T3" fmla="*/ 2 h 4"/>
              <a:gd name="T4" fmla="*/ 8 w 37"/>
              <a:gd name="T5" fmla="*/ 0 h 4"/>
              <a:gd name="T6" fmla="*/ 0 w 37"/>
              <a:gd name="T7" fmla="*/ 0 h 4"/>
              <a:gd name="T8" fmla="*/ 0 w 37"/>
              <a:gd name="T9" fmla="*/ 2 h 4"/>
              <a:gd name="T10" fmla="*/ 0 w 37"/>
              <a:gd name="T11" fmla="*/ 2 h 4"/>
              <a:gd name="T12" fmla="*/ 8 w 37"/>
              <a:gd name="T13" fmla="*/ 2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7"/>
              <a:gd name="T22" fmla="*/ 0 h 4"/>
              <a:gd name="T23" fmla="*/ 37 w 37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7" h="4">
                <a:moveTo>
                  <a:pt x="35" y="4"/>
                </a:moveTo>
                <a:lnTo>
                  <a:pt x="37" y="4"/>
                </a:lnTo>
                <a:lnTo>
                  <a:pt x="37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35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1" name="Freeform 30"/>
          <xdr:cNvSpPr>
            <a:spLocks/>
          </xdr:cNvSpPr>
        </xdr:nvSpPr>
        <xdr:spPr bwMode="auto">
          <a:xfrm>
            <a:off x="323" y="2216"/>
            <a:ext cx="3" cy="3"/>
          </a:xfrm>
          <a:custGeom>
            <a:avLst/>
            <a:gdLst>
              <a:gd name="T0" fmla="*/ 2 w 12"/>
              <a:gd name="T1" fmla="*/ 1 h 9"/>
              <a:gd name="T2" fmla="*/ 2 w 12"/>
              <a:gd name="T3" fmla="*/ 0 h 9"/>
              <a:gd name="T4" fmla="*/ 1 w 12"/>
              <a:gd name="T5" fmla="*/ 0 h 9"/>
              <a:gd name="T6" fmla="*/ 1 w 12"/>
              <a:gd name="T7" fmla="*/ 0 h 9"/>
              <a:gd name="T8" fmla="*/ 0 w 12"/>
              <a:gd name="T9" fmla="*/ 0 h 9"/>
              <a:gd name="T10" fmla="*/ 1 w 12"/>
              <a:gd name="T11" fmla="*/ 1 h 9"/>
              <a:gd name="T12" fmla="*/ 1 w 12"/>
              <a:gd name="T13" fmla="*/ 2 h 9"/>
              <a:gd name="T14" fmla="*/ 2 w 12"/>
              <a:gd name="T15" fmla="*/ 2 h 9"/>
              <a:gd name="T16" fmla="*/ 2 w 12"/>
              <a:gd name="T17" fmla="*/ 2 h 9"/>
              <a:gd name="T18" fmla="*/ 2 w 12"/>
              <a:gd name="T19" fmla="*/ 0 h 9"/>
              <a:gd name="T20" fmla="*/ 1 w 12"/>
              <a:gd name="T21" fmla="*/ 3 h 9"/>
              <a:gd name="T22" fmla="*/ 3 w 12"/>
              <a:gd name="T23" fmla="*/ 3 h 9"/>
              <a:gd name="T24" fmla="*/ 3 w 12"/>
              <a:gd name="T25" fmla="*/ 2 h 9"/>
              <a:gd name="T26" fmla="*/ 3 w 12"/>
              <a:gd name="T27" fmla="*/ 2 h 9"/>
              <a:gd name="T28" fmla="*/ 1 w 12"/>
              <a:gd name="T29" fmla="*/ 2 h 9"/>
              <a:gd name="T30" fmla="*/ 1 w 12"/>
              <a:gd name="T31" fmla="*/ 1 h 9"/>
              <a:gd name="T32" fmla="*/ 2 w 12"/>
              <a:gd name="T33" fmla="*/ 2 h 9"/>
              <a:gd name="T34" fmla="*/ 2 w 12"/>
              <a:gd name="T35" fmla="*/ 0 h 9"/>
              <a:gd name="T36" fmla="*/ 1 w 12"/>
              <a:gd name="T37" fmla="*/ 0 h 9"/>
              <a:gd name="T38" fmla="*/ 1 w 12"/>
              <a:gd name="T39" fmla="*/ 1 h 9"/>
              <a:gd name="T40" fmla="*/ 2 w 12"/>
              <a:gd name="T41" fmla="*/ 1 h 9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2"/>
              <a:gd name="T64" fmla="*/ 0 h 9"/>
              <a:gd name="T65" fmla="*/ 12 w 12"/>
              <a:gd name="T66" fmla="*/ 9 h 9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2" h="9">
                <a:moveTo>
                  <a:pt x="6" y="3"/>
                </a:moveTo>
                <a:lnTo>
                  <a:pt x="6" y="0"/>
                </a:lnTo>
                <a:lnTo>
                  <a:pt x="2" y="0"/>
                </a:lnTo>
                <a:lnTo>
                  <a:pt x="4" y="0"/>
                </a:lnTo>
                <a:lnTo>
                  <a:pt x="0" y="1"/>
                </a:lnTo>
                <a:lnTo>
                  <a:pt x="4" y="3"/>
                </a:lnTo>
                <a:lnTo>
                  <a:pt x="4" y="7"/>
                </a:lnTo>
                <a:lnTo>
                  <a:pt x="8" y="7"/>
                </a:lnTo>
                <a:lnTo>
                  <a:pt x="8" y="5"/>
                </a:lnTo>
                <a:lnTo>
                  <a:pt x="6" y="1"/>
                </a:lnTo>
                <a:lnTo>
                  <a:pt x="4" y="9"/>
                </a:lnTo>
                <a:lnTo>
                  <a:pt x="12" y="9"/>
                </a:lnTo>
                <a:lnTo>
                  <a:pt x="12" y="5"/>
                </a:lnTo>
                <a:lnTo>
                  <a:pt x="10" y="5"/>
                </a:lnTo>
                <a:lnTo>
                  <a:pt x="4" y="5"/>
                </a:lnTo>
                <a:lnTo>
                  <a:pt x="4" y="3"/>
                </a:lnTo>
                <a:lnTo>
                  <a:pt x="8" y="5"/>
                </a:lnTo>
                <a:lnTo>
                  <a:pt x="8" y="0"/>
                </a:lnTo>
                <a:lnTo>
                  <a:pt x="4" y="1"/>
                </a:lnTo>
                <a:lnTo>
                  <a:pt x="4" y="3"/>
                </a:lnTo>
                <a:lnTo>
                  <a:pt x="6" y="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2" name="Freeform 31"/>
          <xdr:cNvSpPr>
            <a:spLocks/>
          </xdr:cNvSpPr>
        </xdr:nvSpPr>
        <xdr:spPr bwMode="auto">
          <a:xfrm>
            <a:off x="352" y="2241"/>
            <a:ext cx="3" cy="6"/>
          </a:xfrm>
          <a:custGeom>
            <a:avLst/>
            <a:gdLst>
              <a:gd name="T0" fmla="*/ 3 w 17"/>
              <a:gd name="T1" fmla="*/ 2 h 23"/>
              <a:gd name="T2" fmla="*/ 3 w 17"/>
              <a:gd name="T3" fmla="*/ 1 h 23"/>
              <a:gd name="T4" fmla="*/ 3 w 17"/>
              <a:gd name="T5" fmla="*/ 1 h 23"/>
              <a:gd name="T6" fmla="*/ 2 w 17"/>
              <a:gd name="T7" fmla="*/ 0 h 23"/>
              <a:gd name="T8" fmla="*/ 1 w 17"/>
              <a:gd name="T9" fmla="*/ 0 h 23"/>
              <a:gd name="T10" fmla="*/ 1 w 17"/>
              <a:gd name="T11" fmla="*/ 1 h 23"/>
              <a:gd name="T12" fmla="*/ 1 w 17"/>
              <a:gd name="T13" fmla="*/ 1 h 23"/>
              <a:gd name="T14" fmla="*/ 2 w 17"/>
              <a:gd name="T15" fmla="*/ 0 h 23"/>
              <a:gd name="T16" fmla="*/ 1 w 17"/>
              <a:gd name="T17" fmla="*/ 1 h 23"/>
              <a:gd name="T18" fmla="*/ 1 w 17"/>
              <a:gd name="T19" fmla="*/ 4 h 23"/>
              <a:gd name="T20" fmla="*/ 1 w 17"/>
              <a:gd name="T21" fmla="*/ 4 h 23"/>
              <a:gd name="T22" fmla="*/ 1 w 17"/>
              <a:gd name="T23" fmla="*/ 3 h 23"/>
              <a:gd name="T24" fmla="*/ 1 w 17"/>
              <a:gd name="T25" fmla="*/ 4 h 23"/>
              <a:gd name="T26" fmla="*/ 2 w 17"/>
              <a:gd name="T27" fmla="*/ 2 h 23"/>
              <a:gd name="T28" fmla="*/ 1 w 17"/>
              <a:gd name="T29" fmla="*/ 2 h 23"/>
              <a:gd name="T30" fmla="*/ 1 w 17"/>
              <a:gd name="T31" fmla="*/ 3 h 23"/>
              <a:gd name="T32" fmla="*/ 0 w 17"/>
              <a:gd name="T33" fmla="*/ 3 h 23"/>
              <a:gd name="T34" fmla="*/ 0 w 17"/>
              <a:gd name="T35" fmla="*/ 4 h 23"/>
              <a:gd name="T36" fmla="*/ 1 w 17"/>
              <a:gd name="T37" fmla="*/ 6 h 23"/>
              <a:gd name="T38" fmla="*/ 2 w 17"/>
              <a:gd name="T39" fmla="*/ 6 h 23"/>
              <a:gd name="T40" fmla="*/ 2 w 17"/>
              <a:gd name="T41" fmla="*/ 5 h 23"/>
              <a:gd name="T42" fmla="*/ 2 w 17"/>
              <a:gd name="T43" fmla="*/ 5 h 23"/>
              <a:gd name="T44" fmla="*/ 2 w 17"/>
              <a:gd name="T45" fmla="*/ 3 h 23"/>
              <a:gd name="T46" fmla="*/ 2 w 17"/>
              <a:gd name="T47" fmla="*/ 3 h 23"/>
              <a:gd name="T48" fmla="*/ 2 w 17"/>
              <a:gd name="T49" fmla="*/ 3 h 23"/>
              <a:gd name="T50" fmla="*/ 1 w 17"/>
              <a:gd name="T51" fmla="*/ 3 h 23"/>
              <a:gd name="T52" fmla="*/ 2 w 17"/>
              <a:gd name="T53" fmla="*/ 4 h 23"/>
              <a:gd name="T54" fmla="*/ 2 w 17"/>
              <a:gd name="T55" fmla="*/ 5 h 23"/>
              <a:gd name="T56" fmla="*/ 2 w 17"/>
              <a:gd name="T57" fmla="*/ 5 h 23"/>
              <a:gd name="T58" fmla="*/ 2 w 17"/>
              <a:gd name="T59" fmla="*/ 4 h 23"/>
              <a:gd name="T60" fmla="*/ 2 w 17"/>
              <a:gd name="T61" fmla="*/ 5 h 23"/>
              <a:gd name="T62" fmla="*/ 2 w 17"/>
              <a:gd name="T63" fmla="*/ 5 h 23"/>
              <a:gd name="T64" fmla="*/ 3 w 17"/>
              <a:gd name="T65" fmla="*/ 4 h 23"/>
              <a:gd name="T66" fmla="*/ 3 w 17"/>
              <a:gd name="T67" fmla="*/ 4 h 23"/>
              <a:gd name="T68" fmla="*/ 3 w 17"/>
              <a:gd name="T69" fmla="*/ 3 h 23"/>
              <a:gd name="T70" fmla="*/ 3 w 17"/>
              <a:gd name="T71" fmla="*/ 3 h 23"/>
              <a:gd name="T72" fmla="*/ 3 w 17"/>
              <a:gd name="T73" fmla="*/ 2 h 23"/>
              <a:gd name="T74" fmla="*/ 2 w 17"/>
              <a:gd name="T75" fmla="*/ 2 h 23"/>
              <a:gd name="T76" fmla="*/ 2 w 17"/>
              <a:gd name="T77" fmla="*/ 2 h 23"/>
              <a:gd name="T78" fmla="*/ 2 w 17"/>
              <a:gd name="T79" fmla="*/ 3 h 23"/>
              <a:gd name="T80" fmla="*/ 3 w 17"/>
              <a:gd name="T81" fmla="*/ 2 h 23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17"/>
              <a:gd name="T124" fmla="*/ 0 h 23"/>
              <a:gd name="T125" fmla="*/ 17 w 17"/>
              <a:gd name="T126" fmla="*/ 23 h 23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17" h="23">
                <a:moveTo>
                  <a:pt x="17" y="7"/>
                </a:moveTo>
                <a:lnTo>
                  <a:pt x="17" y="2"/>
                </a:lnTo>
                <a:lnTo>
                  <a:pt x="15" y="2"/>
                </a:lnTo>
                <a:lnTo>
                  <a:pt x="13" y="0"/>
                </a:lnTo>
                <a:lnTo>
                  <a:pt x="7" y="0"/>
                </a:lnTo>
                <a:lnTo>
                  <a:pt x="7" y="2"/>
                </a:lnTo>
                <a:lnTo>
                  <a:pt x="6" y="3"/>
                </a:lnTo>
                <a:lnTo>
                  <a:pt x="11" y="0"/>
                </a:lnTo>
                <a:lnTo>
                  <a:pt x="6" y="2"/>
                </a:lnTo>
                <a:lnTo>
                  <a:pt x="6" y="15"/>
                </a:lnTo>
                <a:lnTo>
                  <a:pt x="7" y="15"/>
                </a:lnTo>
                <a:lnTo>
                  <a:pt x="6" y="13"/>
                </a:lnTo>
                <a:lnTo>
                  <a:pt x="6" y="15"/>
                </a:lnTo>
                <a:lnTo>
                  <a:pt x="11" y="7"/>
                </a:lnTo>
                <a:lnTo>
                  <a:pt x="4" y="9"/>
                </a:lnTo>
                <a:lnTo>
                  <a:pt x="4" y="11"/>
                </a:lnTo>
                <a:lnTo>
                  <a:pt x="2" y="11"/>
                </a:lnTo>
                <a:lnTo>
                  <a:pt x="0" y="17"/>
                </a:lnTo>
                <a:lnTo>
                  <a:pt x="6" y="23"/>
                </a:lnTo>
                <a:lnTo>
                  <a:pt x="9" y="23"/>
                </a:lnTo>
                <a:lnTo>
                  <a:pt x="9" y="21"/>
                </a:lnTo>
                <a:lnTo>
                  <a:pt x="11" y="21"/>
                </a:lnTo>
                <a:lnTo>
                  <a:pt x="11" y="13"/>
                </a:lnTo>
                <a:lnTo>
                  <a:pt x="9" y="13"/>
                </a:lnTo>
                <a:lnTo>
                  <a:pt x="9" y="11"/>
                </a:lnTo>
                <a:lnTo>
                  <a:pt x="6" y="11"/>
                </a:lnTo>
                <a:lnTo>
                  <a:pt x="11" y="17"/>
                </a:lnTo>
                <a:lnTo>
                  <a:pt x="9" y="19"/>
                </a:lnTo>
                <a:lnTo>
                  <a:pt x="11" y="19"/>
                </a:lnTo>
                <a:lnTo>
                  <a:pt x="11" y="17"/>
                </a:lnTo>
                <a:lnTo>
                  <a:pt x="11" y="19"/>
                </a:lnTo>
                <a:lnTo>
                  <a:pt x="13" y="19"/>
                </a:lnTo>
                <a:lnTo>
                  <a:pt x="15" y="17"/>
                </a:lnTo>
                <a:lnTo>
                  <a:pt x="17" y="17"/>
                </a:lnTo>
                <a:lnTo>
                  <a:pt x="17" y="11"/>
                </a:lnTo>
                <a:lnTo>
                  <a:pt x="17" y="13"/>
                </a:lnTo>
                <a:lnTo>
                  <a:pt x="15" y="7"/>
                </a:lnTo>
                <a:lnTo>
                  <a:pt x="13" y="7"/>
                </a:lnTo>
                <a:lnTo>
                  <a:pt x="13" y="9"/>
                </a:lnTo>
                <a:lnTo>
                  <a:pt x="11" y="11"/>
                </a:lnTo>
                <a:lnTo>
                  <a:pt x="17" y="7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" name="Freeform 32"/>
          <xdr:cNvSpPr>
            <a:spLocks/>
          </xdr:cNvSpPr>
        </xdr:nvSpPr>
        <xdr:spPr bwMode="auto">
          <a:xfrm>
            <a:off x="329" y="2241"/>
            <a:ext cx="4" cy="6"/>
          </a:xfrm>
          <a:custGeom>
            <a:avLst/>
            <a:gdLst>
              <a:gd name="T0" fmla="*/ 2 w 18"/>
              <a:gd name="T1" fmla="*/ 2 h 23"/>
              <a:gd name="T2" fmla="*/ 3 w 18"/>
              <a:gd name="T3" fmla="*/ 2 h 23"/>
              <a:gd name="T4" fmla="*/ 3 w 18"/>
              <a:gd name="T5" fmla="*/ 1 h 23"/>
              <a:gd name="T6" fmla="*/ 2 w 18"/>
              <a:gd name="T7" fmla="*/ 1 h 23"/>
              <a:gd name="T8" fmla="*/ 2 w 18"/>
              <a:gd name="T9" fmla="*/ 0 h 23"/>
              <a:gd name="T10" fmla="*/ 0 w 18"/>
              <a:gd name="T11" fmla="*/ 0 h 23"/>
              <a:gd name="T12" fmla="*/ 0 w 18"/>
              <a:gd name="T13" fmla="*/ 1 h 23"/>
              <a:gd name="T14" fmla="*/ 1 w 18"/>
              <a:gd name="T15" fmla="*/ 0 h 23"/>
              <a:gd name="T16" fmla="*/ 0 w 18"/>
              <a:gd name="T17" fmla="*/ 1 h 23"/>
              <a:gd name="T18" fmla="*/ 0 w 18"/>
              <a:gd name="T19" fmla="*/ 3 h 23"/>
              <a:gd name="T20" fmla="*/ 0 w 18"/>
              <a:gd name="T21" fmla="*/ 3 h 23"/>
              <a:gd name="T22" fmla="*/ 0 w 18"/>
              <a:gd name="T23" fmla="*/ 3 h 23"/>
              <a:gd name="T24" fmla="*/ 1 w 18"/>
              <a:gd name="T25" fmla="*/ 3 h 23"/>
              <a:gd name="T26" fmla="*/ 0 w 18"/>
              <a:gd name="T27" fmla="*/ 3 h 23"/>
              <a:gd name="T28" fmla="*/ 0 w 18"/>
              <a:gd name="T29" fmla="*/ 3 h 23"/>
              <a:gd name="T30" fmla="*/ 0 w 18"/>
              <a:gd name="T31" fmla="*/ 4 h 23"/>
              <a:gd name="T32" fmla="*/ 1 w 18"/>
              <a:gd name="T33" fmla="*/ 4 h 23"/>
              <a:gd name="T34" fmla="*/ 1 w 18"/>
              <a:gd name="T35" fmla="*/ 5 h 23"/>
              <a:gd name="T36" fmla="*/ 2 w 18"/>
              <a:gd name="T37" fmla="*/ 5 h 23"/>
              <a:gd name="T38" fmla="*/ 0 w 18"/>
              <a:gd name="T39" fmla="*/ 3 h 23"/>
              <a:gd name="T40" fmla="*/ 0 w 18"/>
              <a:gd name="T41" fmla="*/ 4 h 23"/>
              <a:gd name="T42" fmla="*/ 2 w 18"/>
              <a:gd name="T43" fmla="*/ 6 h 23"/>
              <a:gd name="T44" fmla="*/ 4 w 18"/>
              <a:gd name="T45" fmla="*/ 6 h 23"/>
              <a:gd name="T46" fmla="*/ 4 w 18"/>
              <a:gd name="T47" fmla="*/ 5 h 23"/>
              <a:gd name="T48" fmla="*/ 4 w 18"/>
              <a:gd name="T49" fmla="*/ 5 h 23"/>
              <a:gd name="T50" fmla="*/ 4 w 18"/>
              <a:gd name="T51" fmla="*/ 3 h 23"/>
              <a:gd name="T52" fmla="*/ 4 w 18"/>
              <a:gd name="T53" fmla="*/ 3 h 23"/>
              <a:gd name="T54" fmla="*/ 4 w 18"/>
              <a:gd name="T55" fmla="*/ 3 h 23"/>
              <a:gd name="T56" fmla="*/ 3 w 18"/>
              <a:gd name="T57" fmla="*/ 3 h 23"/>
              <a:gd name="T58" fmla="*/ 3 w 18"/>
              <a:gd name="T59" fmla="*/ 3 h 23"/>
              <a:gd name="T60" fmla="*/ 2 w 18"/>
              <a:gd name="T61" fmla="*/ 2 h 23"/>
              <a:gd name="T62" fmla="*/ 3 w 18"/>
              <a:gd name="T63" fmla="*/ 4 h 23"/>
              <a:gd name="T64" fmla="*/ 3 w 18"/>
              <a:gd name="T65" fmla="*/ 3 h 23"/>
              <a:gd name="T66" fmla="*/ 3 w 18"/>
              <a:gd name="T67" fmla="*/ 1 h 23"/>
              <a:gd name="T68" fmla="*/ 2 w 18"/>
              <a:gd name="T69" fmla="*/ 1 h 23"/>
              <a:gd name="T70" fmla="*/ 2 w 18"/>
              <a:gd name="T71" fmla="*/ 1 h 23"/>
              <a:gd name="T72" fmla="*/ 2 w 18"/>
              <a:gd name="T73" fmla="*/ 1 h 23"/>
              <a:gd name="T74" fmla="*/ 2 w 18"/>
              <a:gd name="T75" fmla="*/ 2 h 23"/>
              <a:gd name="T76" fmla="*/ 1 w 18"/>
              <a:gd name="T77" fmla="*/ 3 h 23"/>
              <a:gd name="T78" fmla="*/ 2 w 18"/>
              <a:gd name="T79" fmla="*/ 2 h 23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18"/>
              <a:gd name="T121" fmla="*/ 0 h 23"/>
              <a:gd name="T122" fmla="*/ 18 w 18"/>
              <a:gd name="T123" fmla="*/ 23 h 23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18" h="23">
                <a:moveTo>
                  <a:pt x="10" y="9"/>
                </a:moveTo>
                <a:lnTo>
                  <a:pt x="12" y="9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6" y="0"/>
                </a:lnTo>
                <a:lnTo>
                  <a:pt x="0" y="2"/>
                </a:lnTo>
                <a:lnTo>
                  <a:pt x="0" y="11"/>
                </a:lnTo>
                <a:lnTo>
                  <a:pt x="2" y="11"/>
                </a:lnTo>
                <a:lnTo>
                  <a:pt x="2" y="13"/>
                </a:lnTo>
                <a:lnTo>
                  <a:pt x="4" y="13"/>
                </a:lnTo>
                <a:lnTo>
                  <a:pt x="2" y="13"/>
                </a:lnTo>
                <a:lnTo>
                  <a:pt x="2" y="11"/>
                </a:lnTo>
                <a:lnTo>
                  <a:pt x="2" y="17"/>
                </a:lnTo>
                <a:lnTo>
                  <a:pt x="4" y="17"/>
                </a:lnTo>
                <a:lnTo>
                  <a:pt x="6" y="19"/>
                </a:lnTo>
                <a:lnTo>
                  <a:pt x="8" y="19"/>
                </a:lnTo>
                <a:lnTo>
                  <a:pt x="2" y="13"/>
                </a:lnTo>
                <a:lnTo>
                  <a:pt x="2" y="17"/>
                </a:lnTo>
                <a:lnTo>
                  <a:pt x="8" y="23"/>
                </a:lnTo>
                <a:lnTo>
                  <a:pt x="16" y="23"/>
                </a:lnTo>
                <a:lnTo>
                  <a:pt x="16" y="21"/>
                </a:lnTo>
                <a:lnTo>
                  <a:pt x="18" y="21"/>
                </a:lnTo>
                <a:lnTo>
                  <a:pt x="18" y="13"/>
                </a:lnTo>
                <a:lnTo>
                  <a:pt x="16" y="13"/>
                </a:lnTo>
                <a:lnTo>
                  <a:pt x="16" y="11"/>
                </a:lnTo>
                <a:lnTo>
                  <a:pt x="12" y="11"/>
                </a:lnTo>
                <a:lnTo>
                  <a:pt x="14" y="13"/>
                </a:lnTo>
                <a:lnTo>
                  <a:pt x="8" y="7"/>
                </a:lnTo>
                <a:lnTo>
                  <a:pt x="14" y="15"/>
                </a:lnTo>
                <a:lnTo>
                  <a:pt x="14" y="13"/>
                </a:lnTo>
                <a:lnTo>
                  <a:pt x="12" y="5"/>
                </a:lnTo>
                <a:lnTo>
                  <a:pt x="10" y="5"/>
                </a:lnTo>
                <a:lnTo>
                  <a:pt x="10" y="3"/>
                </a:lnTo>
                <a:lnTo>
                  <a:pt x="8" y="3"/>
                </a:lnTo>
                <a:lnTo>
                  <a:pt x="8" y="9"/>
                </a:lnTo>
                <a:lnTo>
                  <a:pt x="6" y="11"/>
                </a:lnTo>
                <a:lnTo>
                  <a:pt x="10" y="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4" name="Freeform 33"/>
          <xdr:cNvSpPr>
            <a:spLocks/>
          </xdr:cNvSpPr>
        </xdr:nvSpPr>
        <xdr:spPr bwMode="auto">
          <a:xfrm>
            <a:off x="329" y="2212"/>
            <a:ext cx="4" cy="4"/>
          </a:xfrm>
          <a:custGeom>
            <a:avLst/>
            <a:gdLst>
              <a:gd name="T0" fmla="*/ 1 w 18"/>
              <a:gd name="T1" fmla="*/ 1 h 16"/>
              <a:gd name="T2" fmla="*/ 1 w 18"/>
              <a:gd name="T3" fmla="*/ 0 h 16"/>
              <a:gd name="T4" fmla="*/ 0 w 18"/>
              <a:gd name="T5" fmla="*/ 0 h 16"/>
              <a:gd name="T6" fmla="*/ 0 w 18"/>
              <a:gd name="T7" fmla="*/ 2 h 16"/>
              <a:gd name="T8" fmla="*/ 0 w 18"/>
              <a:gd name="T9" fmla="*/ 2 h 16"/>
              <a:gd name="T10" fmla="*/ 0 w 18"/>
              <a:gd name="T11" fmla="*/ 3 h 16"/>
              <a:gd name="T12" fmla="*/ 1 w 18"/>
              <a:gd name="T13" fmla="*/ 3 h 16"/>
              <a:gd name="T14" fmla="*/ 1 w 18"/>
              <a:gd name="T15" fmla="*/ 3 h 16"/>
              <a:gd name="T16" fmla="*/ 2 w 18"/>
              <a:gd name="T17" fmla="*/ 3 h 16"/>
              <a:gd name="T18" fmla="*/ 1 w 18"/>
              <a:gd name="T19" fmla="*/ 2 h 16"/>
              <a:gd name="T20" fmla="*/ 2 w 18"/>
              <a:gd name="T21" fmla="*/ 3 h 16"/>
              <a:gd name="T22" fmla="*/ 3 w 18"/>
              <a:gd name="T23" fmla="*/ 3 h 16"/>
              <a:gd name="T24" fmla="*/ 3 w 18"/>
              <a:gd name="T25" fmla="*/ 4 h 16"/>
              <a:gd name="T26" fmla="*/ 4 w 18"/>
              <a:gd name="T27" fmla="*/ 4 h 16"/>
              <a:gd name="T28" fmla="*/ 4 w 18"/>
              <a:gd name="T29" fmla="*/ 3 h 16"/>
              <a:gd name="T30" fmla="*/ 4 w 18"/>
              <a:gd name="T31" fmla="*/ 2 h 16"/>
              <a:gd name="T32" fmla="*/ 2 w 18"/>
              <a:gd name="T33" fmla="*/ 2 h 16"/>
              <a:gd name="T34" fmla="*/ 2 w 18"/>
              <a:gd name="T35" fmla="*/ 3 h 16"/>
              <a:gd name="T36" fmla="*/ 2 w 18"/>
              <a:gd name="T37" fmla="*/ 2 h 16"/>
              <a:gd name="T38" fmla="*/ 2 w 18"/>
              <a:gd name="T39" fmla="*/ 2 h 16"/>
              <a:gd name="T40" fmla="*/ 2 w 18"/>
              <a:gd name="T41" fmla="*/ 2 h 16"/>
              <a:gd name="T42" fmla="*/ 1 w 18"/>
              <a:gd name="T43" fmla="*/ 2 h 16"/>
              <a:gd name="T44" fmla="*/ 1 w 18"/>
              <a:gd name="T45" fmla="*/ 1 h 16"/>
              <a:gd name="T46" fmla="*/ 1 w 18"/>
              <a:gd name="T47" fmla="*/ 1 h 16"/>
              <a:gd name="T48" fmla="*/ 1 w 18"/>
              <a:gd name="T49" fmla="*/ 1 h 1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8"/>
              <a:gd name="T76" fmla="*/ 0 h 16"/>
              <a:gd name="T77" fmla="*/ 18 w 18"/>
              <a:gd name="T78" fmla="*/ 16 h 1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8" h="16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2" y="8"/>
                </a:lnTo>
                <a:lnTo>
                  <a:pt x="2" y="12"/>
                </a:lnTo>
                <a:lnTo>
                  <a:pt x="4" y="12"/>
                </a:lnTo>
                <a:lnTo>
                  <a:pt x="4" y="14"/>
                </a:lnTo>
                <a:lnTo>
                  <a:pt x="8" y="14"/>
                </a:lnTo>
                <a:lnTo>
                  <a:pt x="6" y="10"/>
                </a:lnTo>
                <a:lnTo>
                  <a:pt x="8" y="14"/>
                </a:lnTo>
                <a:lnTo>
                  <a:pt x="14" y="14"/>
                </a:lnTo>
                <a:lnTo>
                  <a:pt x="14" y="16"/>
                </a:lnTo>
                <a:lnTo>
                  <a:pt x="18" y="16"/>
                </a:lnTo>
                <a:lnTo>
                  <a:pt x="18" y="14"/>
                </a:lnTo>
                <a:lnTo>
                  <a:pt x="18" y="10"/>
                </a:lnTo>
                <a:lnTo>
                  <a:pt x="8" y="10"/>
                </a:lnTo>
                <a:lnTo>
                  <a:pt x="10" y="14"/>
                </a:lnTo>
                <a:lnTo>
                  <a:pt x="10" y="10"/>
                </a:lnTo>
                <a:lnTo>
                  <a:pt x="8" y="10"/>
                </a:lnTo>
                <a:lnTo>
                  <a:pt x="8" y="8"/>
                </a:lnTo>
                <a:lnTo>
                  <a:pt x="6" y="8"/>
                </a:lnTo>
                <a:lnTo>
                  <a:pt x="6" y="4"/>
                </a:lnTo>
                <a:lnTo>
                  <a:pt x="4" y="4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5" name="Freeform 34"/>
          <xdr:cNvSpPr>
            <a:spLocks/>
          </xdr:cNvSpPr>
        </xdr:nvSpPr>
        <xdr:spPr bwMode="auto">
          <a:xfrm>
            <a:off x="323" y="2210"/>
            <a:ext cx="3" cy="3"/>
          </a:xfrm>
          <a:custGeom>
            <a:avLst/>
            <a:gdLst>
              <a:gd name="T0" fmla="*/ 1 w 12"/>
              <a:gd name="T1" fmla="*/ 0 h 12"/>
              <a:gd name="T2" fmla="*/ 0 w 12"/>
              <a:gd name="T3" fmla="*/ 0 h 12"/>
              <a:gd name="T4" fmla="*/ 0 w 12"/>
              <a:gd name="T5" fmla="*/ 1 h 12"/>
              <a:gd name="T6" fmla="*/ 1 w 12"/>
              <a:gd name="T7" fmla="*/ 1 h 12"/>
              <a:gd name="T8" fmla="*/ 0 w 12"/>
              <a:gd name="T9" fmla="*/ 1 h 12"/>
              <a:gd name="T10" fmla="*/ 0 w 12"/>
              <a:gd name="T11" fmla="*/ 2 h 12"/>
              <a:gd name="T12" fmla="*/ 1 w 12"/>
              <a:gd name="T13" fmla="*/ 3 h 12"/>
              <a:gd name="T14" fmla="*/ 1 w 12"/>
              <a:gd name="T15" fmla="*/ 2 h 12"/>
              <a:gd name="T16" fmla="*/ 1 w 12"/>
              <a:gd name="T17" fmla="*/ 3 h 12"/>
              <a:gd name="T18" fmla="*/ 2 w 12"/>
              <a:gd name="T19" fmla="*/ 3 h 12"/>
              <a:gd name="T20" fmla="*/ 2 w 12"/>
              <a:gd name="T21" fmla="*/ 3 h 12"/>
              <a:gd name="T22" fmla="*/ 3 w 12"/>
              <a:gd name="T23" fmla="*/ 3 h 12"/>
              <a:gd name="T24" fmla="*/ 3 w 12"/>
              <a:gd name="T25" fmla="*/ 2 h 12"/>
              <a:gd name="T26" fmla="*/ 3 w 12"/>
              <a:gd name="T27" fmla="*/ 2 h 12"/>
              <a:gd name="T28" fmla="*/ 3 w 12"/>
              <a:gd name="T29" fmla="*/ 2 h 12"/>
              <a:gd name="T30" fmla="*/ 1 w 12"/>
              <a:gd name="T31" fmla="*/ 2 h 12"/>
              <a:gd name="T32" fmla="*/ 2 w 12"/>
              <a:gd name="T33" fmla="*/ 2 h 12"/>
              <a:gd name="T34" fmla="*/ 2 w 12"/>
              <a:gd name="T35" fmla="*/ 2 h 12"/>
              <a:gd name="T36" fmla="*/ 1 w 12"/>
              <a:gd name="T37" fmla="*/ 2 h 12"/>
              <a:gd name="T38" fmla="*/ 1 w 12"/>
              <a:gd name="T39" fmla="*/ 1 h 12"/>
              <a:gd name="T40" fmla="*/ 1 w 12"/>
              <a:gd name="T41" fmla="*/ 0 h 12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2"/>
              <a:gd name="T64" fmla="*/ 0 h 12"/>
              <a:gd name="T65" fmla="*/ 12 w 12"/>
              <a:gd name="T66" fmla="*/ 12 h 12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2" h="12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0" y="2"/>
                </a:lnTo>
                <a:lnTo>
                  <a:pt x="0" y="6"/>
                </a:lnTo>
                <a:lnTo>
                  <a:pt x="2" y="10"/>
                </a:lnTo>
                <a:lnTo>
                  <a:pt x="2" y="8"/>
                </a:lnTo>
                <a:lnTo>
                  <a:pt x="4" y="10"/>
                </a:lnTo>
                <a:lnTo>
                  <a:pt x="6" y="10"/>
                </a:lnTo>
                <a:lnTo>
                  <a:pt x="6" y="12"/>
                </a:lnTo>
                <a:lnTo>
                  <a:pt x="12" y="12"/>
                </a:lnTo>
                <a:lnTo>
                  <a:pt x="12" y="8"/>
                </a:lnTo>
                <a:lnTo>
                  <a:pt x="10" y="8"/>
                </a:lnTo>
                <a:lnTo>
                  <a:pt x="10" y="6"/>
                </a:lnTo>
                <a:lnTo>
                  <a:pt x="4" y="6"/>
                </a:lnTo>
                <a:lnTo>
                  <a:pt x="6" y="8"/>
                </a:lnTo>
                <a:lnTo>
                  <a:pt x="6" y="6"/>
                </a:lnTo>
                <a:lnTo>
                  <a:pt x="4" y="6"/>
                </a:lnTo>
                <a:lnTo>
                  <a:pt x="4" y="2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6" name="Freeform 35"/>
          <xdr:cNvSpPr>
            <a:spLocks/>
          </xdr:cNvSpPr>
        </xdr:nvSpPr>
        <xdr:spPr bwMode="auto">
          <a:xfrm>
            <a:off x="323" y="2205"/>
            <a:ext cx="3" cy="1"/>
          </a:xfrm>
          <a:custGeom>
            <a:avLst/>
            <a:gdLst>
              <a:gd name="T0" fmla="*/ 0 w 12"/>
              <a:gd name="T1" fmla="*/ 1 h 12"/>
              <a:gd name="T2" fmla="*/ 0 w 12"/>
              <a:gd name="T3" fmla="*/ 1 h 12"/>
              <a:gd name="T4" fmla="*/ 1 w 12"/>
              <a:gd name="T5" fmla="*/ 1 h 12"/>
              <a:gd name="T6" fmla="*/ 1 w 12"/>
              <a:gd name="T7" fmla="*/ 1 h 12"/>
              <a:gd name="T8" fmla="*/ 2 w 12"/>
              <a:gd name="T9" fmla="*/ 1 h 12"/>
              <a:gd name="T10" fmla="*/ 1 w 12"/>
              <a:gd name="T11" fmla="*/ 1 h 12"/>
              <a:gd name="T12" fmla="*/ 2 w 12"/>
              <a:gd name="T13" fmla="*/ 1 h 12"/>
              <a:gd name="T14" fmla="*/ 2 w 12"/>
              <a:gd name="T15" fmla="*/ 0 h 12"/>
              <a:gd name="T16" fmla="*/ 2 w 12"/>
              <a:gd name="T17" fmla="*/ 1 h 12"/>
              <a:gd name="T18" fmla="*/ 3 w 12"/>
              <a:gd name="T19" fmla="*/ 1 h 12"/>
              <a:gd name="T20" fmla="*/ 3 w 12"/>
              <a:gd name="T21" fmla="*/ 0 h 12"/>
              <a:gd name="T22" fmla="*/ 2 w 12"/>
              <a:gd name="T23" fmla="*/ 0 h 12"/>
              <a:gd name="T24" fmla="*/ 1 w 12"/>
              <a:gd name="T25" fmla="*/ 0 h 12"/>
              <a:gd name="T26" fmla="*/ 1 w 12"/>
              <a:gd name="T27" fmla="*/ 0 h 12"/>
              <a:gd name="T28" fmla="*/ 1 w 12"/>
              <a:gd name="T29" fmla="*/ 0 h 12"/>
              <a:gd name="T30" fmla="*/ 1 w 12"/>
              <a:gd name="T31" fmla="*/ 1 h 12"/>
              <a:gd name="T32" fmla="*/ 2 w 12"/>
              <a:gd name="T33" fmla="*/ 1 h 12"/>
              <a:gd name="T34" fmla="*/ 2 w 12"/>
              <a:gd name="T35" fmla="*/ 0 h 12"/>
              <a:gd name="T36" fmla="*/ 1 w 12"/>
              <a:gd name="T37" fmla="*/ 0 h 12"/>
              <a:gd name="T38" fmla="*/ 1 w 12"/>
              <a:gd name="T39" fmla="*/ 0 h 12"/>
              <a:gd name="T40" fmla="*/ 0 w 12"/>
              <a:gd name="T41" fmla="*/ 0 h 12"/>
              <a:gd name="T42" fmla="*/ 0 w 12"/>
              <a:gd name="T43" fmla="*/ 1 h 12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"/>
              <a:gd name="T67" fmla="*/ 0 h 12"/>
              <a:gd name="T68" fmla="*/ 12 w 12"/>
              <a:gd name="T69" fmla="*/ 12 h 12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" h="12">
                <a:moveTo>
                  <a:pt x="0" y="10"/>
                </a:moveTo>
                <a:lnTo>
                  <a:pt x="0" y="12"/>
                </a:lnTo>
                <a:lnTo>
                  <a:pt x="4" y="12"/>
                </a:lnTo>
                <a:lnTo>
                  <a:pt x="4" y="8"/>
                </a:lnTo>
                <a:lnTo>
                  <a:pt x="6" y="8"/>
                </a:lnTo>
                <a:lnTo>
                  <a:pt x="2" y="6"/>
                </a:lnTo>
                <a:lnTo>
                  <a:pt x="8" y="6"/>
                </a:lnTo>
                <a:lnTo>
                  <a:pt x="8" y="4"/>
                </a:lnTo>
                <a:lnTo>
                  <a:pt x="8" y="6"/>
                </a:lnTo>
                <a:lnTo>
                  <a:pt x="12" y="6"/>
                </a:lnTo>
                <a:lnTo>
                  <a:pt x="12" y="2"/>
                </a:lnTo>
                <a:lnTo>
                  <a:pt x="8" y="0"/>
                </a:lnTo>
                <a:lnTo>
                  <a:pt x="4" y="0"/>
                </a:lnTo>
                <a:lnTo>
                  <a:pt x="4" y="2"/>
                </a:lnTo>
                <a:lnTo>
                  <a:pt x="2" y="2"/>
                </a:lnTo>
                <a:lnTo>
                  <a:pt x="2" y="6"/>
                </a:lnTo>
                <a:lnTo>
                  <a:pt x="6" y="6"/>
                </a:lnTo>
                <a:lnTo>
                  <a:pt x="6" y="4"/>
                </a:lnTo>
                <a:lnTo>
                  <a:pt x="2" y="4"/>
                </a:lnTo>
                <a:lnTo>
                  <a:pt x="4" y="4"/>
                </a:lnTo>
                <a:lnTo>
                  <a:pt x="0" y="4"/>
                </a:lnTo>
                <a:lnTo>
                  <a:pt x="0" y="1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7" name="Freeform 36"/>
          <xdr:cNvSpPr>
            <a:spLocks/>
          </xdr:cNvSpPr>
        </xdr:nvSpPr>
        <xdr:spPr bwMode="auto">
          <a:xfrm>
            <a:off x="341" y="2199"/>
            <a:ext cx="3" cy="6"/>
          </a:xfrm>
          <a:custGeom>
            <a:avLst/>
            <a:gdLst>
              <a:gd name="T0" fmla="*/ 2 w 22"/>
              <a:gd name="T1" fmla="*/ 4 h 20"/>
              <a:gd name="T2" fmla="*/ 3 w 22"/>
              <a:gd name="T3" fmla="*/ 4 h 20"/>
              <a:gd name="T4" fmla="*/ 3 w 22"/>
              <a:gd name="T5" fmla="*/ 3 h 20"/>
              <a:gd name="T6" fmla="*/ 3 w 22"/>
              <a:gd name="T7" fmla="*/ 3 h 20"/>
              <a:gd name="T8" fmla="*/ 3 w 22"/>
              <a:gd name="T9" fmla="*/ 1 h 20"/>
              <a:gd name="T10" fmla="*/ 3 w 22"/>
              <a:gd name="T11" fmla="*/ 1 h 20"/>
              <a:gd name="T12" fmla="*/ 3 w 22"/>
              <a:gd name="T13" fmla="*/ 0 h 20"/>
              <a:gd name="T14" fmla="*/ 2 w 22"/>
              <a:gd name="T15" fmla="*/ 0 h 20"/>
              <a:gd name="T16" fmla="*/ 1 w 22"/>
              <a:gd name="T17" fmla="*/ 1 h 20"/>
              <a:gd name="T18" fmla="*/ 0 w 22"/>
              <a:gd name="T19" fmla="*/ 2 h 20"/>
              <a:gd name="T20" fmla="*/ 0 w 22"/>
              <a:gd name="T21" fmla="*/ 2 h 20"/>
              <a:gd name="T22" fmla="*/ 1 w 22"/>
              <a:gd name="T23" fmla="*/ 1 h 20"/>
              <a:gd name="T24" fmla="*/ 0 w 22"/>
              <a:gd name="T25" fmla="*/ 1 h 20"/>
              <a:gd name="T26" fmla="*/ 0 w 22"/>
              <a:gd name="T27" fmla="*/ 4 h 20"/>
              <a:gd name="T28" fmla="*/ 0 w 22"/>
              <a:gd name="T29" fmla="*/ 5 h 20"/>
              <a:gd name="T30" fmla="*/ 0 w 22"/>
              <a:gd name="T31" fmla="*/ 5 h 20"/>
              <a:gd name="T32" fmla="*/ 0 w 22"/>
              <a:gd name="T33" fmla="*/ 6 h 20"/>
              <a:gd name="T34" fmla="*/ 1 w 22"/>
              <a:gd name="T35" fmla="*/ 6 h 20"/>
              <a:gd name="T36" fmla="*/ 1 w 22"/>
              <a:gd name="T37" fmla="*/ 5 h 20"/>
              <a:gd name="T38" fmla="*/ 2 w 22"/>
              <a:gd name="T39" fmla="*/ 5 h 20"/>
              <a:gd name="T40" fmla="*/ 2 w 22"/>
              <a:gd name="T41" fmla="*/ 4 h 20"/>
              <a:gd name="T42" fmla="*/ 1 w 22"/>
              <a:gd name="T43" fmla="*/ 4 h 20"/>
              <a:gd name="T44" fmla="*/ 1 w 22"/>
              <a:gd name="T45" fmla="*/ 4 h 20"/>
              <a:gd name="T46" fmla="*/ 2 w 22"/>
              <a:gd name="T47" fmla="*/ 4 h 20"/>
              <a:gd name="T48" fmla="*/ 2 w 22"/>
              <a:gd name="T49" fmla="*/ 4 h 20"/>
              <a:gd name="T50" fmla="*/ 2 w 22"/>
              <a:gd name="T51" fmla="*/ 3 h 20"/>
              <a:gd name="T52" fmla="*/ 2 w 22"/>
              <a:gd name="T53" fmla="*/ 2 h 20"/>
              <a:gd name="T54" fmla="*/ 2 w 22"/>
              <a:gd name="T55" fmla="*/ 3 h 20"/>
              <a:gd name="T56" fmla="*/ 2 w 22"/>
              <a:gd name="T57" fmla="*/ 4 h 20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22"/>
              <a:gd name="T88" fmla="*/ 0 h 20"/>
              <a:gd name="T89" fmla="*/ 22 w 22"/>
              <a:gd name="T90" fmla="*/ 20 h 20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22" h="20">
                <a:moveTo>
                  <a:pt x="16" y="12"/>
                </a:moveTo>
                <a:lnTo>
                  <a:pt x="20" y="12"/>
                </a:lnTo>
                <a:lnTo>
                  <a:pt x="20" y="10"/>
                </a:lnTo>
                <a:lnTo>
                  <a:pt x="22" y="10"/>
                </a:lnTo>
                <a:lnTo>
                  <a:pt x="22" y="2"/>
                </a:lnTo>
                <a:lnTo>
                  <a:pt x="20" y="2"/>
                </a:lnTo>
                <a:lnTo>
                  <a:pt x="20" y="0"/>
                </a:lnTo>
                <a:lnTo>
                  <a:pt x="16" y="0"/>
                </a:lnTo>
                <a:lnTo>
                  <a:pt x="4" y="2"/>
                </a:lnTo>
                <a:lnTo>
                  <a:pt x="2" y="8"/>
                </a:lnTo>
                <a:lnTo>
                  <a:pt x="2" y="6"/>
                </a:lnTo>
                <a:lnTo>
                  <a:pt x="8" y="2"/>
                </a:lnTo>
                <a:lnTo>
                  <a:pt x="2" y="4"/>
                </a:lnTo>
                <a:lnTo>
                  <a:pt x="0" y="14"/>
                </a:lnTo>
                <a:lnTo>
                  <a:pt x="0" y="18"/>
                </a:lnTo>
                <a:lnTo>
                  <a:pt x="2" y="18"/>
                </a:lnTo>
                <a:lnTo>
                  <a:pt x="2" y="20"/>
                </a:lnTo>
                <a:lnTo>
                  <a:pt x="10" y="20"/>
                </a:lnTo>
                <a:lnTo>
                  <a:pt x="10" y="18"/>
                </a:lnTo>
                <a:lnTo>
                  <a:pt x="12" y="18"/>
                </a:lnTo>
                <a:lnTo>
                  <a:pt x="12" y="14"/>
                </a:lnTo>
                <a:lnTo>
                  <a:pt x="10" y="12"/>
                </a:lnTo>
                <a:lnTo>
                  <a:pt x="8" y="14"/>
                </a:lnTo>
                <a:lnTo>
                  <a:pt x="12" y="14"/>
                </a:lnTo>
                <a:lnTo>
                  <a:pt x="12" y="12"/>
                </a:lnTo>
                <a:lnTo>
                  <a:pt x="14" y="10"/>
                </a:lnTo>
                <a:lnTo>
                  <a:pt x="14" y="8"/>
                </a:lnTo>
                <a:lnTo>
                  <a:pt x="12" y="10"/>
                </a:lnTo>
                <a:lnTo>
                  <a:pt x="16" y="1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8" name="Freeform 37"/>
          <xdr:cNvSpPr>
            <a:spLocks/>
          </xdr:cNvSpPr>
        </xdr:nvSpPr>
        <xdr:spPr bwMode="auto">
          <a:xfrm>
            <a:off x="347" y="2199"/>
            <a:ext cx="3" cy="4"/>
          </a:xfrm>
          <a:custGeom>
            <a:avLst/>
            <a:gdLst>
              <a:gd name="T0" fmla="*/ 0 w 20"/>
              <a:gd name="T1" fmla="*/ 2 h 18"/>
              <a:gd name="T2" fmla="*/ 0 w 20"/>
              <a:gd name="T3" fmla="*/ 3 h 18"/>
              <a:gd name="T4" fmla="*/ 0 w 20"/>
              <a:gd name="T5" fmla="*/ 3 h 18"/>
              <a:gd name="T6" fmla="*/ 0 w 20"/>
              <a:gd name="T7" fmla="*/ 3 h 18"/>
              <a:gd name="T8" fmla="*/ 2 w 20"/>
              <a:gd name="T9" fmla="*/ 3 h 18"/>
              <a:gd name="T10" fmla="*/ 2 w 20"/>
              <a:gd name="T11" fmla="*/ 3 h 18"/>
              <a:gd name="T12" fmla="*/ 2 w 20"/>
              <a:gd name="T13" fmla="*/ 3 h 18"/>
              <a:gd name="T14" fmla="*/ 2 w 20"/>
              <a:gd name="T15" fmla="*/ 2 h 18"/>
              <a:gd name="T16" fmla="*/ 2 w 20"/>
              <a:gd name="T17" fmla="*/ 2 h 18"/>
              <a:gd name="T18" fmla="*/ 1 w 20"/>
              <a:gd name="T19" fmla="*/ 2 h 18"/>
              <a:gd name="T20" fmla="*/ 1 w 20"/>
              <a:gd name="T21" fmla="*/ 3 h 18"/>
              <a:gd name="T22" fmla="*/ 2 w 20"/>
              <a:gd name="T23" fmla="*/ 3 h 18"/>
              <a:gd name="T24" fmla="*/ 2 w 20"/>
              <a:gd name="T25" fmla="*/ 3 h 18"/>
              <a:gd name="T26" fmla="*/ 2 w 20"/>
              <a:gd name="T27" fmla="*/ 3 h 18"/>
              <a:gd name="T28" fmla="*/ 2 w 20"/>
              <a:gd name="T29" fmla="*/ 3 h 18"/>
              <a:gd name="T30" fmla="*/ 3 w 20"/>
              <a:gd name="T31" fmla="*/ 2 h 18"/>
              <a:gd name="T32" fmla="*/ 2 w 20"/>
              <a:gd name="T33" fmla="*/ 0 h 18"/>
              <a:gd name="T34" fmla="*/ 1 w 20"/>
              <a:gd name="T35" fmla="*/ 3 h 18"/>
              <a:gd name="T36" fmla="*/ 2 w 20"/>
              <a:gd name="T37" fmla="*/ 3 h 18"/>
              <a:gd name="T38" fmla="*/ 1 w 20"/>
              <a:gd name="T39" fmla="*/ 3 h 18"/>
              <a:gd name="T40" fmla="*/ 2 w 20"/>
              <a:gd name="T41" fmla="*/ 4 h 18"/>
              <a:gd name="T42" fmla="*/ 2 w 20"/>
              <a:gd name="T43" fmla="*/ 4 h 18"/>
              <a:gd name="T44" fmla="*/ 3 w 20"/>
              <a:gd name="T45" fmla="*/ 4 h 18"/>
              <a:gd name="T46" fmla="*/ 3 w 20"/>
              <a:gd name="T47" fmla="*/ 4 h 18"/>
              <a:gd name="T48" fmla="*/ 3 w 20"/>
              <a:gd name="T49" fmla="*/ 4 h 18"/>
              <a:gd name="T50" fmla="*/ 3 w 20"/>
              <a:gd name="T51" fmla="*/ 2 h 18"/>
              <a:gd name="T52" fmla="*/ 3 w 20"/>
              <a:gd name="T53" fmla="*/ 2 h 18"/>
              <a:gd name="T54" fmla="*/ 3 w 20"/>
              <a:gd name="T55" fmla="*/ 3 h 18"/>
              <a:gd name="T56" fmla="*/ 3 w 20"/>
              <a:gd name="T57" fmla="*/ 1 h 18"/>
              <a:gd name="T58" fmla="*/ 2 w 20"/>
              <a:gd name="T59" fmla="*/ 1 h 18"/>
              <a:gd name="T60" fmla="*/ 2 w 20"/>
              <a:gd name="T61" fmla="*/ 3 h 18"/>
              <a:gd name="T62" fmla="*/ 1 w 20"/>
              <a:gd name="T63" fmla="*/ 2 h 18"/>
              <a:gd name="T64" fmla="*/ 1 w 20"/>
              <a:gd name="T65" fmla="*/ 1 h 18"/>
              <a:gd name="T66" fmla="*/ 2 w 20"/>
              <a:gd name="T67" fmla="*/ 0 h 18"/>
              <a:gd name="T68" fmla="*/ 2 w 20"/>
              <a:gd name="T69" fmla="*/ 0 h 18"/>
              <a:gd name="T70" fmla="*/ 2 w 20"/>
              <a:gd name="T71" fmla="*/ 1 h 18"/>
              <a:gd name="T72" fmla="*/ 2 w 20"/>
              <a:gd name="T73" fmla="*/ 0 h 18"/>
              <a:gd name="T74" fmla="*/ 0 w 20"/>
              <a:gd name="T75" fmla="*/ 0 h 18"/>
              <a:gd name="T76" fmla="*/ 0 w 20"/>
              <a:gd name="T77" fmla="*/ 2 h 18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20"/>
              <a:gd name="T118" fmla="*/ 0 h 18"/>
              <a:gd name="T119" fmla="*/ 20 w 20"/>
              <a:gd name="T120" fmla="*/ 18 h 18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20" h="18">
                <a:moveTo>
                  <a:pt x="0" y="8"/>
                </a:moveTo>
                <a:lnTo>
                  <a:pt x="0" y="12"/>
                </a:lnTo>
                <a:lnTo>
                  <a:pt x="2" y="12"/>
                </a:lnTo>
                <a:lnTo>
                  <a:pt x="2" y="14"/>
                </a:lnTo>
                <a:lnTo>
                  <a:pt x="10" y="14"/>
                </a:lnTo>
                <a:lnTo>
                  <a:pt x="10" y="12"/>
                </a:lnTo>
                <a:lnTo>
                  <a:pt x="12" y="12"/>
                </a:lnTo>
                <a:lnTo>
                  <a:pt x="12" y="8"/>
                </a:lnTo>
                <a:lnTo>
                  <a:pt x="10" y="10"/>
                </a:lnTo>
                <a:lnTo>
                  <a:pt x="6" y="10"/>
                </a:lnTo>
                <a:lnTo>
                  <a:pt x="6" y="12"/>
                </a:lnTo>
                <a:lnTo>
                  <a:pt x="12" y="14"/>
                </a:lnTo>
                <a:lnTo>
                  <a:pt x="10" y="14"/>
                </a:lnTo>
                <a:lnTo>
                  <a:pt x="16" y="14"/>
                </a:lnTo>
                <a:lnTo>
                  <a:pt x="16" y="12"/>
                </a:lnTo>
                <a:lnTo>
                  <a:pt x="18" y="8"/>
                </a:lnTo>
                <a:lnTo>
                  <a:pt x="12" y="0"/>
                </a:lnTo>
                <a:lnTo>
                  <a:pt x="8" y="14"/>
                </a:lnTo>
                <a:lnTo>
                  <a:pt x="10" y="14"/>
                </a:lnTo>
                <a:lnTo>
                  <a:pt x="8" y="12"/>
                </a:lnTo>
                <a:lnTo>
                  <a:pt x="10" y="16"/>
                </a:lnTo>
                <a:lnTo>
                  <a:pt x="10" y="18"/>
                </a:lnTo>
                <a:lnTo>
                  <a:pt x="18" y="18"/>
                </a:lnTo>
                <a:lnTo>
                  <a:pt x="18" y="16"/>
                </a:lnTo>
                <a:lnTo>
                  <a:pt x="20" y="16"/>
                </a:lnTo>
                <a:lnTo>
                  <a:pt x="20" y="8"/>
                </a:lnTo>
                <a:lnTo>
                  <a:pt x="18" y="8"/>
                </a:lnTo>
                <a:lnTo>
                  <a:pt x="20" y="12"/>
                </a:lnTo>
                <a:lnTo>
                  <a:pt x="18" y="6"/>
                </a:lnTo>
                <a:lnTo>
                  <a:pt x="16" y="6"/>
                </a:lnTo>
                <a:lnTo>
                  <a:pt x="12" y="12"/>
                </a:lnTo>
                <a:lnTo>
                  <a:pt x="6" y="8"/>
                </a:lnTo>
                <a:lnTo>
                  <a:pt x="8" y="4"/>
                </a:lnTo>
                <a:lnTo>
                  <a:pt x="14" y="2"/>
                </a:lnTo>
                <a:lnTo>
                  <a:pt x="12" y="2"/>
                </a:lnTo>
                <a:lnTo>
                  <a:pt x="14" y="4"/>
                </a:lnTo>
                <a:lnTo>
                  <a:pt x="14" y="2"/>
                </a:lnTo>
                <a:lnTo>
                  <a:pt x="2" y="2"/>
                </a:lnTo>
                <a:lnTo>
                  <a:pt x="0" y="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9" name="Freeform 38"/>
          <xdr:cNvSpPr>
            <a:spLocks/>
          </xdr:cNvSpPr>
        </xdr:nvSpPr>
        <xdr:spPr bwMode="auto">
          <a:xfrm>
            <a:off x="348" y="2200"/>
            <a:ext cx="4" cy="5"/>
          </a:xfrm>
          <a:custGeom>
            <a:avLst/>
            <a:gdLst>
              <a:gd name="T0" fmla="*/ 3 w 18"/>
              <a:gd name="T1" fmla="*/ 2 h 18"/>
              <a:gd name="T2" fmla="*/ 3 w 18"/>
              <a:gd name="T3" fmla="*/ 1 h 18"/>
              <a:gd name="T4" fmla="*/ 3 w 18"/>
              <a:gd name="T5" fmla="*/ 1 h 18"/>
              <a:gd name="T6" fmla="*/ 2 w 18"/>
              <a:gd name="T7" fmla="*/ 0 h 18"/>
              <a:gd name="T8" fmla="*/ 1 w 18"/>
              <a:gd name="T9" fmla="*/ 0 h 18"/>
              <a:gd name="T10" fmla="*/ 1 w 18"/>
              <a:gd name="T11" fmla="*/ 1 h 18"/>
              <a:gd name="T12" fmla="*/ 0 w 18"/>
              <a:gd name="T13" fmla="*/ 1 h 18"/>
              <a:gd name="T14" fmla="*/ 2 w 18"/>
              <a:gd name="T15" fmla="*/ 0 h 18"/>
              <a:gd name="T16" fmla="*/ 0 w 18"/>
              <a:gd name="T17" fmla="*/ 1 h 18"/>
              <a:gd name="T18" fmla="*/ 0 w 18"/>
              <a:gd name="T19" fmla="*/ 3 h 18"/>
              <a:gd name="T20" fmla="*/ 1 w 18"/>
              <a:gd name="T21" fmla="*/ 3 h 18"/>
              <a:gd name="T22" fmla="*/ 0 w 18"/>
              <a:gd name="T23" fmla="*/ 3 h 18"/>
              <a:gd name="T24" fmla="*/ 0 w 18"/>
              <a:gd name="T25" fmla="*/ 3 h 18"/>
              <a:gd name="T26" fmla="*/ 3 w 18"/>
              <a:gd name="T27" fmla="*/ 2 h 18"/>
              <a:gd name="T28" fmla="*/ 3 w 18"/>
              <a:gd name="T29" fmla="*/ 3 h 18"/>
              <a:gd name="T30" fmla="*/ 3 w 18"/>
              <a:gd name="T31" fmla="*/ 1 h 18"/>
              <a:gd name="T32" fmla="*/ 0 w 18"/>
              <a:gd name="T33" fmla="*/ 2 h 18"/>
              <a:gd name="T34" fmla="*/ 1 w 18"/>
              <a:gd name="T35" fmla="*/ 3 h 18"/>
              <a:gd name="T36" fmla="*/ 1 w 18"/>
              <a:gd name="T37" fmla="*/ 4 h 18"/>
              <a:gd name="T38" fmla="*/ 1 w 18"/>
              <a:gd name="T39" fmla="*/ 4 h 18"/>
              <a:gd name="T40" fmla="*/ 1 w 18"/>
              <a:gd name="T41" fmla="*/ 4 h 18"/>
              <a:gd name="T42" fmla="*/ 3 w 18"/>
              <a:gd name="T43" fmla="*/ 5 h 18"/>
              <a:gd name="T44" fmla="*/ 4 w 18"/>
              <a:gd name="T45" fmla="*/ 4 h 18"/>
              <a:gd name="T46" fmla="*/ 4 w 18"/>
              <a:gd name="T47" fmla="*/ 4 h 18"/>
              <a:gd name="T48" fmla="*/ 4 w 18"/>
              <a:gd name="T49" fmla="*/ 2 h 18"/>
              <a:gd name="T50" fmla="*/ 4 w 18"/>
              <a:gd name="T51" fmla="*/ 2 h 18"/>
              <a:gd name="T52" fmla="*/ 4 w 18"/>
              <a:gd name="T53" fmla="*/ 2 h 18"/>
              <a:gd name="T54" fmla="*/ 2 w 18"/>
              <a:gd name="T55" fmla="*/ 2 h 18"/>
              <a:gd name="T56" fmla="*/ 2 w 18"/>
              <a:gd name="T57" fmla="*/ 2 h 18"/>
              <a:gd name="T58" fmla="*/ 3 w 18"/>
              <a:gd name="T59" fmla="*/ 2 h 18"/>
              <a:gd name="T60" fmla="*/ 3 w 18"/>
              <a:gd name="T61" fmla="*/ 2 h 18"/>
              <a:gd name="T62" fmla="*/ 3 w 18"/>
              <a:gd name="T63" fmla="*/ 2 h 18"/>
              <a:gd name="T64" fmla="*/ 3 w 18"/>
              <a:gd name="T65" fmla="*/ 2 h 18"/>
              <a:gd name="T66" fmla="*/ 3 w 18"/>
              <a:gd name="T67" fmla="*/ 1 h 18"/>
              <a:gd name="T68" fmla="*/ 3 w 18"/>
              <a:gd name="T69" fmla="*/ 2 h 18"/>
              <a:gd name="T70" fmla="*/ 1 w 18"/>
              <a:gd name="T71" fmla="*/ 3 h 18"/>
              <a:gd name="T72" fmla="*/ 0 w 18"/>
              <a:gd name="T73" fmla="*/ 3 h 18"/>
              <a:gd name="T74" fmla="*/ 0 w 18"/>
              <a:gd name="T75" fmla="*/ 4 h 18"/>
              <a:gd name="T76" fmla="*/ 1 w 18"/>
              <a:gd name="T77" fmla="*/ 4 h 18"/>
              <a:gd name="T78" fmla="*/ 1 w 18"/>
              <a:gd name="T79" fmla="*/ 4 h 18"/>
              <a:gd name="T80" fmla="*/ 3 w 18"/>
              <a:gd name="T81" fmla="*/ 4 h 18"/>
              <a:gd name="T82" fmla="*/ 3 w 18"/>
              <a:gd name="T83" fmla="*/ 4 h 18"/>
              <a:gd name="T84" fmla="*/ 3 w 18"/>
              <a:gd name="T85" fmla="*/ 3 h 18"/>
              <a:gd name="T86" fmla="*/ 3 w 18"/>
              <a:gd name="T87" fmla="*/ 2 h 18"/>
              <a:gd name="T88" fmla="*/ 3 w 18"/>
              <a:gd name="T89" fmla="*/ 3 h 18"/>
              <a:gd name="T90" fmla="*/ 3 w 18"/>
              <a:gd name="T91" fmla="*/ 1 h 18"/>
              <a:gd name="T92" fmla="*/ 2 w 18"/>
              <a:gd name="T93" fmla="*/ 1 h 18"/>
              <a:gd name="T94" fmla="*/ 2 w 18"/>
              <a:gd name="T95" fmla="*/ 3 h 18"/>
              <a:gd name="T96" fmla="*/ 2 w 18"/>
              <a:gd name="T97" fmla="*/ 3 h 18"/>
              <a:gd name="T98" fmla="*/ 3 w 18"/>
              <a:gd name="T99" fmla="*/ 2 h 18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18"/>
              <a:gd name="T151" fmla="*/ 0 h 18"/>
              <a:gd name="T152" fmla="*/ 18 w 18"/>
              <a:gd name="T153" fmla="*/ 18 h 18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18" h="18">
                <a:moveTo>
                  <a:pt x="14" y="8"/>
                </a:moveTo>
                <a:lnTo>
                  <a:pt x="14" y="2"/>
                </a:lnTo>
                <a:lnTo>
                  <a:pt x="12" y="2"/>
                </a:lnTo>
                <a:lnTo>
                  <a:pt x="10" y="0"/>
                </a:lnTo>
                <a:lnTo>
                  <a:pt x="4" y="0"/>
                </a:lnTo>
                <a:lnTo>
                  <a:pt x="4" y="2"/>
                </a:lnTo>
                <a:lnTo>
                  <a:pt x="2" y="4"/>
                </a:lnTo>
                <a:lnTo>
                  <a:pt x="8" y="0"/>
                </a:lnTo>
                <a:lnTo>
                  <a:pt x="2" y="2"/>
                </a:lnTo>
                <a:lnTo>
                  <a:pt x="2" y="12"/>
                </a:lnTo>
                <a:lnTo>
                  <a:pt x="4" y="12"/>
                </a:lnTo>
                <a:lnTo>
                  <a:pt x="2" y="10"/>
                </a:lnTo>
                <a:lnTo>
                  <a:pt x="2" y="12"/>
                </a:lnTo>
                <a:lnTo>
                  <a:pt x="14" y="8"/>
                </a:lnTo>
                <a:lnTo>
                  <a:pt x="14" y="10"/>
                </a:lnTo>
                <a:lnTo>
                  <a:pt x="12" y="4"/>
                </a:lnTo>
                <a:lnTo>
                  <a:pt x="0" y="8"/>
                </a:lnTo>
                <a:lnTo>
                  <a:pt x="4" y="12"/>
                </a:lnTo>
                <a:lnTo>
                  <a:pt x="4" y="14"/>
                </a:lnTo>
                <a:lnTo>
                  <a:pt x="6" y="14"/>
                </a:lnTo>
                <a:lnTo>
                  <a:pt x="6" y="16"/>
                </a:lnTo>
                <a:lnTo>
                  <a:pt x="12" y="18"/>
                </a:lnTo>
                <a:lnTo>
                  <a:pt x="16" y="16"/>
                </a:lnTo>
                <a:lnTo>
                  <a:pt x="18" y="16"/>
                </a:lnTo>
                <a:lnTo>
                  <a:pt x="18" y="8"/>
                </a:lnTo>
                <a:lnTo>
                  <a:pt x="16" y="8"/>
                </a:lnTo>
                <a:lnTo>
                  <a:pt x="16" y="6"/>
                </a:lnTo>
                <a:lnTo>
                  <a:pt x="8" y="6"/>
                </a:lnTo>
                <a:lnTo>
                  <a:pt x="8" y="8"/>
                </a:lnTo>
                <a:lnTo>
                  <a:pt x="12" y="6"/>
                </a:lnTo>
                <a:lnTo>
                  <a:pt x="14" y="8"/>
                </a:lnTo>
                <a:lnTo>
                  <a:pt x="14" y="6"/>
                </a:lnTo>
                <a:lnTo>
                  <a:pt x="12" y="6"/>
                </a:lnTo>
                <a:lnTo>
                  <a:pt x="12" y="4"/>
                </a:lnTo>
                <a:lnTo>
                  <a:pt x="12" y="8"/>
                </a:lnTo>
                <a:lnTo>
                  <a:pt x="4" y="12"/>
                </a:lnTo>
                <a:lnTo>
                  <a:pt x="2" y="10"/>
                </a:lnTo>
                <a:lnTo>
                  <a:pt x="2" y="14"/>
                </a:lnTo>
                <a:lnTo>
                  <a:pt x="4" y="14"/>
                </a:lnTo>
                <a:lnTo>
                  <a:pt x="6" y="16"/>
                </a:lnTo>
                <a:lnTo>
                  <a:pt x="12" y="16"/>
                </a:lnTo>
                <a:lnTo>
                  <a:pt x="12" y="14"/>
                </a:lnTo>
                <a:lnTo>
                  <a:pt x="14" y="12"/>
                </a:lnTo>
                <a:lnTo>
                  <a:pt x="14" y="8"/>
                </a:lnTo>
                <a:lnTo>
                  <a:pt x="14" y="10"/>
                </a:lnTo>
                <a:lnTo>
                  <a:pt x="12" y="4"/>
                </a:lnTo>
                <a:lnTo>
                  <a:pt x="10" y="4"/>
                </a:lnTo>
                <a:lnTo>
                  <a:pt x="10" y="10"/>
                </a:lnTo>
                <a:lnTo>
                  <a:pt x="8" y="12"/>
                </a:lnTo>
                <a:lnTo>
                  <a:pt x="14" y="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0" name="Freeform 39"/>
          <xdr:cNvSpPr>
            <a:spLocks/>
          </xdr:cNvSpPr>
        </xdr:nvSpPr>
        <xdr:spPr bwMode="auto">
          <a:xfrm>
            <a:off x="334" y="2202"/>
            <a:ext cx="5" cy="4"/>
          </a:xfrm>
          <a:custGeom>
            <a:avLst/>
            <a:gdLst>
              <a:gd name="T0" fmla="*/ 3 w 25"/>
              <a:gd name="T1" fmla="*/ 2 h 18"/>
              <a:gd name="T2" fmla="*/ 4 w 25"/>
              <a:gd name="T3" fmla="*/ 3 h 18"/>
              <a:gd name="T4" fmla="*/ 4 w 25"/>
              <a:gd name="T5" fmla="*/ 3 h 18"/>
              <a:gd name="T6" fmla="*/ 5 w 25"/>
              <a:gd name="T7" fmla="*/ 2 h 18"/>
              <a:gd name="T8" fmla="*/ 5 w 25"/>
              <a:gd name="T9" fmla="*/ 1 h 18"/>
              <a:gd name="T10" fmla="*/ 5 w 25"/>
              <a:gd name="T11" fmla="*/ 0 h 18"/>
              <a:gd name="T12" fmla="*/ 4 w 25"/>
              <a:gd name="T13" fmla="*/ 0 h 18"/>
              <a:gd name="T14" fmla="*/ 4 w 25"/>
              <a:gd name="T15" fmla="*/ 0 h 18"/>
              <a:gd name="T16" fmla="*/ 4 w 25"/>
              <a:gd name="T17" fmla="*/ 0 h 18"/>
              <a:gd name="T18" fmla="*/ 2 w 25"/>
              <a:gd name="T19" fmla="*/ 0 h 18"/>
              <a:gd name="T20" fmla="*/ 2 w 25"/>
              <a:gd name="T21" fmla="*/ 1 h 18"/>
              <a:gd name="T22" fmla="*/ 2 w 25"/>
              <a:gd name="T23" fmla="*/ 0 h 18"/>
              <a:gd name="T24" fmla="*/ 3 w 25"/>
              <a:gd name="T25" fmla="*/ 1 h 18"/>
              <a:gd name="T26" fmla="*/ 3 w 25"/>
              <a:gd name="T27" fmla="*/ 0 h 18"/>
              <a:gd name="T28" fmla="*/ 2 w 25"/>
              <a:gd name="T29" fmla="*/ 0 h 18"/>
              <a:gd name="T30" fmla="*/ 2 w 25"/>
              <a:gd name="T31" fmla="*/ 1 h 18"/>
              <a:gd name="T32" fmla="*/ 1 w 25"/>
              <a:gd name="T33" fmla="*/ 1 h 18"/>
              <a:gd name="T34" fmla="*/ 1 w 25"/>
              <a:gd name="T35" fmla="*/ 1 h 18"/>
              <a:gd name="T36" fmla="*/ 2 w 25"/>
              <a:gd name="T37" fmla="*/ 0 h 18"/>
              <a:gd name="T38" fmla="*/ 1 w 25"/>
              <a:gd name="T39" fmla="*/ 0 h 18"/>
              <a:gd name="T40" fmla="*/ 0 w 25"/>
              <a:gd name="T41" fmla="*/ 3 h 18"/>
              <a:gd name="T42" fmla="*/ 1 w 25"/>
              <a:gd name="T43" fmla="*/ 3 h 18"/>
              <a:gd name="T44" fmla="*/ 0 w 25"/>
              <a:gd name="T45" fmla="*/ 3 h 18"/>
              <a:gd name="T46" fmla="*/ 0 w 25"/>
              <a:gd name="T47" fmla="*/ 4 h 18"/>
              <a:gd name="T48" fmla="*/ 1 w 25"/>
              <a:gd name="T49" fmla="*/ 4 h 18"/>
              <a:gd name="T50" fmla="*/ 1 w 25"/>
              <a:gd name="T51" fmla="*/ 4 h 18"/>
              <a:gd name="T52" fmla="*/ 2 w 25"/>
              <a:gd name="T53" fmla="*/ 4 h 18"/>
              <a:gd name="T54" fmla="*/ 2 w 25"/>
              <a:gd name="T55" fmla="*/ 4 h 18"/>
              <a:gd name="T56" fmla="*/ 3 w 25"/>
              <a:gd name="T57" fmla="*/ 3 h 18"/>
              <a:gd name="T58" fmla="*/ 3 w 25"/>
              <a:gd name="T59" fmla="*/ 2 h 18"/>
              <a:gd name="T60" fmla="*/ 3 w 25"/>
              <a:gd name="T61" fmla="*/ 3 h 18"/>
              <a:gd name="T62" fmla="*/ 2 w 25"/>
              <a:gd name="T63" fmla="*/ 1 h 18"/>
              <a:gd name="T64" fmla="*/ 2 w 25"/>
              <a:gd name="T65" fmla="*/ 2 h 18"/>
              <a:gd name="T66" fmla="*/ 2 w 25"/>
              <a:gd name="T67" fmla="*/ 3 h 18"/>
              <a:gd name="T68" fmla="*/ 2 w 25"/>
              <a:gd name="T69" fmla="*/ 3 h 18"/>
              <a:gd name="T70" fmla="*/ 4 w 25"/>
              <a:gd name="T71" fmla="*/ 2 h 18"/>
              <a:gd name="T72" fmla="*/ 2 w 25"/>
              <a:gd name="T73" fmla="*/ 3 h 18"/>
              <a:gd name="T74" fmla="*/ 2 w 25"/>
              <a:gd name="T75" fmla="*/ 3 h 18"/>
              <a:gd name="T76" fmla="*/ 4 w 25"/>
              <a:gd name="T77" fmla="*/ 3 h 18"/>
              <a:gd name="T78" fmla="*/ 4 w 25"/>
              <a:gd name="T79" fmla="*/ 2 h 18"/>
              <a:gd name="T80" fmla="*/ 3 w 25"/>
              <a:gd name="T81" fmla="*/ 2 h 18"/>
              <a:gd name="T82" fmla="*/ 3 w 25"/>
              <a:gd name="T83" fmla="*/ 2 h 18"/>
              <a:gd name="T84" fmla="*/ 4 w 25"/>
              <a:gd name="T85" fmla="*/ 3 h 18"/>
              <a:gd name="T86" fmla="*/ 3 w 25"/>
              <a:gd name="T87" fmla="*/ 2 h 18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25"/>
              <a:gd name="T133" fmla="*/ 0 h 18"/>
              <a:gd name="T134" fmla="*/ 25 w 25"/>
              <a:gd name="T135" fmla="*/ 18 h 18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25" h="18">
                <a:moveTo>
                  <a:pt x="16" y="10"/>
                </a:moveTo>
                <a:lnTo>
                  <a:pt x="18" y="12"/>
                </a:lnTo>
                <a:lnTo>
                  <a:pt x="22" y="12"/>
                </a:lnTo>
                <a:lnTo>
                  <a:pt x="25" y="8"/>
                </a:lnTo>
                <a:lnTo>
                  <a:pt x="25" y="4"/>
                </a:lnTo>
                <a:lnTo>
                  <a:pt x="24" y="2"/>
                </a:lnTo>
                <a:lnTo>
                  <a:pt x="20" y="0"/>
                </a:lnTo>
                <a:lnTo>
                  <a:pt x="22" y="2"/>
                </a:lnTo>
                <a:lnTo>
                  <a:pt x="22" y="0"/>
                </a:lnTo>
                <a:lnTo>
                  <a:pt x="10" y="0"/>
                </a:lnTo>
                <a:lnTo>
                  <a:pt x="10" y="4"/>
                </a:lnTo>
                <a:lnTo>
                  <a:pt x="12" y="2"/>
                </a:lnTo>
                <a:lnTo>
                  <a:pt x="16" y="4"/>
                </a:lnTo>
                <a:lnTo>
                  <a:pt x="16" y="2"/>
                </a:lnTo>
                <a:lnTo>
                  <a:pt x="8" y="2"/>
                </a:lnTo>
                <a:lnTo>
                  <a:pt x="8" y="4"/>
                </a:lnTo>
                <a:lnTo>
                  <a:pt x="6" y="4"/>
                </a:lnTo>
                <a:lnTo>
                  <a:pt x="6" y="6"/>
                </a:lnTo>
                <a:lnTo>
                  <a:pt x="12" y="2"/>
                </a:lnTo>
                <a:lnTo>
                  <a:pt x="6" y="2"/>
                </a:lnTo>
                <a:lnTo>
                  <a:pt x="0" y="12"/>
                </a:lnTo>
                <a:lnTo>
                  <a:pt x="4" y="14"/>
                </a:lnTo>
                <a:lnTo>
                  <a:pt x="2" y="12"/>
                </a:lnTo>
                <a:lnTo>
                  <a:pt x="2" y="16"/>
                </a:lnTo>
                <a:lnTo>
                  <a:pt x="4" y="16"/>
                </a:lnTo>
                <a:lnTo>
                  <a:pt x="6" y="18"/>
                </a:lnTo>
                <a:lnTo>
                  <a:pt x="12" y="18"/>
                </a:lnTo>
                <a:lnTo>
                  <a:pt x="12" y="16"/>
                </a:lnTo>
                <a:lnTo>
                  <a:pt x="14" y="14"/>
                </a:lnTo>
                <a:lnTo>
                  <a:pt x="14" y="10"/>
                </a:lnTo>
                <a:lnTo>
                  <a:pt x="14" y="12"/>
                </a:lnTo>
                <a:lnTo>
                  <a:pt x="12" y="6"/>
                </a:lnTo>
                <a:lnTo>
                  <a:pt x="12" y="8"/>
                </a:lnTo>
                <a:lnTo>
                  <a:pt x="10" y="14"/>
                </a:lnTo>
                <a:lnTo>
                  <a:pt x="12" y="14"/>
                </a:lnTo>
                <a:lnTo>
                  <a:pt x="18" y="10"/>
                </a:lnTo>
                <a:lnTo>
                  <a:pt x="8" y="12"/>
                </a:lnTo>
                <a:lnTo>
                  <a:pt x="12" y="14"/>
                </a:lnTo>
                <a:lnTo>
                  <a:pt x="18" y="12"/>
                </a:lnTo>
                <a:lnTo>
                  <a:pt x="18" y="8"/>
                </a:lnTo>
                <a:lnTo>
                  <a:pt x="14" y="8"/>
                </a:lnTo>
                <a:lnTo>
                  <a:pt x="14" y="10"/>
                </a:lnTo>
                <a:lnTo>
                  <a:pt x="20" y="12"/>
                </a:lnTo>
                <a:lnTo>
                  <a:pt x="16" y="1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1" name="Freeform 40"/>
          <xdr:cNvSpPr>
            <a:spLocks/>
          </xdr:cNvSpPr>
        </xdr:nvSpPr>
        <xdr:spPr bwMode="auto">
          <a:xfrm>
            <a:off x="332" y="2205"/>
            <a:ext cx="1" cy="2"/>
          </a:xfrm>
          <a:custGeom>
            <a:avLst/>
            <a:gdLst>
              <a:gd name="T0" fmla="*/ 0 w 12"/>
              <a:gd name="T1" fmla="*/ 2 h 13"/>
              <a:gd name="T2" fmla="*/ 1 w 12"/>
              <a:gd name="T3" fmla="*/ 2 h 13"/>
              <a:gd name="T4" fmla="*/ 1 w 12"/>
              <a:gd name="T5" fmla="*/ 2 h 13"/>
              <a:gd name="T6" fmla="*/ 1 w 12"/>
              <a:gd name="T7" fmla="*/ 2 h 13"/>
              <a:gd name="T8" fmla="*/ 1 w 12"/>
              <a:gd name="T9" fmla="*/ 1 h 13"/>
              <a:gd name="T10" fmla="*/ 0 w 12"/>
              <a:gd name="T11" fmla="*/ 1 h 13"/>
              <a:gd name="T12" fmla="*/ 1 w 12"/>
              <a:gd name="T13" fmla="*/ 1 h 13"/>
              <a:gd name="T14" fmla="*/ 1 w 12"/>
              <a:gd name="T15" fmla="*/ 0 h 13"/>
              <a:gd name="T16" fmla="*/ 1 w 12"/>
              <a:gd name="T17" fmla="*/ 1 h 13"/>
              <a:gd name="T18" fmla="*/ 1 w 12"/>
              <a:gd name="T19" fmla="*/ 1 h 13"/>
              <a:gd name="T20" fmla="*/ 1 w 12"/>
              <a:gd name="T21" fmla="*/ 1 h 13"/>
              <a:gd name="T22" fmla="*/ 1 w 12"/>
              <a:gd name="T23" fmla="*/ 0 h 13"/>
              <a:gd name="T24" fmla="*/ 1 w 12"/>
              <a:gd name="T25" fmla="*/ 0 h 13"/>
              <a:gd name="T26" fmla="*/ 0 w 12"/>
              <a:gd name="T27" fmla="*/ 0 h 13"/>
              <a:gd name="T28" fmla="*/ 0 w 12"/>
              <a:gd name="T29" fmla="*/ 1 h 13"/>
              <a:gd name="T30" fmla="*/ 0 w 12"/>
              <a:gd name="T31" fmla="*/ 0 h 13"/>
              <a:gd name="T32" fmla="*/ 0 w 12"/>
              <a:gd name="T33" fmla="*/ 1 h 13"/>
              <a:gd name="T34" fmla="*/ 0 w 12"/>
              <a:gd name="T35" fmla="*/ 1 h 13"/>
              <a:gd name="T36" fmla="*/ 0 w 12"/>
              <a:gd name="T37" fmla="*/ 1 h 13"/>
              <a:gd name="T38" fmla="*/ 0 w 12"/>
              <a:gd name="T39" fmla="*/ 2 h 13"/>
              <a:gd name="T40" fmla="*/ 0 w 12"/>
              <a:gd name="T41" fmla="*/ 2 h 13"/>
              <a:gd name="T42" fmla="*/ 0 w 12"/>
              <a:gd name="T43" fmla="*/ 2 h 13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"/>
              <a:gd name="T67" fmla="*/ 0 h 13"/>
              <a:gd name="T68" fmla="*/ 12 w 12"/>
              <a:gd name="T69" fmla="*/ 13 h 13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" h="13">
                <a:moveTo>
                  <a:pt x="2" y="13"/>
                </a:moveTo>
                <a:lnTo>
                  <a:pt x="6" y="13"/>
                </a:lnTo>
                <a:lnTo>
                  <a:pt x="6" y="10"/>
                </a:lnTo>
                <a:lnTo>
                  <a:pt x="6" y="12"/>
                </a:lnTo>
                <a:lnTo>
                  <a:pt x="6" y="8"/>
                </a:lnTo>
                <a:lnTo>
                  <a:pt x="4" y="8"/>
                </a:lnTo>
                <a:lnTo>
                  <a:pt x="8" y="8"/>
                </a:lnTo>
                <a:lnTo>
                  <a:pt x="8" y="2"/>
                </a:lnTo>
                <a:lnTo>
                  <a:pt x="8" y="6"/>
                </a:lnTo>
                <a:lnTo>
                  <a:pt x="8" y="4"/>
                </a:lnTo>
                <a:lnTo>
                  <a:pt x="12" y="4"/>
                </a:lnTo>
                <a:lnTo>
                  <a:pt x="12" y="0"/>
                </a:lnTo>
                <a:lnTo>
                  <a:pt x="10" y="0"/>
                </a:lnTo>
                <a:lnTo>
                  <a:pt x="4" y="0"/>
                </a:lnTo>
                <a:lnTo>
                  <a:pt x="4" y="4"/>
                </a:lnTo>
                <a:lnTo>
                  <a:pt x="4" y="2"/>
                </a:lnTo>
                <a:lnTo>
                  <a:pt x="4" y="6"/>
                </a:lnTo>
                <a:lnTo>
                  <a:pt x="4" y="4"/>
                </a:lnTo>
                <a:lnTo>
                  <a:pt x="0" y="4"/>
                </a:lnTo>
                <a:lnTo>
                  <a:pt x="0" y="12"/>
                </a:lnTo>
                <a:lnTo>
                  <a:pt x="2" y="12"/>
                </a:lnTo>
                <a:lnTo>
                  <a:pt x="2" y="1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2" name="Freeform 41"/>
          <xdr:cNvSpPr>
            <a:spLocks/>
          </xdr:cNvSpPr>
        </xdr:nvSpPr>
        <xdr:spPr bwMode="auto">
          <a:xfrm>
            <a:off x="326" y="2205"/>
            <a:ext cx="16" cy="1"/>
          </a:xfrm>
          <a:custGeom>
            <a:avLst/>
            <a:gdLst>
              <a:gd name="T0" fmla="*/ 0 w 82"/>
              <a:gd name="T1" fmla="*/ 0 h 6"/>
              <a:gd name="T2" fmla="*/ 0 w 82"/>
              <a:gd name="T3" fmla="*/ 0 h 6"/>
              <a:gd name="T4" fmla="*/ 0 w 82"/>
              <a:gd name="T5" fmla="*/ 1 h 6"/>
              <a:gd name="T6" fmla="*/ 0 w 82"/>
              <a:gd name="T7" fmla="*/ 1 h 6"/>
              <a:gd name="T8" fmla="*/ 16 w 82"/>
              <a:gd name="T9" fmla="*/ 1 h 6"/>
              <a:gd name="T10" fmla="*/ 16 w 82"/>
              <a:gd name="T11" fmla="*/ 1 h 6"/>
              <a:gd name="T12" fmla="*/ 16 w 82"/>
              <a:gd name="T13" fmla="*/ 0 h 6"/>
              <a:gd name="T14" fmla="*/ 16 w 82"/>
              <a:gd name="T15" fmla="*/ 0 h 6"/>
              <a:gd name="T16" fmla="*/ 0 w 82"/>
              <a:gd name="T17" fmla="*/ 0 h 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82"/>
              <a:gd name="T28" fmla="*/ 0 h 6"/>
              <a:gd name="T29" fmla="*/ 82 w 82"/>
              <a:gd name="T30" fmla="*/ 6 h 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82" h="6">
                <a:moveTo>
                  <a:pt x="2" y="2"/>
                </a:moveTo>
                <a:lnTo>
                  <a:pt x="0" y="2"/>
                </a:lnTo>
                <a:lnTo>
                  <a:pt x="0" y="6"/>
                </a:lnTo>
                <a:lnTo>
                  <a:pt x="2" y="6"/>
                </a:lnTo>
                <a:lnTo>
                  <a:pt x="80" y="4"/>
                </a:lnTo>
                <a:lnTo>
                  <a:pt x="82" y="4"/>
                </a:lnTo>
                <a:lnTo>
                  <a:pt x="82" y="0"/>
                </a:lnTo>
                <a:lnTo>
                  <a:pt x="80" y="0"/>
                </a:lnTo>
                <a:lnTo>
                  <a:pt x="2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3" name="Freeform 42"/>
          <xdr:cNvSpPr>
            <a:spLocks/>
          </xdr:cNvSpPr>
        </xdr:nvSpPr>
        <xdr:spPr bwMode="auto">
          <a:xfrm>
            <a:off x="323" y="2206"/>
            <a:ext cx="1" cy="4"/>
          </a:xfrm>
          <a:custGeom>
            <a:avLst/>
            <a:gdLst>
              <a:gd name="T0" fmla="*/ 1 w 4"/>
              <a:gd name="T1" fmla="*/ 0 h 21"/>
              <a:gd name="T2" fmla="*/ 1 w 4"/>
              <a:gd name="T3" fmla="*/ 0 h 21"/>
              <a:gd name="T4" fmla="*/ 0 w 4"/>
              <a:gd name="T5" fmla="*/ 0 h 21"/>
              <a:gd name="T6" fmla="*/ 0 w 4"/>
              <a:gd name="T7" fmla="*/ 4 h 21"/>
              <a:gd name="T8" fmla="*/ 1 w 4"/>
              <a:gd name="T9" fmla="*/ 4 h 21"/>
              <a:gd name="T10" fmla="*/ 1 w 4"/>
              <a:gd name="T11" fmla="*/ 4 h 21"/>
              <a:gd name="T12" fmla="*/ 1 w 4"/>
              <a:gd name="T13" fmla="*/ 0 h 2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1"/>
              <a:gd name="T23" fmla="*/ 4 w 4"/>
              <a:gd name="T24" fmla="*/ 21 h 2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1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1"/>
                </a:lnTo>
                <a:lnTo>
                  <a:pt x="4" y="21"/>
                </a:lnTo>
                <a:lnTo>
                  <a:pt x="4" y="19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4" name="Freeform 43"/>
          <xdr:cNvSpPr>
            <a:spLocks/>
          </xdr:cNvSpPr>
        </xdr:nvSpPr>
        <xdr:spPr bwMode="auto">
          <a:xfrm>
            <a:off x="339" y="2210"/>
            <a:ext cx="3" cy="2"/>
          </a:xfrm>
          <a:custGeom>
            <a:avLst/>
            <a:gdLst>
              <a:gd name="T0" fmla="*/ 1 w 11"/>
              <a:gd name="T1" fmla="*/ 2 h 8"/>
              <a:gd name="T2" fmla="*/ 1 w 11"/>
              <a:gd name="T3" fmla="*/ 1 h 8"/>
              <a:gd name="T4" fmla="*/ 0 w 11"/>
              <a:gd name="T5" fmla="*/ 1 h 8"/>
              <a:gd name="T6" fmla="*/ 0 w 11"/>
              <a:gd name="T7" fmla="*/ 2 h 8"/>
              <a:gd name="T8" fmla="*/ 1 w 11"/>
              <a:gd name="T9" fmla="*/ 2 h 8"/>
              <a:gd name="T10" fmla="*/ 1 w 11"/>
              <a:gd name="T11" fmla="*/ 1 h 8"/>
              <a:gd name="T12" fmla="*/ 1 w 11"/>
              <a:gd name="T13" fmla="*/ 2 h 8"/>
              <a:gd name="T14" fmla="*/ 2 w 11"/>
              <a:gd name="T15" fmla="*/ 1 h 8"/>
              <a:gd name="T16" fmla="*/ 2 w 11"/>
              <a:gd name="T17" fmla="*/ 1 h 8"/>
              <a:gd name="T18" fmla="*/ 2 w 11"/>
              <a:gd name="T19" fmla="*/ 1 h 8"/>
              <a:gd name="T20" fmla="*/ 2 w 11"/>
              <a:gd name="T21" fmla="*/ 1 h 8"/>
              <a:gd name="T22" fmla="*/ 3 w 11"/>
              <a:gd name="T23" fmla="*/ 1 h 8"/>
              <a:gd name="T24" fmla="*/ 3 w 11"/>
              <a:gd name="T25" fmla="*/ 1 h 8"/>
              <a:gd name="T26" fmla="*/ 3 w 11"/>
              <a:gd name="T27" fmla="*/ 0 h 8"/>
              <a:gd name="T28" fmla="*/ 1 w 11"/>
              <a:gd name="T29" fmla="*/ 0 h 8"/>
              <a:gd name="T30" fmla="*/ 1 w 11"/>
              <a:gd name="T31" fmla="*/ 1 h 8"/>
              <a:gd name="T32" fmla="*/ 2 w 11"/>
              <a:gd name="T33" fmla="*/ 1 h 8"/>
              <a:gd name="T34" fmla="*/ 1 w 11"/>
              <a:gd name="T35" fmla="*/ 1 h 8"/>
              <a:gd name="T36" fmla="*/ 0 w 11"/>
              <a:gd name="T37" fmla="*/ 1 h 8"/>
              <a:gd name="T38" fmla="*/ 0 w 11"/>
              <a:gd name="T39" fmla="*/ 1 h 8"/>
              <a:gd name="T40" fmla="*/ 0 w 11"/>
              <a:gd name="T41" fmla="*/ 1 h 8"/>
              <a:gd name="T42" fmla="*/ 0 w 11"/>
              <a:gd name="T43" fmla="*/ 2 h 8"/>
              <a:gd name="T44" fmla="*/ 1 w 11"/>
              <a:gd name="T45" fmla="*/ 2 h 8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11"/>
              <a:gd name="T70" fmla="*/ 0 h 8"/>
              <a:gd name="T71" fmla="*/ 11 w 11"/>
              <a:gd name="T72" fmla="*/ 8 h 8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11" h="8">
                <a:moveTo>
                  <a:pt x="3" y="8"/>
                </a:moveTo>
                <a:lnTo>
                  <a:pt x="3" y="6"/>
                </a:lnTo>
                <a:lnTo>
                  <a:pt x="0" y="6"/>
                </a:lnTo>
                <a:lnTo>
                  <a:pt x="0" y="8"/>
                </a:lnTo>
                <a:lnTo>
                  <a:pt x="5" y="8"/>
                </a:lnTo>
                <a:lnTo>
                  <a:pt x="5" y="6"/>
                </a:lnTo>
                <a:lnTo>
                  <a:pt x="5" y="8"/>
                </a:lnTo>
                <a:lnTo>
                  <a:pt x="9" y="6"/>
                </a:lnTo>
                <a:lnTo>
                  <a:pt x="9" y="4"/>
                </a:lnTo>
                <a:lnTo>
                  <a:pt x="7" y="4"/>
                </a:lnTo>
                <a:lnTo>
                  <a:pt x="7" y="6"/>
                </a:lnTo>
                <a:lnTo>
                  <a:pt x="11" y="6"/>
                </a:lnTo>
                <a:lnTo>
                  <a:pt x="11" y="4"/>
                </a:lnTo>
                <a:lnTo>
                  <a:pt x="11" y="0"/>
                </a:lnTo>
                <a:lnTo>
                  <a:pt x="5" y="0"/>
                </a:lnTo>
                <a:lnTo>
                  <a:pt x="5" y="6"/>
                </a:lnTo>
                <a:lnTo>
                  <a:pt x="9" y="4"/>
                </a:lnTo>
                <a:lnTo>
                  <a:pt x="5" y="2"/>
                </a:lnTo>
                <a:lnTo>
                  <a:pt x="1" y="2"/>
                </a:lnTo>
                <a:lnTo>
                  <a:pt x="1" y="4"/>
                </a:lnTo>
                <a:lnTo>
                  <a:pt x="0" y="4"/>
                </a:lnTo>
                <a:lnTo>
                  <a:pt x="0" y="8"/>
                </a:lnTo>
                <a:lnTo>
                  <a:pt x="3" y="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5" name="Freeform 44"/>
          <xdr:cNvSpPr>
            <a:spLocks/>
          </xdr:cNvSpPr>
        </xdr:nvSpPr>
        <xdr:spPr bwMode="auto">
          <a:xfrm>
            <a:off x="326" y="2212"/>
            <a:ext cx="15" cy="1"/>
          </a:xfrm>
          <a:custGeom>
            <a:avLst/>
            <a:gdLst>
              <a:gd name="T0" fmla="*/ 0 w 72"/>
              <a:gd name="T1" fmla="*/ 0 h 4"/>
              <a:gd name="T2" fmla="*/ 0 w 72"/>
              <a:gd name="T3" fmla="*/ 0 h 4"/>
              <a:gd name="T4" fmla="*/ 0 w 72"/>
              <a:gd name="T5" fmla="*/ 1 h 4"/>
              <a:gd name="T6" fmla="*/ 15 w 72"/>
              <a:gd name="T7" fmla="*/ 1 h 4"/>
              <a:gd name="T8" fmla="*/ 15 w 72"/>
              <a:gd name="T9" fmla="*/ 0 h 4"/>
              <a:gd name="T10" fmla="*/ 15 w 72"/>
              <a:gd name="T11" fmla="*/ 0 h 4"/>
              <a:gd name="T12" fmla="*/ 0 w 7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72"/>
              <a:gd name="T22" fmla="*/ 0 h 4"/>
              <a:gd name="T23" fmla="*/ 72 w 72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7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72" y="4"/>
                </a:lnTo>
                <a:lnTo>
                  <a:pt x="72" y="0"/>
                </a:lnTo>
                <a:lnTo>
                  <a:pt x="70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6" name="Freeform 45"/>
          <xdr:cNvSpPr>
            <a:spLocks/>
          </xdr:cNvSpPr>
        </xdr:nvSpPr>
        <xdr:spPr bwMode="auto">
          <a:xfrm>
            <a:off x="331" y="2210"/>
            <a:ext cx="1" cy="3"/>
          </a:xfrm>
          <a:custGeom>
            <a:avLst/>
            <a:gdLst>
              <a:gd name="T0" fmla="*/ 1 w 8"/>
              <a:gd name="T1" fmla="*/ 0 h 12"/>
              <a:gd name="T2" fmla="*/ 1 w 8"/>
              <a:gd name="T3" fmla="*/ 0 h 12"/>
              <a:gd name="T4" fmla="*/ 1 w 8"/>
              <a:gd name="T5" fmla="*/ 1 h 12"/>
              <a:gd name="T6" fmla="*/ 1 w 8"/>
              <a:gd name="T7" fmla="*/ 1 h 12"/>
              <a:gd name="T8" fmla="*/ 1 w 8"/>
              <a:gd name="T9" fmla="*/ 0 h 12"/>
              <a:gd name="T10" fmla="*/ 1 w 8"/>
              <a:gd name="T11" fmla="*/ 0 h 12"/>
              <a:gd name="T12" fmla="*/ 1 w 8"/>
              <a:gd name="T13" fmla="*/ 1 h 12"/>
              <a:gd name="T14" fmla="*/ 0 w 8"/>
              <a:gd name="T15" fmla="*/ 1 h 12"/>
              <a:gd name="T16" fmla="*/ 0 w 8"/>
              <a:gd name="T17" fmla="*/ 2 h 12"/>
              <a:gd name="T18" fmla="*/ 1 w 8"/>
              <a:gd name="T19" fmla="*/ 3 h 12"/>
              <a:gd name="T20" fmla="*/ 1 w 8"/>
              <a:gd name="T21" fmla="*/ 2 h 12"/>
              <a:gd name="T22" fmla="*/ 0 w 8"/>
              <a:gd name="T23" fmla="*/ 2 h 12"/>
              <a:gd name="T24" fmla="*/ 0 w 8"/>
              <a:gd name="T25" fmla="*/ 3 h 12"/>
              <a:gd name="T26" fmla="*/ 0 w 8"/>
              <a:gd name="T27" fmla="*/ 2 h 12"/>
              <a:gd name="T28" fmla="*/ 0 w 8"/>
              <a:gd name="T29" fmla="*/ 2 h 12"/>
              <a:gd name="T30" fmla="*/ 0 w 8"/>
              <a:gd name="T31" fmla="*/ 3 h 12"/>
              <a:gd name="T32" fmla="*/ 0 w 8"/>
              <a:gd name="T33" fmla="*/ 3 h 12"/>
              <a:gd name="T34" fmla="*/ 1 w 8"/>
              <a:gd name="T35" fmla="*/ 3 h 12"/>
              <a:gd name="T36" fmla="*/ 1 w 8"/>
              <a:gd name="T37" fmla="*/ 3 h 12"/>
              <a:gd name="T38" fmla="*/ 1 w 8"/>
              <a:gd name="T39" fmla="*/ 2 h 12"/>
              <a:gd name="T40" fmla="*/ 1 w 8"/>
              <a:gd name="T41" fmla="*/ 2 h 12"/>
              <a:gd name="T42" fmla="*/ 1 w 8"/>
              <a:gd name="T43" fmla="*/ 2 h 12"/>
              <a:gd name="T44" fmla="*/ 1 w 8"/>
              <a:gd name="T45" fmla="*/ 1 h 12"/>
              <a:gd name="T46" fmla="*/ 1 w 8"/>
              <a:gd name="T47" fmla="*/ 0 h 12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8"/>
              <a:gd name="T73" fmla="*/ 0 h 12"/>
              <a:gd name="T74" fmla="*/ 8 w 8"/>
              <a:gd name="T75" fmla="*/ 12 h 12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8" h="12">
                <a:moveTo>
                  <a:pt x="8" y="0"/>
                </a:moveTo>
                <a:lnTo>
                  <a:pt x="6" y="0"/>
                </a:lnTo>
                <a:lnTo>
                  <a:pt x="6" y="4"/>
                </a:lnTo>
                <a:lnTo>
                  <a:pt x="8" y="4"/>
                </a:lnTo>
                <a:lnTo>
                  <a:pt x="8" y="0"/>
                </a:lnTo>
                <a:lnTo>
                  <a:pt x="4" y="0"/>
                </a:lnTo>
                <a:lnTo>
                  <a:pt x="4" y="2"/>
                </a:lnTo>
                <a:lnTo>
                  <a:pt x="2" y="2"/>
                </a:lnTo>
                <a:lnTo>
                  <a:pt x="2" y="6"/>
                </a:lnTo>
                <a:lnTo>
                  <a:pt x="4" y="10"/>
                </a:lnTo>
                <a:lnTo>
                  <a:pt x="6" y="6"/>
                </a:lnTo>
                <a:lnTo>
                  <a:pt x="0" y="6"/>
                </a:lnTo>
                <a:lnTo>
                  <a:pt x="0" y="10"/>
                </a:lnTo>
                <a:lnTo>
                  <a:pt x="2" y="8"/>
                </a:lnTo>
                <a:lnTo>
                  <a:pt x="0" y="8"/>
                </a:lnTo>
                <a:lnTo>
                  <a:pt x="0" y="12"/>
                </a:lnTo>
                <a:lnTo>
                  <a:pt x="2" y="12"/>
                </a:lnTo>
                <a:lnTo>
                  <a:pt x="4" y="10"/>
                </a:lnTo>
                <a:lnTo>
                  <a:pt x="8" y="10"/>
                </a:lnTo>
                <a:lnTo>
                  <a:pt x="8" y="6"/>
                </a:lnTo>
                <a:lnTo>
                  <a:pt x="6" y="6"/>
                </a:lnTo>
                <a:lnTo>
                  <a:pt x="8" y="6"/>
                </a:lnTo>
                <a:lnTo>
                  <a:pt x="8" y="4"/>
                </a:lnTo>
                <a:lnTo>
                  <a:pt x="8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7" name="Freeform 46"/>
          <xdr:cNvSpPr>
            <a:spLocks/>
          </xdr:cNvSpPr>
        </xdr:nvSpPr>
        <xdr:spPr bwMode="auto">
          <a:xfrm>
            <a:off x="341" y="2205"/>
            <a:ext cx="7" cy="2"/>
          </a:xfrm>
          <a:custGeom>
            <a:avLst/>
            <a:gdLst>
              <a:gd name="T0" fmla="*/ 6 w 36"/>
              <a:gd name="T1" fmla="*/ 2 h 17"/>
              <a:gd name="T2" fmla="*/ 6 w 36"/>
              <a:gd name="T3" fmla="*/ 2 h 17"/>
              <a:gd name="T4" fmla="*/ 7 w 36"/>
              <a:gd name="T5" fmla="*/ 2 h 17"/>
              <a:gd name="T6" fmla="*/ 7 w 36"/>
              <a:gd name="T7" fmla="*/ 1 h 17"/>
              <a:gd name="T8" fmla="*/ 7 w 36"/>
              <a:gd name="T9" fmla="*/ 1 h 17"/>
              <a:gd name="T10" fmla="*/ 7 w 36"/>
              <a:gd name="T11" fmla="*/ 1 h 17"/>
              <a:gd name="T12" fmla="*/ 6 w 36"/>
              <a:gd name="T13" fmla="*/ 1 h 17"/>
              <a:gd name="T14" fmla="*/ 6 w 36"/>
              <a:gd name="T15" fmla="*/ 0 h 17"/>
              <a:gd name="T16" fmla="*/ 6 w 36"/>
              <a:gd name="T17" fmla="*/ 0 h 17"/>
              <a:gd name="T18" fmla="*/ 6 w 36"/>
              <a:gd name="T19" fmla="*/ 0 h 17"/>
              <a:gd name="T20" fmla="*/ 5 w 36"/>
              <a:gd name="T21" fmla="*/ 0 h 17"/>
              <a:gd name="T22" fmla="*/ 5 w 36"/>
              <a:gd name="T23" fmla="*/ 0 h 17"/>
              <a:gd name="T24" fmla="*/ 2 w 36"/>
              <a:gd name="T25" fmla="*/ 0 h 17"/>
              <a:gd name="T26" fmla="*/ 2 w 36"/>
              <a:gd name="T27" fmla="*/ 0 h 17"/>
              <a:gd name="T28" fmla="*/ 1 w 36"/>
              <a:gd name="T29" fmla="*/ 0 h 17"/>
              <a:gd name="T30" fmla="*/ 1 w 36"/>
              <a:gd name="T31" fmla="*/ 0 h 17"/>
              <a:gd name="T32" fmla="*/ 0 w 36"/>
              <a:gd name="T33" fmla="*/ 1 h 17"/>
              <a:gd name="T34" fmla="*/ 0 w 36"/>
              <a:gd name="T35" fmla="*/ 1 h 17"/>
              <a:gd name="T36" fmla="*/ 0 w 36"/>
              <a:gd name="T37" fmla="*/ 2 h 17"/>
              <a:gd name="T38" fmla="*/ 1 w 36"/>
              <a:gd name="T39" fmla="*/ 2 h 17"/>
              <a:gd name="T40" fmla="*/ 1 w 36"/>
              <a:gd name="T41" fmla="*/ 2 h 17"/>
              <a:gd name="T42" fmla="*/ 1 w 36"/>
              <a:gd name="T43" fmla="*/ 1 h 17"/>
              <a:gd name="T44" fmla="*/ 1 w 36"/>
              <a:gd name="T45" fmla="*/ 1 h 17"/>
              <a:gd name="T46" fmla="*/ 1 w 36"/>
              <a:gd name="T47" fmla="*/ 1 h 17"/>
              <a:gd name="T48" fmla="*/ 2 w 36"/>
              <a:gd name="T49" fmla="*/ 1 h 17"/>
              <a:gd name="T50" fmla="*/ 2 w 36"/>
              <a:gd name="T51" fmla="*/ 1 h 17"/>
              <a:gd name="T52" fmla="*/ 2 w 36"/>
              <a:gd name="T53" fmla="*/ 1 h 17"/>
              <a:gd name="T54" fmla="*/ 2 w 36"/>
              <a:gd name="T55" fmla="*/ 0 h 17"/>
              <a:gd name="T56" fmla="*/ 4 w 36"/>
              <a:gd name="T57" fmla="*/ 0 h 17"/>
              <a:gd name="T58" fmla="*/ 4 w 36"/>
              <a:gd name="T59" fmla="*/ 1 h 17"/>
              <a:gd name="T60" fmla="*/ 5 w 36"/>
              <a:gd name="T61" fmla="*/ 1 h 17"/>
              <a:gd name="T62" fmla="*/ 5 w 36"/>
              <a:gd name="T63" fmla="*/ 1 h 17"/>
              <a:gd name="T64" fmla="*/ 5 w 36"/>
              <a:gd name="T65" fmla="*/ 1 h 17"/>
              <a:gd name="T66" fmla="*/ 5 w 36"/>
              <a:gd name="T67" fmla="*/ 1 h 17"/>
              <a:gd name="T68" fmla="*/ 6 w 36"/>
              <a:gd name="T69" fmla="*/ 1 h 17"/>
              <a:gd name="T70" fmla="*/ 6 w 36"/>
              <a:gd name="T71" fmla="*/ 2 h 17"/>
              <a:gd name="T72" fmla="*/ 6 w 36"/>
              <a:gd name="T73" fmla="*/ 2 h 17"/>
              <a:gd name="T74" fmla="*/ 6 w 36"/>
              <a:gd name="T75" fmla="*/ 2 h 17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36"/>
              <a:gd name="T115" fmla="*/ 0 h 17"/>
              <a:gd name="T116" fmla="*/ 36 w 36"/>
              <a:gd name="T117" fmla="*/ 17 h 17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36" h="17">
                <a:moveTo>
                  <a:pt x="32" y="15"/>
                </a:moveTo>
                <a:lnTo>
                  <a:pt x="32" y="17"/>
                </a:lnTo>
                <a:lnTo>
                  <a:pt x="36" y="17"/>
                </a:lnTo>
                <a:lnTo>
                  <a:pt x="36" y="10"/>
                </a:lnTo>
                <a:lnTo>
                  <a:pt x="34" y="10"/>
                </a:lnTo>
                <a:lnTo>
                  <a:pt x="34" y="6"/>
                </a:lnTo>
                <a:lnTo>
                  <a:pt x="32" y="6"/>
                </a:lnTo>
                <a:lnTo>
                  <a:pt x="32" y="4"/>
                </a:lnTo>
                <a:lnTo>
                  <a:pt x="30" y="4"/>
                </a:lnTo>
                <a:lnTo>
                  <a:pt x="30" y="2"/>
                </a:lnTo>
                <a:lnTo>
                  <a:pt x="26" y="2"/>
                </a:lnTo>
                <a:lnTo>
                  <a:pt x="26" y="0"/>
                </a:lnTo>
                <a:lnTo>
                  <a:pt x="8" y="0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2" y="8"/>
                </a:lnTo>
                <a:lnTo>
                  <a:pt x="0" y="8"/>
                </a:lnTo>
                <a:lnTo>
                  <a:pt x="0" y="17"/>
                </a:lnTo>
                <a:lnTo>
                  <a:pt x="4" y="17"/>
                </a:lnTo>
                <a:lnTo>
                  <a:pt x="4" y="15"/>
                </a:lnTo>
                <a:lnTo>
                  <a:pt x="4" y="12"/>
                </a:lnTo>
                <a:lnTo>
                  <a:pt x="6" y="12"/>
                </a:lnTo>
                <a:lnTo>
                  <a:pt x="6" y="8"/>
                </a:lnTo>
                <a:lnTo>
                  <a:pt x="10" y="8"/>
                </a:lnTo>
                <a:lnTo>
                  <a:pt x="10" y="6"/>
                </a:lnTo>
                <a:lnTo>
                  <a:pt x="12" y="6"/>
                </a:lnTo>
                <a:lnTo>
                  <a:pt x="12" y="4"/>
                </a:lnTo>
                <a:lnTo>
                  <a:pt x="22" y="4"/>
                </a:lnTo>
                <a:lnTo>
                  <a:pt x="22" y="6"/>
                </a:lnTo>
                <a:lnTo>
                  <a:pt x="26" y="6"/>
                </a:lnTo>
                <a:lnTo>
                  <a:pt x="26" y="8"/>
                </a:lnTo>
                <a:lnTo>
                  <a:pt x="28" y="8"/>
                </a:lnTo>
                <a:lnTo>
                  <a:pt x="28" y="10"/>
                </a:lnTo>
                <a:lnTo>
                  <a:pt x="30" y="10"/>
                </a:lnTo>
                <a:lnTo>
                  <a:pt x="30" y="14"/>
                </a:lnTo>
                <a:lnTo>
                  <a:pt x="32" y="14"/>
                </a:lnTo>
                <a:lnTo>
                  <a:pt x="32" y="15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8" name="Freeform 47"/>
          <xdr:cNvSpPr>
            <a:spLocks/>
          </xdr:cNvSpPr>
        </xdr:nvSpPr>
        <xdr:spPr bwMode="auto">
          <a:xfrm>
            <a:off x="341" y="2207"/>
            <a:ext cx="1" cy="5"/>
          </a:xfrm>
          <a:custGeom>
            <a:avLst/>
            <a:gdLst>
              <a:gd name="T0" fmla="*/ 1 w 4"/>
              <a:gd name="T1" fmla="*/ 0 h 19"/>
              <a:gd name="T2" fmla="*/ 1 w 4"/>
              <a:gd name="T3" fmla="*/ 0 h 19"/>
              <a:gd name="T4" fmla="*/ 0 w 4"/>
              <a:gd name="T5" fmla="*/ 0 h 19"/>
              <a:gd name="T6" fmla="*/ 0 w 4"/>
              <a:gd name="T7" fmla="*/ 5 h 19"/>
              <a:gd name="T8" fmla="*/ 1 w 4"/>
              <a:gd name="T9" fmla="*/ 5 h 19"/>
              <a:gd name="T10" fmla="*/ 1 w 4"/>
              <a:gd name="T11" fmla="*/ 4 h 19"/>
              <a:gd name="T12" fmla="*/ 1 w 4"/>
              <a:gd name="T13" fmla="*/ 0 h 1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9"/>
              <a:gd name="T23" fmla="*/ 4 w 4"/>
              <a:gd name="T24" fmla="*/ 19 h 1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9">
                <a:moveTo>
                  <a:pt x="4" y="1"/>
                </a:moveTo>
                <a:lnTo>
                  <a:pt x="4" y="0"/>
                </a:lnTo>
                <a:lnTo>
                  <a:pt x="0" y="0"/>
                </a:lnTo>
                <a:lnTo>
                  <a:pt x="0" y="19"/>
                </a:lnTo>
                <a:lnTo>
                  <a:pt x="4" y="19"/>
                </a:lnTo>
                <a:lnTo>
                  <a:pt x="4" y="17"/>
                </a:lnTo>
                <a:lnTo>
                  <a:pt x="4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49" name="Freeform 48"/>
          <xdr:cNvSpPr>
            <a:spLocks/>
          </xdr:cNvSpPr>
        </xdr:nvSpPr>
        <xdr:spPr bwMode="auto">
          <a:xfrm>
            <a:off x="347" y="2207"/>
            <a:ext cx="1" cy="2"/>
          </a:xfrm>
          <a:custGeom>
            <a:avLst/>
            <a:gdLst>
              <a:gd name="T0" fmla="*/ 1 w 4"/>
              <a:gd name="T1" fmla="*/ 0 h 9"/>
              <a:gd name="T2" fmla="*/ 1 w 4"/>
              <a:gd name="T3" fmla="*/ 0 h 9"/>
              <a:gd name="T4" fmla="*/ 0 w 4"/>
              <a:gd name="T5" fmla="*/ 0 h 9"/>
              <a:gd name="T6" fmla="*/ 0 w 4"/>
              <a:gd name="T7" fmla="*/ 2 h 9"/>
              <a:gd name="T8" fmla="*/ 1 w 4"/>
              <a:gd name="T9" fmla="*/ 2 h 9"/>
              <a:gd name="T10" fmla="*/ 1 w 4"/>
              <a:gd name="T11" fmla="*/ 2 h 9"/>
              <a:gd name="T12" fmla="*/ 1 w 4"/>
              <a:gd name="T13" fmla="*/ 0 h 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9"/>
              <a:gd name="T23" fmla="*/ 4 w 4"/>
              <a:gd name="T24" fmla="*/ 9 h 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9">
                <a:moveTo>
                  <a:pt x="4" y="1"/>
                </a:moveTo>
                <a:lnTo>
                  <a:pt x="4" y="0"/>
                </a:lnTo>
                <a:lnTo>
                  <a:pt x="0" y="0"/>
                </a:lnTo>
                <a:lnTo>
                  <a:pt x="0" y="9"/>
                </a:lnTo>
                <a:lnTo>
                  <a:pt x="4" y="9"/>
                </a:lnTo>
                <a:lnTo>
                  <a:pt x="4" y="7"/>
                </a:lnTo>
                <a:lnTo>
                  <a:pt x="4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0" name="Freeform 49"/>
          <xdr:cNvSpPr>
            <a:spLocks/>
          </xdr:cNvSpPr>
        </xdr:nvSpPr>
        <xdr:spPr bwMode="auto">
          <a:xfrm>
            <a:off x="332" y="2206"/>
            <a:ext cx="1" cy="4"/>
          </a:xfrm>
          <a:custGeom>
            <a:avLst/>
            <a:gdLst>
              <a:gd name="T0" fmla="*/ 1 w 4"/>
              <a:gd name="T1" fmla="*/ 0 h 17"/>
              <a:gd name="T2" fmla="*/ 1 w 4"/>
              <a:gd name="T3" fmla="*/ 0 h 17"/>
              <a:gd name="T4" fmla="*/ 0 w 4"/>
              <a:gd name="T5" fmla="*/ 0 h 17"/>
              <a:gd name="T6" fmla="*/ 0 w 4"/>
              <a:gd name="T7" fmla="*/ 4 h 17"/>
              <a:gd name="T8" fmla="*/ 1 w 4"/>
              <a:gd name="T9" fmla="*/ 4 h 17"/>
              <a:gd name="T10" fmla="*/ 1 w 4"/>
              <a:gd name="T11" fmla="*/ 4 h 17"/>
              <a:gd name="T12" fmla="*/ 1 w 4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7"/>
              <a:gd name="T23" fmla="*/ 4 w 4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7"/>
                </a:lnTo>
                <a:lnTo>
                  <a:pt x="4" y="17"/>
                </a:lnTo>
                <a:lnTo>
                  <a:pt x="4" y="15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1" name="Freeform 50"/>
          <xdr:cNvSpPr>
            <a:spLocks/>
          </xdr:cNvSpPr>
        </xdr:nvSpPr>
        <xdr:spPr bwMode="auto">
          <a:xfrm>
            <a:off x="339" y="2202"/>
            <a:ext cx="3" cy="3"/>
          </a:xfrm>
          <a:custGeom>
            <a:avLst/>
            <a:gdLst>
              <a:gd name="T0" fmla="*/ 2 w 10"/>
              <a:gd name="T1" fmla="*/ 1 h 10"/>
              <a:gd name="T2" fmla="*/ 2 w 10"/>
              <a:gd name="T3" fmla="*/ 2 h 10"/>
              <a:gd name="T4" fmla="*/ 3 w 10"/>
              <a:gd name="T5" fmla="*/ 2 h 10"/>
              <a:gd name="T6" fmla="*/ 3 w 10"/>
              <a:gd name="T7" fmla="*/ 0 h 10"/>
              <a:gd name="T8" fmla="*/ 1 w 10"/>
              <a:gd name="T9" fmla="*/ 0 h 10"/>
              <a:gd name="T10" fmla="*/ 1 w 10"/>
              <a:gd name="T11" fmla="*/ 1 h 10"/>
              <a:gd name="T12" fmla="*/ 1 w 10"/>
              <a:gd name="T13" fmla="*/ 1 h 10"/>
              <a:gd name="T14" fmla="*/ 1 w 10"/>
              <a:gd name="T15" fmla="*/ 2 h 10"/>
              <a:gd name="T16" fmla="*/ 2 w 10"/>
              <a:gd name="T17" fmla="*/ 2 h 10"/>
              <a:gd name="T18" fmla="*/ 2 w 10"/>
              <a:gd name="T19" fmla="*/ 1 h 10"/>
              <a:gd name="T20" fmla="*/ 1 w 10"/>
              <a:gd name="T21" fmla="*/ 1 h 10"/>
              <a:gd name="T22" fmla="*/ 1 w 10"/>
              <a:gd name="T23" fmla="*/ 1 h 10"/>
              <a:gd name="T24" fmla="*/ 0 w 10"/>
              <a:gd name="T25" fmla="*/ 1 h 10"/>
              <a:gd name="T26" fmla="*/ 0 w 10"/>
              <a:gd name="T27" fmla="*/ 3 h 10"/>
              <a:gd name="T28" fmla="*/ 2 w 10"/>
              <a:gd name="T29" fmla="*/ 3 h 10"/>
              <a:gd name="T30" fmla="*/ 2 w 10"/>
              <a:gd name="T31" fmla="*/ 2 h 10"/>
              <a:gd name="T32" fmla="*/ 1 w 10"/>
              <a:gd name="T33" fmla="*/ 2 h 10"/>
              <a:gd name="T34" fmla="*/ 1 w 10"/>
              <a:gd name="T35" fmla="*/ 2 h 10"/>
              <a:gd name="T36" fmla="*/ 2 w 10"/>
              <a:gd name="T37" fmla="*/ 2 h 10"/>
              <a:gd name="T38" fmla="*/ 2 w 10"/>
              <a:gd name="T39" fmla="*/ 2 h 10"/>
              <a:gd name="T40" fmla="*/ 1 w 10"/>
              <a:gd name="T41" fmla="*/ 2 h 10"/>
              <a:gd name="T42" fmla="*/ 2 w 10"/>
              <a:gd name="T43" fmla="*/ 1 h 10"/>
              <a:gd name="T44" fmla="*/ 2 w 10"/>
              <a:gd name="T45" fmla="*/ 2 h 10"/>
              <a:gd name="T46" fmla="*/ 2 w 10"/>
              <a:gd name="T47" fmla="*/ 2 h 10"/>
              <a:gd name="T48" fmla="*/ 2 w 10"/>
              <a:gd name="T49" fmla="*/ 1 h 10"/>
              <a:gd name="T50" fmla="*/ 2 w 10"/>
              <a:gd name="T51" fmla="*/ 1 h 10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10"/>
              <a:gd name="T79" fmla="*/ 0 h 10"/>
              <a:gd name="T80" fmla="*/ 10 w 10"/>
              <a:gd name="T81" fmla="*/ 10 h 10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10" h="10">
                <a:moveTo>
                  <a:pt x="6" y="4"/>
                </a:moveTo>
                <a:lnTo>
                  <a:pt x="6" y="6"/>
                </a:lnTo>
                <a:lnTo>
                  <a:pt x="10" y="6"/>
                </a:lnTo>
                <a:lnTo>
                  <a:pt x="10" y="0"/>
                </a:lnTo>
                <a:lnTo>
                  <a:pt x="4" y="0"/>
                </a:lnTo>
                <a:lnTo>
                  <a:pt x="4" y="2"/>
                </a:lnTo>
                <a:lnTo>
                  <a:pt x="2" y="2"/>
                </a:lnTo>
                <a:lnTo>
                  <a:pt x="2" y="8"/>
                </a:lnTo>
                <a:lnTo>
                  <a:pt x="8" y="8"/>
                </a:lnTo>
                <a:lnTo>
                  <a:pt x="8" y="2"/>
                </a:lnTo>
                <a:lnTo>
                  <a:pt x="2" y="2"/>
                </a:lnTo>
                <a:lnTo>
                  <a:pt x="2" y="4"/>
                </a:lnTo>
                <a:lnTo>
                  <a:pt x="0" y="4"/>
                </a:lnTo>
                <a:lnTo>
                  <a:pt x="0" y="10"/>
                </a:lnTo>
                <a:lnTo>
                  <a:pt x="6" y="10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6"/>
                </a:lnTo>
                <a:lnTo>
                  <a:pt x="4" y="6"/>
                </a:lnTo>
                <a:lnTo>
                  <a:pt x="6" y="4"/>
                </a:lnTo>
                <a:lnTo>
                  <a:pt x="6" y="6"/>
                </a:lnTo>
                <a:lnTo>
                  <a:pt x="8" y="6"/>
                </a:lnTo>
                <a:lnTo>
                  <a:pt x="8" y="4"/>
                </a:lnTo>
                <a:lnTo>
                  <a:pt x="6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2" name="Freeform 51"/>
          <xdr:cNvSpPr>
            <a:spLocks/>
          </xdr:cNvSpPr>
        </xdr:nvSpPr>
        <xdr:spPr bwMode="auto">
          <a:xfrm>
            <a:off x="346" y="2212"/>
            <a:ext cx="9" cy="1"/>
          </a:xfrm>
          <a:custGeom>
            <a:avLst/>
            <a:gdLst>
              <a:gd name="T0" fmla="*/ 0 w 53"/>
              <a:gd name="T1" fmla="*/ 0 h 4"/>
              <a:gd name="T2" fmla="*/ 0 w 53"/>
              <a:gd name="T3" fmla="*/ 0 h 4"/>
              <a:gd name="T4" fmla="*/ 0 w 53"/>
              <a:gd name="T5" fmla="*/ 1 h 4"/>
              <a:gd name="T6" fmla="*/ 9 w 53"/>
              <a:gd name="T7" fmla="*/ 1 h 4"/>
              <a:gd name="T8" fmla="*/ 9 w 53"/>
              <a:gd name="T9" fmla="*/ 0 h 4"/>
              <a:gd name="T10" fmla="*/ 9 w 53"/>
              <a:gd name="T11" fmla="*/ 0 h 4"/>
              <a:gd name="T12" fmla="*/ 0 w 53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3"/>
              <a:gd name="T22" fmla="*/ 0 h 4"/>
              <a:gd name="T23" fmla="*/ 53 w 53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3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53" y="4"/>
                </a:lnTo>
                <a:lnTo>
                  <a:pt x="53" y="0"/>
                </a:lnTo>
                <a:lnTo>
                  <a:pt x="51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3" name="Freeform 52"/>
          <xdr:cNvSpPr>
            <a:spLocks/>
          </xdr:cNvSpPr>
        </xdr:nvSpPr>
        <xdr:spPr bwMode="auto">
          <a:xfrm>
            <a:off x="329" y="2213"/>
            <a:ext cx="26" cy="1"/>
          </a:xfrm>
          <a:custGeom>
            <a:avLst/>
            <a:gdLst>
              <a:gd name="T0" fmla="*/ 0 w 128"/>
              <a:gd name="T1" fmla="*/ 0 h 4"/>
              <a:gd name="T2" fmla="*/ 0 w 128"/>
              <a:gd name="T3" fmla="*/ 0 h 4"/>
              <a:gd name="T4" fmla="*/ 0 w 128"/>
              <a:gd name="T5" fmla="*/ 1 h 4"/>
              <a:gd name="T6" fmla="*/ 26 w 128"/>
              <a:gd name="T7" fmla="*/ 1 h 4"/>
              <a:gd name="T8" fmla="*/ 26 w 128"/>
              <a:gd name="T9" fmla="*/ 0 h 4"/>
              <a:gd name="T10" fmla="*/ 26 w 128"/>
              <a:gd name="T11" fmla="*/ 0 h 4"/>
              <a:gd name="T12" fmla="*/ 0 w 12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28"/>
              <a:gd name="T22" fmla="*/ 0 h 4"/>
              <a:gd name="T23" fmla="*/ 128 w 128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2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28" y="4"/>
                </a:lnTo>
                <a:lnTo>
                  <a:pt x="128" y="0"/>
                </a:lnTo>
                <a:lnTo>
                  <a:pt x="12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4" name="Freeform 53"/>
          <xdr:cNvSpPr>
            <a:spLocks/>
          </xdr:cNvSpPr>
        </xdr:nvSpPr>
        <xdr:spPr bwMode="auto">
          <a:xfrm>
            <a:off x="332" y="2214"/>
            <a:ext cx="23" cy="2"/>
          </a:xfrm>
          <a:custGeom>
            <a:avLst/>
            <a:gdLst>
              <a:gd name="T0" fmla="*/ 0 w 118"/>
              <a:gd name="T1" fmla="*/ 0 h 4"/>
              <a:gd name="T2" fmla="*/ 0 w 118"/>
              <a:gd name="T3" fmla="*/ 0 h 4"/>
              <a:gd name="T4" fmla="*/ 0 w 118"/>
              <a:gd name="T5" fmla="*/ 2 h 4"/>
              <a:gd name="T6" fmla="*/ 23 w 118"/>
              <a:gd name="T7" fmla="*/ 2 h 4"/>
              <a:gd name="T8" fmla="*/ 23 w 118"/>
              <a:gd name="T9" fmla="*/ 0 h 4"/>
              <a:gd name="T10" fmla="*/ 23 w 118"/>
              <a:gd name="T11" fmla="*/ 0 h 4"/>
              <a:gd name="T12" fmla="*/ 0 w 11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18"/>
              <a:gd name="T22" fmla="*/ 0 h 4"/>
              <a:gd name="T23" fmla="*/ 118 w 118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1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18" y="4"/>
                </a:lnTo>
                <a:lnTo>
                  <a:pt x="118" y="0"/>
                </a:lnTo>
                <a:lnTo>
                  <a:pt x="11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5" name="Freeform 54"/>
          <xdr:cNvSpPr>
            <a:spLocks/>
          </xdr:cNvSpPr>
        </xdr:nvSpPr>
        <xdr:spPr bwMode="auto">
          <a:xfrm>
            <a:off x="355" y="2210"/>
            <a:ext cx="3" cy="6"/>
          </a:xfrm>
          <a:custGeom>
            <a:avLst/>
            <a:gdLst>
              <a:gd name="T0" fmla="*/ 3 w 12"/>
              <a:gd name="T1" fmla="*/ 2 h 23"/>
              <a:gd name="T2" fmla="*/ 3 w 12"/>
              <a:gd name="T3" fmla="*/ 1 h 23"/>
              <a:gd name="T4" fmla="*/ 3 w 12"/>
              <a:gd name="T5" fmla="*/ 1 h 23"/>
              <a:gd name="T6" fmla="*/ 3 w 12"/>
              <a:gd name="T7" fmla="*/ 0 h 23"/>
              <a:gd name="T8" fmla="*/ 1 w 12"/>
              <a:gd name="T9" fmla="*/ 0 h 23"/>
              <a:gd name="T10" fmla="*/ 1 w 12"/>
              <a:gd name="T11" fmla="*/ 1 h 23"/>
              <a:gd name="T12" fmla="*/ 0 w 12"/>
              <a:gd name="T13" fmla="*/ 1 h 23"/>
              <a:gd name="T14" fmla="*/ 0 w 12"/>
              <a:gd name="T15" fmla="*/ 6 h 23"/>
              <a:gd name="T16" fmla="*/ 1 w 12"/>
              <a:gd name="T17" fmla="*/ 6 h 23"/>
              <a:gd name="T18" fmla="*/ 1 w 12"/>
              <a:gd name="T19" fmla="*/ 6 h 23"/>
              <a:gd name="T20" fmla="*/ 3 w 12"/>
              <a:gd name="T21" fmla="*/ 6 h 23"/>
              <a:gd name="T22" fmla="*/ 3 w 12"/>
              <a:gd name="T23" fmla="*/ 6 h 23"/>
              <a:gd name="T24" fmla="*/ 3 w 12"/>
              <a:gd name="T25" fmla="*/ 6 h 23"/>
              <a:gd name="T26" fmla="*/ 3 w 12"/>
              <a:gd name="T27" fmla="*/ 5 h 23"/>
              <a:gd name="T28" fmla="*/ 3 w 12"/>
              <a:gd name="T29" fmla="*/ 2 h 23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23"/>
              <a:gd name="T47" fmla="*/ 12 w 12"/>
              <a:gd name="T48" fmla="*/ 23 h 23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23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22"/>
                </a:lnTo>
                <a:lnTo>
                  <a:pt x="2" y="22"/>
                </a:lnTo>
                <a:lnTo>
                  <a:pt x="2" y="23"/>
                </a:lnTo>
                <a:lnTo>
                  <a:pt x="10" y="23"/>
                </a:lnTo>
                <a:lnTo>
                  <a:pt x="10" y="22"/>
                </a:lnTo>
                <a:lnTo>
                  <a:pt x="12" y="22"/>
                </a:lnTo>
                <a:lnTo>
                  <a:pt x="12" y="18"/>
                </a:lnTo>
                <a:lnTo>
                  <a:pt x="12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6" name="Freeform 55"/>
          <xdr:cNvSpPr>
            <a:spLocks/>
          </xdr:cNvSpPr>
        </xdr:nvSpPr>
        <xdr:spPr bwMode="auto">
          <a:xfrm>
            <a:off x="331" y="2214"/>
            <a:ext cx="1" cy="28"/>
          </a:xfrm>
          <a:custGeom>
            <a:avLst/>
            <a:gdLst>
              <a:gd name="T0" fmla="*/ 0 w 4"/>
              <a:gd name="T1" fmla="*/ 28 h 120"/>
              <a:gd name="T2" fmla="*/ 0 w 4"/>
              <a:gd name="T3" fmla="*/ 28 h 120"/>
              <a:gd name="T4" fmla="*/ 1 w 4"/>
              <a:gd name="T5" fmla="*/ 28 h 120"/>
              <a:gd name="T6" fmla="*/ 1 w 4"/>
              <a:gd name="T7" fmla="*/ 0 h 120"/>
              <a:gd name="T8" fmla="*/ 0 w 4"/>
              <a:gd name="T9" fmla="*/ 0 h 120"/>
              <a:gd name="T10" fmla="*/ 0 w 4"/>
              <a:gd name="T11" fmla="*/ 0 h 120"/>
              <a:gd name="T12" fmla="*/ 0 w 4"/>
              <a:gd name="T13" fmla="*/ 28 h 12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20"/>
              <a:gd name="T23" fmla="*/ 4 w 4"/>
              <a:gd name="T24" fmla="*/ 120 h 12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20">
                <a:moveTo>
                  <a:pt x="0" y="118"/>
                </a:moveTo>
                <a:lnTo>
                  <a:pt x="0" y="120"/>
                </a:lnTo>
                <a:lnTo>
                  <a:pt x="4" y="120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11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7" name="Line 56"/>
          <xdr:cNvSpPr>
            <a:spLocks noChangeShapeType="1"/>
          </xdr:cNvSpPr>
        </xdr:nvSpPr>
        <xdr:spPr bwMode="auto">
          <a:xfrm>
            <a:off x="271" y="2220"/>
            <a:ext cx="2" cy="8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8" name="Freeform 57"/>
          <xdr:cNvSpPr>
            <a:spLocks/>
          </xdr:cNvSpPr>
        </xdr:nvSpPr>
        <xdr:spPr bwMode="auto">
          <a:xfrm>
            <a:off x="258" y="2219"/>
            <a:ext cx="1" cy="11"/>
          </a:xfrm>
          <a:custGeom>
            <a:avLst/>
            <a:gdLst>
              <a:gd name="T0" fmla="*/ 1 w 4"/>
              <a:gd name="T1" fmla="*/ 1 h 43"/>
              <a:gd name="T2" fmla="*/ 1 w 4"/>
              <a:gd name="T3" fmla="*/ 0 h 43"/>
              <a:gd name="T4" fmla="*/ 0 w 4"/>
              <a:gd name="T5" fmla="*/ 0 h 43"/>
              <a:gd name="T6" fmla="*/ 0 w 4"/>
              <a:gd name="T7" fmla="*/ 11 h 43"/>
              <a:gd name="T8" fmla="*/ 1 w 4"/>
              <a:gd name="T9" fmla="*/ 11 h 43"/>
              <a:gd name="T10" fmla="*/ 1 w 4"/>
              <a:gd name="T11" fmla="*/ 10 h 43"/>
              <a:gd name="T12" fmla="*/ 1 w 4"/>
              <a:gd name="T13" fmla="*/ 1 h 4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43"/>
              <a:gd name="T23" fmla="*/ 4 w 4"/>
              <a:gd name="T24" fmla="*/ 43 h 4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4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43"/>
                </a:lnTo>
                <a:lnTo>
                  <a:pt x="4" y="43"/>
                </a:lnTo>
                <a:lnTo>
                  <a:pt x="4" y="41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59" name="Freeform 58"/>
          <xdr:cNvSpPr>
            <a:spLocks/>
          </xdr:cNvSpPr>
        </xdr:nvSpPr>
        <xdr:spPr bwMode="auto">
          <a:xfrm>
            <a:off x="300" y="2219"/>
            <a:ext cx="1" cy="4"/>
          </a:xfrm>
          <a:custGeom>
            <a:avLst/>
            <a:gdLst>
              <a:gd name="T0" fmla="*/ 1 w 4"/>
              <a:gd name="T1" fmla="*/ 0 h 18"/>
              <a:gd name="T2" fmla="*/ 1 w 4"/>
              <a:gd name="T3" fmla="*/ 0 h 18"/>
              <a:gd name="T4" fmla="*/ 0 w 4"/>
              <a:gd name="T5" fmla="*/ 0 h 18"/>
              <a:gd name="T6" fmla="*/ 0 w 4"/>
              <a:gd name="T7" fmla="*/ 4 h 18"/>
              <a:gd name="T8" fmla="*/ 1 w 4"/>
              <a:gd name="T9" fmla="*/ 4 h 18"/>
              <a:gd name="T10" fmla="*/ 1 w 4"/>
              <a:gd name="T11" fmla="*/ 4 h 18"/>
              <a:gd name="T12" fmla="*/ 1 w 4"/>
              <a:gd name="T13" fmla="*/ 0 h 1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8"/>
              <a:gd name="T23" fmla="*/ 4 w 4"/>
              <a:gd name="T24" fmla="*/ 18 h 1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8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8"/>
                </a:lnTo>
                <a:lnTo>
                  <a:pt x="4" y="18"/>
                </a:lnTo>
                <a:lnTo>
                  <a:pt x="4" y="16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0" name="Freeform 59"/>
          <xdr:cNvSpPr>
            <a:spLocks/>
          </xdr:cNvSpPr>
        </xdr:nvSpPr>
        <xdr:spPr bwMode="auto">
          <a:xfrm>
            <a:off x="300" y="2224"/>
            <a:ext cx="1" cy="3"/>
          </a:xfrm>
          <a:custGeom>
            <a:avLst/>
            <a:gdLst>
              <a:gd name="T0" fmla="*/ 1 w 4"/>
              <a:gd name="T1" fmla="*/ 0 h 13"/>
              <a:gd name="T2" fmla="*/ 1 w 4"/>
              <a:gd name="T3" fmla="*/ 0 h 13"/>
              <a:gd name="T4" fmla="*/ 0 w 4"/>
              <a:gd name="T5" fmla="*/ 0 h 13"/>
              <a:gd name="T6" fmla="*/ 0 w 4"/>
              <a:gd name="T7" fmla="*/ 3 h 13"/>
              <a:gd name="T8" fmla="*/ 1 w 4"/>
              <a:gd name="T9" fmla="*/ 3 h 13"/>
              <a:gd name="T10" fmla="*/ 1 w 4"/>
              <a:gd name="T11" fmla="*/ 3 h 13"/>
              <a:gd name="T12" fmla="*/ 1 w 4"/>
              <a:gd name="T13" fmla="*/ 0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3"/>
              <a:gd name="T23" fmla="*/ 4 w 4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3"/>
                </a:lnTo>
                <a:lnTo>
                  <a:pt x="4" y="13"/>
                </a:lnTo>
                <a:lnTo>
                  <a:pt x="4" y="11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1" name="Freeform 60"/>
          <xdr:cNvSpPr>
            <a:spLocks/>
          </xdr:cNvSpPr>
        </xdr:nvSpPr>
        <xdr:spPr bwMode="auto">
          <a:xfrm>
            <a:off x="300" y="2228"/>
            <a:ext cx="1" cy="17"/>
          </a:xfrm>
          <a:custGeom>
            <a:avLst/>
            <a:gdLst>
              <a:gd name="T0" fmla="*/ 1 w 4"/>
              <a:gd name="T1" fmla="*/ 0 h 74"/>
              <a:gd name="T2" fmla="*/ 1 w 4"/>
              <a:gd name="T3" fmla="*/ 0 h 74"/>
              <a:gd name="T4" fmla="*/ 0 w 4"/>
              <a:gd name="T5" fmla="*/ 0 h 74"/>
              <a:gd name="T6" fmla="*/ 0 w 4"/>
              <a:gd name="T7" fmla="*/ 17 h 74"/>
              <a:gd name="T8" fmla="*/ 1 w 4"/>
              <a:gd name="T9" fmla="*/ 17 h 74"/>
              <a:gd name="T10" fmla="*/ 1 w 4"/>
              <a:gd name="T11" fmla="*/ 17 h 74"/>
              <a:gd name="T12" fmla="*/ 1 w 4"/>
              <a:gd name="T13" fmla="*/ 0 h 7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74"/>
              <a:gd name="T23" fmla="*/ 4 w 4"/>
              <a:gd name="T24" fmla="*/ 74 h 7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7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74"/>
                </a:lnTo>
                <a:lnTo>
                  <a:pt x="4" y="74"/>
                </a:lnTo>
                <a:lnTo>
                  <a:pt x="4" y="72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2" name="Freeform 61"/>
          <xdr:cNvSpPr>
            <a:spLocks/>
          </xdr:cNvSpPr>
        </xdr:nvSpPr>
        <xdr:spPr bwMode="auto">
          <a:xfrm>
            <a:off x="298" y="2245"/>
            <a:ext cx="5" cy="10"/>
          </a:xfrm>
          <a:custGeom>
            <a:avLst/>
            <a:gdLst>
              <a:gd name="T0" fmla="*/ 5 w 19"/>
              <a:gd name="T1" fmla="*/ 0 h 41"/>
              <a:gd name="T2" fmla="*/ 5 w 19"/>
              <a:gd name="T3" fmla="*/ 0 h 41"/>
              <a:gd name="T4" fmla="*/ 4 w 19"/>
              <a:gd name="T5" fmla="*/ 0 h 41"/>
              <a:gd name="T6" fmla="*/ 4 w 19"/>
              <a:gd name="T7" fmla="*/ 0 h 41"/>
              <a:gd name="T8" fmla="*/ 4 w 19"/>
              <a:gd name="T9" fmla="*/ 0 h 41"/>
              <a:gd name="T10" fmla="*/ 3 w 19"/>
              <a:gd name="T11" fmla="*/ 1 h 41"/>
              <a:gd name="T12" fmla="*/ 3 w 19"/>
              <a:gd name="T13" fmla="*/ 1 h 41"/>
              <a:gd name="T14" fmla="*/ 3 w 19"/>
              <a:gd name="T15" fmla="*/ 1 h 41"/>
              <a:gd name="T16" fmla="*/ 3 w 19"/>
              <a:gd name="T17" fmla="*/ 3 h 41"/>
              <a:gd name="T18" fmla="*/ 2 w 19"/>
              <a:gd name="T19" fmla="*/ 3 h 41"/>
              <a:gd name="T20" fmla="*/ 2 w 19"/>
              <a:gd name="T21" fmla="*/ 6 h 41"/>
              <a:gd name="T22" fmla="*/ 2 w 19"/>
              <a:gd name="T23" fmla="*/ 6 h 41"/>
              <a:gd name="T24" fmla="*/ 2 w 19"/>
              <a:gd name="T25" fmla="*/ 7 h 41"/>
              <a:gd name="T26" fmla="*/ 1 w 19"/>
              <a:gd name="T27" fmla="*/ 7 h 41"/>
              <a:gd name="T28" fmla="*/ 1 w 19"/>
              <a:gd name="T29" fmla="*/ 7 h 41"/>
              <a:gd name="T30" fmla="*/ 1 w 19"/>
              <a:gd name="T31" fmla="*/ 7 h 41"/>
              <a:gd name="T32" fmla="*/ 1 w 19"/>
              <a:gd name="T33" fmla="*/ 8 h 41"/>
              <a:gd name="T34" fmla="*/ 1 w 19"/>
              <a:gd name="T35" fmla="*/ 8 h 41"/>
              <a:gd name="T36" fmla="*/ 1 w 19"/>
              <a:gd name="T37" fmla="*/ 8 h 41"/>
              <a:gd name="T38" fmla="*/ 0 w 19"/>
              <a:gd name="T39" fmla="*/ 8 h 41"/>
              <a:gd name="T40" fmla="*/ 0 w 19"/>
              <a:gd name="T41" fmla="*/ 10 h 41"/>
              <a:gd name="T42" fmla="*/ 1 w 19"/>
              <a:gd name="T43" fmla="*/ 10 h 41"/>
              <a:gd name="T44" fmla="*/ 1 w 19"/>
              <a:gd name="T45" fmla="*/ 10 h 41"/>
              <a:gd name="T46" fmla="*/ 1 w 19"/>
              <a:gd name="T47" fmla="*/ 9 h 41"/>
              <a:gd name="T48" fmla="*/ 1 w 19"/>
              <a:gd name="T49" fmla="*/ 9 h 41"/>
              <a:gd name="T50" fmla="*/ 1 w 19"/>
              <a:gd name="T51" fmla="*/ 9 h 41"/>
              <a:gd name="T52" fmla="*/ 2 w 19"/>
              <a:gd name="T53" fmla="*/ 9 h 41"/>
              <a:gd name="T54" fmla="*/ 2 w 19"/>
              <a:gd name="T55" fmla="*/ 8 h 41"/>
              <a:gd name="T56" fmla="*/ 2 w 19"/>
              <a:gd name="T57" fmla="*/ 8 h 41"/>
              <a:gd name="T58" fmla="*/ 2 w 19"/>
              <a:gd name="T59" fmla="*/ 8 h 41"/>
              <a:gd name="T60" fmla="*/ 3 w 19"/>
              <a:gd name="T61" fmla="*/ 8 h 41"/>
              <a:gd name="T62" fmla="*/ 3 w 19"/>
              <a:gd name="T63" fmla="*/ 7 h 41"/>
              <a:gd name="T64" fmla="*/ 3 w 19"/>
              <a:gd name="T65" fmla="*/ 7 h 41"/>
              <a:gd name="T66" fmla="*/ 3 w 19"/>
              <a:gd name="T67" fmla="*/ 4 h 41"/>
              <a:gd name="T68" fmla="*/ 4 w 19"/>
              <a:gd name="T69" fmla="*/ 4 h 41"/>
              <a:gd name="T70" fmla="*/ 4 w 19"/>
              <a:gd name="T71" fmla="*/ 2 h 41"/>
              <a:gd name="T72" fmla="*/ 4 w 19"/>
              <a:gd name="T73" fmla="*/ 2 h 41"/>
              <a:gd name="T74" fmla="*/ 4 w 19"/>
              <a:gd name="T75" fmla="*/ 1 h 41"/>
              <a:gd name="T76" fmla="*/ 5 w 19"/>
              <a:gd name="T77" fmla="*/ 1 h 41"/>
              <a:gd name="T78" fmla="*/ 5 w 19"/>
              <a:gd name="T79" fmla="*/ 0 h 41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19"/>
              <a:gd name="T121" fmla="*/ 0 h 41"/>
              <a:gd name="T122" fmla="*/ 19 w 19"/>
              <a:gd name="T123" fmla="*/ 41 h 41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19" h="41">
                <a:moveTo>
                  <a:pt x="19" y="2"/>
                </a:moveTo>
                <a:lnTo>
                  <a:pt x="19" y="0"/>
                </a:lnTo>
                <a:lnTo>
                  <a:pt x="15" y="0"/>
                </a:lnTo>
                <a:lnTo>
                  <a:pt x="15" y="2"/>
                </a:lnTo>
                <a:lnTo>
                  <a:pt x="15" y="0"/>
                </a:lnTo>
                <a:lnTo>
                  <a:pt x="13" y="4"/>
                </a:lnTo>
                <a:lnTo>
                  <a:pt x="13" y="6"/>
                </a:lnTo>
                <a:lnTo>
                  <a:pt x="11" y="6"/>
                </a:lnTo>
                <a:lnTo>
                  <a:pt x="11" y="14"/>
                </a:lnTo>
                <a:lnTo>
                  <a:pt x="9" y="14"/>
                </a:lnTo>
                <a:lnTo>
                  <a:pt x="9" y="25"/>
                </a:lnTo>
                <a:lnTo>
                  <a:pt x="9" y="23"/>
                </a:lnTo>
                <a:lnTo>
                  <a:pt x="7" y="27"/>
                </a:lnTo>
                <a:lnTo>
                  <a:pt x="5" y="27"/>
                </a:lnTo>
                <a:lnTo>
                  <a:pt x="5" y="29"/>
                </a:lnTo>
                <a:lnTo>
                  <a:pt x="3" y="29"/>
                </a:lnTo>
                <a:lnTo>
                  <a:pt x="3" y="31"/>
                </a:lnTo>
                <a:lnTo>
                  <a:pt x="2" y="31"/>
                </a:lnTo>
                <a:lnTo>
                  <a:pt x="2" y="33"/>
                </a:lnTo>
                <a:lnTo>
                  <a:pt x="0" y="33"/>
                </a:lnTo>
                <a:lnTo>
                  <a:pt x="0" y="41"/>
                </a:lnTo>
                <a:lnTo>
                  <a:pt x="3" y="41"/>
                </a:lnTo>
                <a:lnTo>
                  <a:pt x="3" y="39"/>
                </a:lnTo>
                <a:lnTo>
                  <a:pt x="3" y="37"/>
                </a:lnTo>
                <a:lnTo>
                  <a:pt x="5" y="37"/>
                </a:lnTo>
                <a:lnTo>
                  <a:pt x="5" y="35"/>
                </a:lnTo>
                <a:lnTo>
                  <a:pt x="7" y="35"/>
                </a:lnTo>
                <a:lnTo>
                  <a:pt x="7" y="33"/>
                </a:lnTo>
                <a:lnTo>
                  <a:pt x="9" y="33"/>
                </a:lnTo>
                <a:lnTo>
                  <a:pt x="9" y="31"/>
                </a:lnTo>
                <a:lnTo>
                  <a:pt x="11" y="31"/>
                </a:lnTo>
                <a:lnTo>
                  <a:pt x="11" y="27"/>
                </a:lnTo>
                <a:lnTo>
                  <a:pt x="13" y="27"/>
                </a:lnTo>
                <a:lnTo>
                  <a:pt x="13" y="18"/>
                </a:lnTo>
                <a:lnTo>
                  <a:pt x="15" y="18"/>
                </a:lnTo>
                <a:lnTo>
                  <a:pt x="15" y="10"/>
                </a:lnTo>
                <a:lnTo>
                  <a:pt x="17" y="10"/>
                </a:lnTo>
                <a:lnTo>
                  <a:pt x="17" y="4"/>
                </a:lnTo>
                <a:lnTo>
                  <a:pt x="19" y="4"/>
                </a:lnTo>
                <a:lnTo>
                  <a:pt x="19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3" name="Freeform 62"/>
          <xdr:cNvSpPr>
            <a:spLocks/>
          </xdr:cNvSpPr>
        </xdr:nvSpPr>
        <xdr:spPr bwMode="auto">
          <a:xfrm>
            <a:off x="300" y="2245"/>
            <a:ext cx="3" cy="10"/>
          </a:xfrm>
          <a:custGeom>
            <a:avLst/>
            <a:gdLst>
              <a:gd name="T0" fmla="*/ 3 w 18"/>
              <a:gd name="T1" fmla="*/ 0 h 41"/>
              <a:gd name="T2" fmla="*/ 3 w 18"/>
              <a:gd name="T3" fmla="*/ 0 h 41"/>
              <a:gd name="T4" fmla="*/ 2 w 18"/>
              <a:gd name="T5" fmla="*/ 0 h 41"/>
              <a:gd name="T6" fmla="*/ 2 w 18"/>
              <a:gd name="T7" fmla="*/ 1 h 41"/>
              <a:gd name="T8" fmla="*/ 2 w 18"/>
              <a:gd name="T9" fmla="*/ 1 h 41"/>
              <a:gd name="T10" fmla="*/ 2 w 18"/>
              <a:gd name="T11" fmla="*/ 3 h 41"/>
              <a:gd name="T12" fmla="*/ 2 w 18"/>
              <a:gd name="T13" fmla="*/ 3 h 41"/>
              <a:gd name="T14" fmla="*/ 2 w 18"/>
              <a:gd name="T15" fmla="*/ 6 h 41"/>
              <a:gd name="T16" fmla="*/ 2 w 18"/>
              <a:gd name="T17" fmla="*/ 5 h 41"/>
              <a:gd name="T18" fmla="*/ 1 w 18"/>
              <a:gd name="T19" fmla="*/ 5 h 41"/>
              <a:gd name="T20" fmla="*/ 1 w 18"/>
              <a:gd name="T21" fmla="*/ 6 h 41"/>
              <a:gd name="T22" fmla="*/ 1 w 18"/>
              <a:gd name="T23" fmla="*/ 6 h 41"/>
              <a:gd name="T24" fmla="*/ 1 w 18"/>
              <a:gd name="T25" fmla="*/ 7 h 41"/>
              <a:gd name="T26" fmla="*/ 1 w 18"/>
              <a:gd name="T27" fmla="*/ 7 h 41"/>
              <a:gd name="T28" fmla="*/ 1 w 18"/>
              <a:gd name="T29" fmla="*/ 8 h 41"/>
              <a:gd name="T30" fmla="*/ 0 w 18"/>
              <a:gd name="T31" fmla="*/ 8 h 41"/>
              <a:gd name="T32" fmla="*/ 0 w 18"/>
              <a:gd name="T33" fmla="*/ 8 h 41"/>
              <a:gd name="T34" fmla="*/ 0 w 18"/>
              <a:gd name="T35" fmla="*/ 8 h 41"/>
              <a:gd name="T36" fmla="*/ 0 w 18"/>
              <a:gd name="T37" fmla="*/ 10 h 41"/>
              <a:gd name="T38" fmla="*/ 1 w 18"/>
              <a:gd name="T39" fmla="*/ 10 h 41"/>
              <a:gd name="T40" fmla="*/ 1 w 18"/>
              <a:gd name="T41" fmla="*/ 10 h 41"/>
              <a:gd name="T42" fmla="*/ 1 w 18"/>
              <a:gd name="T43" fmla="*/ 9 h 41"/>
              <a:gd name="T44" fmla="*/ 1 w 18"/>
              <a:gd name="T45" fmla="*/ 9 h 41"/>
              <a:gd name="T46" fmla="*/ 1 w 18"/>
              <a:gd name="T47" fmla="*/ 9 h 41"/>
              <a:gd name="T48" fmla="*/ 1 w 18"/>
              <a:gd name="T49" fmla="*/ 9 h 41"/>
              <a:gd name="T50" fmla="*/ 1 w 18"/>
              <a:gd name="T51" fmla="*/ 8 h 41"/>
              <a:gd name="T52" fmla="*/ 2 w 18"/>
              <a:gd name="T53" fmla="*/ 8 h 41"/>
              <a:gd name="T54" fmla="*/ 2 w 18"/>
              <a:gd name="T55" fmla="*/ 7 h 41"/>
              <a:gd name="T56" fmla="*/ 2 w 18"/>
              <a:gd name="T57" fmla="*/ 7 h 41"/>
              <a:gd name="T58" fmla="*/ 2 w 18"/>
              <a:gd name="T59" fmla="*/ 6 h 41"/>
              <a:gd name="T60" fmla="*/ 2 w 18"/>
              <a:gd name="T61" fmla="*/ 6 h 41"/>
              <a:gd name="T62" fmla="*/ 2 w 18"/>
              <a:gd name="T63" fmla="*/ 4 h 41"/>
              <a:gd name="T64" fmla="*/ 3 w 18"/>
              <a:gd name="T65" fmla="*/ 4 h 41"/>
              <a:gd name="T66" fmla="*/ 3 w 18"/>
              <a:gd name="T67" fmla="*/ 2 h 41"/>
              <a:gd name="T68" fmla="*/ 3 w 18"/>
              <a:gd name="T69" fmla="*/ 2 h 41"/>
              <a:gd name="T70" fmla="*/ 3 w 18"/>
              <a:gd name="T71" fmla="*/ 0 h 41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8"/>
              <a:gd name="T109" fmla="*/ 0 h 41"/>
              <a:gd name="T110" fmla="*/ 18 w 18"/>
              <a:gd name="T111" fmla="*/ 41 h 41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8" h="41">
                <a:moveTo>
                  <a:pt x="18" y="2"/>
                </a:moveTo>
                <a:lnTo>
                  <a:pt x="18" y="0"/>
                </a:lnTo>
                <a:lnTo>
                  <a:pt x="14" y="0"/>
                </a:lnTo>
                <a:lnTo>
                  <a:pt x="14" y="4"/>
                </a:lnTo>
                <a:lnTo>
                  <a:pt x="12" y="4"/>
                </a:lnTo>
                <a:lnTo>
                  <a:pt x="12" y="12"/>
                </a:lnTo>
                <a:lnTo>
                  <a:pt x="10" y="12"/>
                </a:lnTo>
                <a:lnTo>
                  <a:pt x="10" y="23"/>
                </a:lnTo>
                <a:lnTo>
                  <a:pt x="12" y="22"/>
                </a:lnTo>
                <a:lnTo>
                  <a:pt x="8" y="22"/>
                </a:lnTo>
                <a:lnTo>
                  <a:pt x="8" y="25"/>
                </a:lnTo>
                <a:lnTo>
                  <a:pt x="6" y="25"/>
                </a:lnTo>
                <a:lnTo>
                  <a:pt x="6" y="27"/>
                </a:lnTo>
                <a:lnTo>
                  <a:pt x="4" y="27"/>
                </a:lnTo>
                <a:lnTo>
                  <a:pt x="4" y="31"/>
                </a:lnTo>
                <a:lnTo>
                  <a:pt x="2" y="31"/>
                </a:lnTo>
                <a:lnTo>
                  <a:pt x="2" y="33"/>
                </a:lnTo>
                <a:lnTo>
                  <a:pt x="0" y="33"/>
                </a:lnTo>
                <a:lnTo>
                  <a:pt x="0" y="41"/>
                </a:lnTo>
                <a:lnTo>
                  <a:pt x="4" y="41"/>
                </a:lnTo>
                <a:lnTo>
                  <a:pt x="4" y="39"/>
                </a:lnTo>
                <a:lnTo>
                  <a:pt x="4" y="37"/>
                </a:lnTo>
                <a:lnTo>
                  <a:pt x="6" y="37"/>
                </a:lnTo>
                <a:lnTo>
                  <a:pt x="6" y="35"/>
                </a:lnTo>
                <a:lnTo>
                  <a:pt x="8" y="35"/>
                </a:lnTo>
                <a:lnTo>
                  <a:pt x="8" y="31"/>
                </a:lnTo>
                <a:lnTo>
                  <a:pt x="10" y="31"/>
                </a:lnTo>
                <a:lnTo>
                  <a:pt x="10" y="29"/>
                </a:lnTo>
                <a:lnTo>
                  <a:pt x="12" y="29"/>
                </a:lnTo>
                <a:lnTo>
                  <a:pt x="12" y="25"/>
                </a:lnTo>
                <a:lnTo>
                  <a:pt x="14" y="23"/>
                </a:lnTo>
                <a:lnTo>
                  <a:pt x="14" y="16"/>
                </a:lnTo>
                <a:lnTo>
                  <a:pt x="16" y="16"/>
                </a:lnTo>
                <a:lnTo>
                  <a:pt x="16" y="8"/>
                </a:lnTo>
                <a:lnTo>
                  <a:pt x="18" y="8"/>
                </a:lnTo>
                <a:lnTo>
                  <a:pt x="18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4" name="Freeform 63"/>
          <xdr:cNvSpPr>
            <a:spLocks/>
          </xdr:cNvSpPr>
        </xdr:nvSpPr>
        <xdr:spPr bwMode="auto">
          <a:xfrm>
            <a:off x="302" y="2219"/>
            <a:ext cx="3" cy="9"/>
          </a:xfrm>
          <a:custGeom>
            <a:avLst/>
            <a:gdLst>
              <a:gd name="T0" fmla="*/ 3 w 12"/>
              <a:gd name="T1" fmla="*/ 0 h 39"/>
              <a:gd name="T2" fmla="*/ 3 w 12"/>
              <a:gd name="T3" fmla="*/ 0 h 39"/>
              <a:gd name="T4" fmla="*/ 2 w 12"/>
              <a:gd name="T5" fmla="*/ 0 h 39"/>
              <a:gd name="T6" fmla="*/ 2 w 12"/>
              <a:gd name="T7" fmla="*/ 0 h 39"/>
              <a:gd name="T8" fmla="*/ 0 w 12"/>
              <a:gd name="T9" fmla="*/ 9 h 39"/>
              <a:gd name="T10" fmla="*/ 0 w 12"/>
              <a:gd name="T11" fmla="*/ 9 h 39"/>
              <a:gd name="T12" fmla="*/ 1 w 12"/>
              <a:gd name="T13" fmla="*/ 9 h 39"/>
              <a:gd name="T14" fmla="*/ 1 w 12"/>
              <a:gd name="T15" fmla="*/ 9 h 39"/>
              <a:gd name="T16" fmla="*/ 3 w 12"/>
              <a:gd name="T17" fmla="*/ 0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2"/>
              <a:gd name="T28" fmla="*/ 0 h 39"/>
              <a:gd name="T29" fmla="*/ 12 w 12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2" h="39">
                <a:moveTo>
                  <a:pt x="12" y="2"/>
                </a:moveTo>
                <a:lnTo>
                  <a:pt x="12" y="0"/>
                </a:lnTo>
                <a:lnTo>
                  <a:pt x="8" y="0"/>
                </a:lnTo>
                <a:lnTo>
                  <a:pt x="8" y="2"/>
                </a:lnTo>
                <a:lnTo>
                  <a:pt x="0" y="37"/>
                </a:lnTo>
                <a:lnTo>
                  <a:pt x="0" y="39"/>
                </a:lnTo>
                <a:lnTo>
                  <a:pt x="4" y="39"/>
                </a:lnTo>
                <a:lnTo>
                  <a:pt x="4" y="37"/>
                </a:lnTo>
                <a:lnTo>
                  <a:pt x="12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5" name="Freeform 64"/>
          <xdr:cNvSpPr>
            <a:spLocks/>
          </xdr:cNvSpPr>
        </xdr:nvSpPr>
        <xdr:spPr bwMode="auto">
          <a:xfrm>
            <a:off x="302" y="2227"/>
            <a:ext cx="1" cy="20"/>
          </a:xfrm>
          <a:custGeom>
            <a:avLst/>
            <a:gdLst>
              <a:gd name="T0" fmla="*/ 1 w 4"/>
              <a:gd name="T1" fmla="*/ 0 h 82"/>
              <a:gd name="T2" fmla="*/ 1 w 4"/>
              <a:gd name="T3" fmla="*/ 0 h 82"/>
              <a:gd name="T4" fmla="*/ 0 w 4"/>
              <a:gd name="T5" fmla="*/ 0 h 82"/>
              <a:gd name="T6" fmla="*/ 0 w 4"/>
              <a:gd name="T7" fmla="*/ 20 h 82"/>
              <a:gd name="T8" fmla="*/ 1 w 4"/>
              <a:gd name="T9" fmla="*/ 20 h 82"/>
              <a:gd name="T10" fmla="*/ 1 w 4"/>
              <a:gd name="T11" fmla="*/ 20 h 82"/>
              <a:gd name="T12" fmla="*/ 1 w 4"/>
              <a:gd name="T13" fmla="*/ 0 h 8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82"/>
              <a:gd name="T23" fmla="*/ 4 w 4"/>
              <a:gd name="T24" fmla="*/ 82 h 8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8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2"/>
                </a:lnTo>
                <a:lnTo>
                  <a:pt x="4" y="82"/>
                </a:lnTo>
                <a:lnTo>
                  <a:pt x="4" y="8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6" name="Freeform 65"/>
          <xdr:cNvSpPr>
            <a:spLocks/>
          </xdr:cNvSpPr>
        </xdr:nvSpPr>
        <xdr:spPr bwMode="auto">
          <a:xfrm>
            <a:off x="303" y="2219"/>
            <a:ext cx="3" cy="28"/>
          </a:xfrm>
          <a:custGeom>
            <a:avLst/>
            <a:gdLst>
              <a:gd name="T0" fmla="*/ 3 w 14"/>
              <a:gd name="T1" fmla="*/ 0 h 117"/>
              <a:gd name="T2" fmla="*/ 3 w 14"/>
              <a:gd name="T3" fmla="*/ 0 h 117"/>
              <a:gd name="T4" fmla="*/ 2 w 14"/>
              <a:gd name="T5" fmla="*/ 0 h 117"/>
              <a:gd name="T6" fmla="*/ 2 w 14"/>
              <a:gd name="T7" fmla="*/ 0 h 117"/>
              <a:gd name="T8" fmla="*/ 0 w 14"/>
              <a:gd name="T9" fmla="*/ 8 h 117"/>
              <a:gd name="T10" fmla="*/ 0 w 14"/>
              <a:gd name="T11" fmla="*/ 28 h 117"/>
              <a:gd name="T12" fmla="*/ 1 w 14"/>
              <a:gd name="T13" fmla="*/ 28 h 117"/>
              <a:gd name="T14" fmla="*/ 1 w 14"/>
              <a:gd name="T15" fmla="*/ 28 h 117"/>
              <a:gd name="T16" fmla="*/ 1 w 14"/>
              <a:gd name="T17" fmla="*/ 8 h 117"/>
              <a:gd name="T18" fmla="*/ 3 w 14"/>
              <a:gd name="T19" fmla="*/ 0 h 11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4"/>
              <a:gd name="T31" fmla="*/ 0 h 117"/>
              <a:gd name="T32" fmla="*/ 14 w 14"/>
              <a:gd name="T33" fmla="*/ 117 h 117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4" h="117">
                <a:moveTo>
                  <a:pt x="14" y="2"/>
                </a:moveTo>
                <a:lnTo>
                  <a:pt x="14" y="0"/>
                </a:lnTo>
                <a:lnTo>
                  <a:pt x="10" y="0"/>
                </a:lnTo>
                <a:lnTo>
                  <a:pt x="10" y="2"/>
                </a:lnTo>
                <a:lnTo>
                  <a:pt x="0" y="35"/>
                </a:lnTo>
                <a:lnTo>
                  <a:pt x="0" y="117"/>
                </a:lnTo>
                <a:lnTo>
                  <a:pt x="4" y="117"/>
                </a:lnTo>
                <a:lnTo>
                  <a:pt x="4" y="115"/>
                </a:lnTo>
                <a:lnTo>
                  <a:pt x="4" y="35"/>
                </a:lnTo>
                <a:lnTo>
                  <a:pt x="1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7" name="Freeform 66"/>
          <xdr:cNvSpPr>
            <a:spLocks/>
          </xdr:cNvSpPr>
        </xdr:nvSpPr>
        <xdr:spPr bwMode="auto">
          <a:xfrm>
            <a:off x="255" y="2226"/>
            <a:ext cx="3" cy="4"/>
          </a:xfrm>
          <a:custGeom>
            <a:avLst/>
            <a:gdLst>
              <a:gd name="T0" fmla="*/ 1 w 12"/>
              <a:gd name="T1" fmla="*/ 0 h 14"/>
              <a:gd name="T2" fmla="*/ 0 w 12"/>
              <a:gd name="T3" fmla="*/ 0 h 14"/>
              <a:gd name="T4" fmla="*/ 0 w 12"/>
              <a:gd name="T5" fmla="*/ 1 h 14"/>
              <a:gd name="T6" fmla="*/ 1 w 12"/>
              <a:gd name="T7" fmla="*/ 1 h 14"/>
              <a:gd name="T8" fmla="*/ 0 w 12"/>
              <a:gd name="T9" fmla="*/ 1 h 14"/>
              <a:gd name="T10" fmla="*/ 0 w 12"/>
              <a:gd name="T11" fmla="*/ 2 h 14"/>
              <a:gd name="T12" fmla="*/ 1 w 12"/>
              <a:gd name="T13" fmla="*/ 3 h 14"/>
              <a:gd name="T14" fmla="*/ 1 w 12"/>
              <a:gd name="T15" fmla="*/ 2 h 14"/>
              <a:gd name="T16" fmla="*/ 1 w 12"/>
              <a:gd name="T17" fmla="*/ 3 h 14"/>
              <a:gd name="T18" fmla="*/ 2 w 12"/>
              <a:gd name="T19" fmla="*/ 3 h 14"/>
              <a:gd name="T20" fmla="*/ 2 w 12"/>
              <a:gd name="T21" fmla="*/ 3 h 14"/>
              <a:gd name="T22" fmla="*/ 2 w 12"/>
              <a:gd name="T23" fmla="*/ 4 h 14"/>
              <a:gd name="T24" fmla="*/ 3 w 12"/>
              <a:gd name="T25" fmla="*/ 4 h 14"/>
              <a:gd name="T26" fmla="*/ 3 w 12"/>
              <a:gd name="T27" fmla="*/ 3 h 14"/>
              <a:gd name="T28" fmla="*/ 3 w 12"/>
              <a:gd name="T29" fmla="*/ 3 h 14"/>
              <a:gd name="T30" fmla="*/ 3 w 12"/>
              <a:gd name="T31" fmla="*/ 2 h 14"/>
              <a:gd name="T32" fmla="*/ 2 w 12"/>
              <a:gd name="T33" fmla="*/ 2 h 14"/>
              <a:gd name="T34" fmla="*/ 2 w 12"/>
              <a:gd name="T35" fmla="*/ 2 h 14"/>
              <a:gd name="T36" fmla="*/ 1 w 12"/>
              <a:gd name="T37" fmla="*/ 2 h 14"/>
              <a:gd name="T38" fmla="*/ 2 w 12"/>
              <a:gd name="T39" fmla="*/ 2 h 14"/>
              <a:gd name="T40" fmla="*/ 2 w 12"/>
              <a:gd name="T41" fmla="*/ 2 h 14"/>
              <a:gd name="T42" fmla="*/ 1 w 12"/>
              <a:gd name="T43" fmla="*/ 2 h 14"/>
              <a:gd name="T44" fmla="*/ 1 w 12"/>
              <a:gd name="T45" fmla="*/ 1 h 14"/>
              <a:gd name="T46" fmla="*/ 1 w 12"/>
              <a:gd name="T47" fmla="*/ 0 h 14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2"/>
              <a:gd name="T73" fmla="*/ 0 h 14"/>
              <a:gd name="T74" fmla="*/ 12 w 12"/>
              <a:gd name="T75" fmla="*/ 14 h 14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2" h="1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0" y="2"/>
                </a:lnTo>
                <a:lnTo>
                  <a:pt x="0" y="6"/>
                </a:lnTo>
                <a:lnTo>
                  <a:pt x="2" y="10"/>
                </a:lnTo>
                <a:lnTo>
                  <a:pt x="2" y="8"/>
                </a:lnTo>
                <a:lnTo>
                  <a:pt x="4" y="10"/>
                </a:lnTo>
                <a:lnTo>
                  <a:pt x="6" y="10"/>
                </a:lnTo>
                <a:lnTo>
                  <a:pt x="8" y="12"/>
                </a:lnTo>
                <a:lnTo>
                  <a:pt x="8" y="14"/>
                </a:lnTo>
                <a:lnTo>
                  <a:pt x="12" y="14"/>
                </a:lnTo>
                <a:lnTo>
                  <a:pt x="12" y="10"/>
                </a:lnTo>
                <a:lnTo>
                  <a:pt x="12" y="12"/>
                </a:lnTo>
                <a:lnTo>
                  <a:pt x="12" y="8"/>
                </a:lnTo>
                <a:lnTo>
                  <a:pt x="8" y="8"/>
                </a:lnTo>
                <a:lnTo>
                  <a:pt x="6" y="6"/>
                </a:lnTo>
                <a:lnTo>
                  <a:pt x="4" y="6"/>
                </a:lnTo>
                <a:lnTo>
                  <a:pt x="6" y="8"/>
                </a:lnTo>
                <a:lnTo>
                  <a:pt x="6" y="6"/>
                </a:lnTo>
                <a:lnTo>
                  <a:pt x="4" y="6"/>
                </a:lnTo>
                <a:lnTo>
                  <a:pt x="4" y="2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8" name="Freeform 67"/>
          <xdr:cNvSpPr>
            <a:spLocks/>
          </xdr:cNvSpPr>
        </xdr:nvSpPr>
        <xdr:spPr bwMode="auto">
          <a:xfrm>
            <a:off x="255" y="2226"/>
            <a:ext cx="3" cy="4"/>
          </a:xfrm>
          <a:custGeom>
            <a:avLst/>
            <a:gdLst>
              <a:gd name="T0" fmla="*/ 0 w 14"/>
              <a:gd name="T1" fmla="*/ 0 h 14"/>
              <a:gd name="T2" fmla="*/ 0 w 14"/>
              <a:gd name="T3" fmla="*/ 0 h 14"/>
              <a:gd name="T4" fmla="*/ 0 w 14"/>
              <a:gd name="T5" fmla="*/ 1 h 14"/>
              <a:gd name="T6" fmla="*/ 0 w 14"/>
              <a:gd name="T7" fmla="*/ 1 h 14"/>
              <a:gd name="T8" fmla="*/ 0 w 14"/>
              <a:gd name="T9" fmla="*/ 1 h 14"/>
              <a:gd name="T10" fmla="*/ 0 w 14"/>
              <a:gd name="T11" fmla="*/ 1 h 14"/>
              <a:gd name="T12" fmla="*/ 0 w 14"/>
              <a:gd name="T13" fmla="*/ 2 h 14"/>
              <a:gd name="T14" fmla="*/ 0 w 14"/>
              <a:gd name="T15" fmla="*/ 3 h 14"/>
              <a:gd name="T16" fmla="*/ 1 w 14"/>
              <a:gd name="T17" fmla="*/ 3 h 14"/>
              <a:gd name="T18" fmla="*/ 1 w 14"/>
              <a:gd name="T19" fmla="*/ 3 h 14"/>
              <a:gd name="T20" fmla="*/ 1 w 14"/>
              <a:gd name="T21" fmla="*/ 2 h 14"/>
              <a:gd name="T22" fmla="*/ 1 w 14"/>
              <a:gd name="T23" fmla="*/ 3 h 14"/>
              <a:gd name="T24" fmla="*/ 2 w 14"/>
              <a:gd name="T25" fmla="*/ 3 h 14"/>
              <a:gd name="T26" fmla="*/ 2 w 14"/>
              <a:gd name="T27" fmla="*/ 3 h 14"/>
              <a:gd name="T28" fmla="*/ 2 w 14"/>
              <a:gd name="T29" fmla="*/ 4 h 14"/>
              <a:gd name="T30" fmla="*/ 3 w 14"/>
              <a:gd name="T31" fmla="*/ 4 h 14"/>
              <a:gd name="T32" fmla="*/ 3 w 14"/>
              <a:gd name="T33" fmla="*/ 3 h 14"/>
              <a:gd name="T34" fmla="*/ 3 w 14"/>
              <a:gd name="T35" fmla="*/ 3 h 14"/>
              <a:gd name="T36" fmla="*/ 3 w 14"/>
              <a:gd name="T37" fmla="*/ 2 h 14"/>
              <a:gd name="T38" fmla="*/ 2 w 14"/>
              <a:gd name="T39" fmla="*/ 2 h 14"/>
              <a:gd name="T40" fmla="*/ 2 w 14"/>
              <a:gd name="T41" fmla="*/ 2 h 14"/>
              <a:gd name="T42" fmla="*/ 1 w 14"/>
              <a:gd name="T43" fmla="*/ 2 h 14"/>
              <a:gd name="T44" fmla="*/ 2 w 14"/>
              <a:gd name="T45" fmla="*/ 2 h 14"/>
              <a:gd name="T46" fmla="*/ 2 w 14"/>
              <a:gd name="T47" fmla="*/ 2 h 14"/>
              <a:gd name="T48" fmla="*/ 1 w 14"/>
              <a:gd name="T49" fmla="*/ 2 h 14"/>
              <a:gd name="T50" fmla="*/ 1 w 14"/>
              <a:gd name="T51" fmla="*/ 1 h 14"/>
              <a:gd name="T52" fmla="*/ 1 w 14"/>
              <a:gd name="T53" fmla="*/ 1 h 14"/>
              <a:gd name="T54" fmla="*/ 0 w 14"/>
              <a:gd name="T55" fmla="*/ 0 h 14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14"/>
              <a:gd name="T85" fmla="*/ 0 h 14"/>
              <a:gd name="T86" fmla="*/ 14 w 14"/>
              <a:gd name="T87" fmla="*/ 14 h 14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14" h="1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0" y="2"/>
                </a:lnTo>
                <a:lnTo>
                  <a:pt x="0" y="4"/>
                </a:lnTo>
                <a:lnTo>
                  <a:pt x="2" y="6"/>
                </a:lnTo>
                <a:lnTo>
                  <a:pt x="2" y="10"/>
                </a:lnTo>
                <a:lnTo>
                  <a:pt x="6" y="10"/>
                </a:lnTo>
                <a:lnTo>
                  <a:pt x="4" y="10"/>
                </a:lnTo>
                <a:lnTo>
                  <a:pt x="4" y="8"/>
                </a:lnTo>
                <a:lnTo>
                  <a:pt x="6" y="10"/>
                </a:lnTo>
                <a:lnTo>
                  <a:pt x="8" y="10"/>
                </a:lnTo>
                <a:lnTo>
                  <a:pt x="10" y="12"/>
                </a:lnTo>
                <a:lnTo>
                  <a:pt x="10" y="14"/>
                </a:lnTo>
                <a:lnTo>
                  <a:pt x="14" y="14"/>
                </a:lnTo>
                <a:lnTo>
                  <a:pt x="14" y="10"/>
                </a:lnTo>
                <a:lnTo>
                  <a:pt x="14" y="12"/>
                </a:lnTo>
                <a:lnTo>
                  <a:pt x="14" y="8"/>
                </a:lnTo>
                <a:lnTo>
                  <a:pt x="10" y="8"/>
                </a:lnTo>
                <a:lnTo>
                  <a:pt x="8" y="6"/>
                </a:lnTo>
                <a:lnTo>
                  <a:pt x="6" y="6"/>
                </a:lnTo>
                <a:lnTo>
                  <a:pt x="8" y="8"/>
                </a:lnTo>
                <a:lnTo>
                  <a:pt x="8" y="6"/>
                </a:lnTo>
                <a:lnTo>
                  <a:pt x="6" y="6"/>
                </a:lnTo>
                <a:lnTo>
                  <a:pt x="4" y="4"/>
                </a:lnTo>
                <a:lnTo>
                  <a:pt x="4" y="2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69" name="Freeform 68"/>
          <xdr:cNvSpPr>
            <a:spLocks/>
          </xdr:cNvSpPr>
        </xdr:nvSpPr>
        <xdr:spPr bwMode="auto">
          <a:xfrm>
            <a:off x="249" y="2245"/>
            <a:ext cx="5" cy="10"/>
          </a:xfrm>
          <a:custGeom>
            <a:avLst/>
            <a:gdLst>
              <a:gd name="T0" fmla="*/ 1 w 24"/>
              <a:gd name="T1" fmla="*/ 1 h 37"/>
              <a:gd name="T2" fmla="*/ 1 w 24"/>
              <a:gd name="T3" fmla="*/ 0 h 37"/>
              <a:gd name="T4" fmla="*/ 0 w 24"/>
              <a:gd name="T5" fmla="*/ 0 h 37"/>
              <a:gd name="T6" fmla="*/ 0 w 24"/>
              <a:gd name="T7" fmla="*/ 3 h 37"/>
              <a:gd name="T8" fmla="*/ 0 w 24"/>
              <a:gd name="T9" fmla="*/ 3 h 37"/>
              <a:gd name="T10" fmla="*/ 0 w 24"/>
              <a:gd name="T11" fmla="*/ 4 h 37"/>
              <a:gd name="T12" fmla="*/ 1 w 24"/>
              <a:gd name="T13" fmla="*/ 4 h 37"/>
              <a:gd name="T14" fmla="*/ 1 w 24"/>
              <a:gd name="T15" fmla="*/ 5 h 37"/>
              <a:gd name="T16" fmla="*/ 1 w 24"/>
              <a:gd name="T17" fmla="*/ 5 h 37"/>
              <a:gd name="T18" fmla="*/ 2 w 24"/>
              <a:gd name="T19" fmla="*/ 6 h 37"/>
              <a:gd name="T20" fmla="*/ 2 w 24"/>
              <a:gd name="T21" fmla="*/ 6 h 37"/>
              <a:gd name="T22" fmla="*/ 2 w 24"/>
              <a:gd name="T23" fmla="*/ 7 h 37"/>
              <a:gd name="T24" fmla="*/ 2 w 24"/>
              <a:gd name="T25" fmla="*/ 7 h 37"/>
              <a:gd name="T26" fmla="*/ 2 w 24"/>
              <a:gd name="T27" fmla="*/ 8 h 37"/>
              <a:gd name="T28" fmla="*/ 3 w 24"/>
              <a:gd name="T29" fmla="*/ 8 h 37"/>
              <a:gd name="T30" fmla="*/ 3 w 24"/>
              <a:gd name="T31" fmla="*/ 8 h 37"/>
              <a:gd name="T32" fmla="*/ 3 w 24"/>
              <a:gd name="T33" fmla="*/ 8 h 37"/>
              <a:gd name="T34" fmla="*/ 3 w 24"/>
              <a:gd name="T35" fmla="*/ 9 h 37"/>
              <a:gd name="T36" fmla="*/ 4 w 24"/>
              <a:gd name="T37" fmla="*/ 9 h 37"/>
              <a:gd name="T38" fmla="*/ 4 w 24"/>
              <a:gd name="T39" fmla="*/ 10 h 37"/>
              <a:gd name="T40" fmla="*/ 5 w 24"/>
              <a:gd name="T41" fmla="*/ 10 h 37"/>
              <a:gd name="T42" fmla="*/ 5 w 24"/>
              <a:gd name="T43" fmla="*/ 9 h 37"/>
              <a:gd name="T44" fmla="*/ 4 w 24"/>
              <a:gd name="T45" fmla="*/ 8 h 37"/>
              <a:gd name="T46" fmla="*/ 4 w 24"/>
              <a:gd name="T47" fmla="*/ 7 h 37"/>
              <a:gd name="T48" fmla="*/ 3 w 24"/>
              <a:gd name="T49" fmla="*/ 7 h 37"/>
              <a:gd name="T50" fmla="*/ 3 w 24"/>
              <a:gd name="T51" fmla="*/ 7 h 37"/>
              <a:gd name="T52" fmla="*/ 3 w 24"/>
              <a:gd name="T53" fmla="*/ 7 h 37"/>
              <a:gd name="T54" fmla="*/ 3 w 24"/>
              <a:gd name="T55" fmla="*/ 6 h 37"/>
              <a:gd name="T56" fmla="*/ 3 w 24"/>
              <a:gd name="T57" fmla="*/ 6 h 37"/>
              <a:gd name="T58" fmla="*/ 3 w 24"/>
              <a:gd name="T59" fmla="*/ 5 h 37"/>
              <a:gd name="T60" fmla="*/ 2 w 24"/>
              <a:gd name="T61" fmla="*/ 5 h 37"/>
              <a:gd name="T62" fmla="*/ 2 w 24"/>
              <a:gd name="T63" fmla="*/ 4 h 37"/>
              <a:gd name="T64" fmla="*/ 2 w 24"/>
              <a:gd name="T65" fmla="*/ 4 h 37"/>
              <a:gd name="T66" fmla="*/ 2 w 24"/>
              <a:gd name="T67" fmla="*/ 3 h 37"/>
              <a:gd name="T68" fmla="*/ 1 w 24"/>
              <a:gd name="T69" fmla="*/ 3 h 37"/>
              <a:gd name="T70" fmla="*/ 1 w 24"/>
              <a:gd name="T71" fmla="*/ 2 h 37"/>
              <a:gd name="T72" fmla="*/ 1 w 24"/>
              <a:gd name="T73" fmla="*/ 2 h 37"/>
              <a:gd name="T74" fmla="*/ 1 w 24"/>
              <a:gd name="T75" fmla="*/ 1 h 37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24"/>
              <a:gd name="T115" fmla="*/ 0 h 37"/>
              <a:gd name="T116" fmla="*/ 24 w 24"/>
              <a:gd name="T117" fmla="*/ 37 h 37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24" h="3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0"/>
                </a:lnTo>
                <a:lnTo>
                  <a:pt x="2" y="10"/>
                </a:lnTo>
                <a:lnTo>
                  <a:pt x="2" y="16"/>
                </a:lnTo>
                <a:lnTo>
                  <a:pt x="4" y="16"/>
                </a:lnTo>
                <a:lnTo>
                  <a:pt x="4" y="20"/>
                </a:lnTo>
                <a:lnTo>
                  <a:pt x="6" y="20"/>
                </a:lnTo>
                <a:lnTo>
                  <a:pt x="8" y="23"/>
                </a:lnTo>
                <a:lnTo>
                  <a:pt x="8" y="21"/>
                </a:lnTo>
                <a:lnTo>
                  <a:pt x="8" y="25"/>
                </a:lnTo>
                <a:lnTo>
                  <a:pt x="10" y="25"/>
                </a:lnTo>
                <a:lnTo>
                  <a:pt x="10" y="29"/>
                </a:lnTo>
                <a:lnTo>
                  <a:pt x="12" y="29"/>
                </a:lnTo>
                <a:lnTo>
                  <a:pt x="12" y="31"/>
                </a:lnTo>
                <a:lnTo>
                  <a:pt x="14" y="31"/>
                </a:lnTo>
                <a:lnTo>
                  <a:pt x="14" y="33"/>
                </a:lnTo>
                <a:lnTo>
                  <a:pt x="18" y="33"/>
                </a:lnTo>
                <a:lnTo>
                  <a:pt x="20" y="37"/>
                </a:lnTo>
                <a:lnTo>
                  <a:pt x="24" y="37"/>
                </a:lnTo>
                <a:lnTo>
                  <a:pt x="24" y="33"/>
                </a:lnTo>
                <a:lnTo>
                  <a:pt x="18" y="29"/>
                </a:lnTo>
                <a:lnTo>
                  <a:pt x="18" y="27"/>
                </a:lnTo>
                <a:lnTo>
                  <a:pt x="16" y="27"/>
                </a:lnTo>
                <a:lnTo>
                  <a:pt x="16" y="25"/>
                </a:lnTo>
                <a:lnTo>
                  <a:pt x="14" y="25"/>
                </a:lnTo>
                <a:lnTo>
                  <a:pt x="14" y="21"/>
                </a:lnTo>
                <a:lnTo>
                  <a:pt x="12" y="21"/>
                </a:lnTo>
                <a:lnTo>
                  <a:pt x="12" y="20"/>
                </a:lnTo>
                <a:lnTo>
                  <a:pt x="10" y="20"/>
                </a:lnTo>
                <a:lnTo>
                  <a:pt x="10" y="16"/>
                </a:lnTo>
                <a:lnTo>
                  <a:pt x="8" y="16"/>
                </a:lnTo>
                <a:lnTo>
                  <a:pt x="8" y="12"/>
                </a:lnTo>
                <a:lnTo>
                  <a:pt x="6" y="12"/>
                </a:lnTo>
                <a:lnTo>
                  <a:pt x="6" y="6"/>
                </a:lnTo>
                <a:lnTo>
                  <a:pt x="4" y="6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0" name="Freeform 69"/>
          <xdr:cNvSpPr>
            <a:spLocks/>
          </xdr:cNvSpPr>
        </xdr:nvSpPr>
        <xdr:spPr bwMode="auto">
          <a:xfrm>
            <a:off x="248" y="2247"/>
            <a:ext cx="5" cy="8"/>
          </a:xfrm>
          <a:custGeom>
            <a:avLst/>
            <a:gdLst>
              <a:gd name="T0" fmla="*/ 1 w 22"/>
              <a:gd name="T1" fmla="*/ 0 h 35"/>
              <a:gd name="T2" fmla="*/ 1 w 22"/>
              <a:gd name="T3" fmla="*/ 0 h 35"/>
              <a:gd name="T4" fmla="*/ 0 w 22"/>
              <a:gd name="T5" fmla="*/ 0 h 35"/>
              <a:gd name="T6" fmla="*/ 0 w 22"/>
              <a:gd name="T7" fmla="*/ 2 h 35"/>
              <a:gd name="T8" fmla="*/ 0 w 22"/>
              <a:gd name="T9" fmla="*/ 2 h 35"/>
              <a:gd name="T10" fmla="*/ 0 w 22"/>
              <a:gd name="T11" fmla="*/ 4 h 35"/>
              <a:gd name="T12" fmla="*/ 1 w 22"/>
              <a:gd name="T13" fmla="*/ 4 h 35"/>
              <a:gd name="T14" fmla="*/ 1 w 22"/>
              <a:gd name="T15" fmla="*/ 4 h 35"/>
              <a:gd name="T16" fmla="*/ 1 w 22"/>
              <a:gd name="T17" fmla="*/ 4 h 35"/>
              <a:gd name="T18" fmla="*/ 1 w 22"/>
              <a:gd name="T19" fmla="*/ 5 h 35"/>
              <a:gd name="T20" fmla="*/ 2 w 22"/>
              <a:gd name="T21" fmla="*/ 5 h 35"/>
              <a:gd name="T22" fmla="*/ 2 w 22"/>
              <a:gd name="T23" fmla="*/ 6 h 35"/>
              <a:gd name="T24" fmla="*/ 2 w 22"/>
              <a:gd name="T25" fmla="*/ 6 h 35"/>
              <a:gd name="T26" fmla="*/ 2 w 22"/>
              <a:gd name="T27" fmla="*/ 7 h 35"/>
              <a:gd name="T28" fmla="*/ 3 w 22"/>
              <a:gd name="T29" fmla="*/ 7 h 35"/>
              <a:gd name="T30" fmla="*/ 3 w 22"/>
              <a:gd name="T31" fmla="*/ 7 h 35"/>
              <a:gd name="T32" fmla="*/ 4 w 22"/>
              <a:gd name="T33" fmla="*/ 7 h 35"/>
              <a:gd name="T34" fmla="*/ 4 w 22"/>
              <a:gd name="T35" fmla="*/ 8 h 35"/>
              <a:gd name="T36" fmla="*/ 5 w 22"/>
              <a:gd name="T37" fmla="*/ 8 h 35"/>
              <a:gd name="T38" fmla="*/ 5 w 22"/>
              <a:gd name="T39" fmla="*/ 7 h 35"/>
              <a:gd name="T40" fmla="*/ 4 w 22"/>
              <a:gd name="T41" fmla="*/ 6 h 35"/>
              <a:gd name="T42" fmla="*/ 4 w 22"/>
              <a:gd name="T43" fmla="*/ 6 h 35"/>
              <a:gd name="T44" fmla="*/ 3 w 22"/>
              <a:gd name="T45" fmla="*/ 6 h 35"/>
              <a:gd name="T46" fmla="*/ 3 w 22"/>
              <a:gd name="T47" fmla="*/ 5 h 35"/>
              <a:gd name="T48" fmla="*/ 3 w 22"/>
              <a:gd name="T49" fmla="*/ 5 h 35"/>
              <a:gd name="T50" fmla="*/ 3 w 22"/>
              <a:gd name="T51" fmla="*/ 4 h 35"/>
              <a:gd name="T52" fmla="*/ 2 w 22"/>
              <a:gd name="T53" fmla="*/ 4 h 35"/>
              <a:gd name="T54" fmla="*/ 2 w 22"/>
              <a:gd name="T55" fmla="*/ 4 h 35"/>
              <a:gd name="T56" fmla="*/ 2 w 22"/>
              <a:gd name="T57" fmla="*/ 4 h 35"/>
              <a:gd name="T58" fmla="*/ 2 w 22"/>
              <a:gd name="T59" fmla="*/ 3 h 35"/>
              <a:gd name="T60" fmla="*/ 1 w 22"/>
              <a:gd name="T61" fmla="*/ 3 h 35"/>
              <a:gd name="T62" fmla="*/ 1 w 22"/>
              <a:gd name="T63" fmla="*/ 2 h 35"/>
              <a:gd name="T64" fmla="*/ 1 w 22"/>
              <a:gd name="T65" fmla="*/ 2 h 35"/>
              <a:gd name="T66" fmla="*/ 1 w 22"/>
              <a:gd name="T67" fmla="*/ 0 h 35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22"/>
              <a:gd name="T103" fmla="*/ 0 h 35"/>
              <a:gd name="T104" fmla="*/ 22 w 22"/>
              <a:gd name="T105" fmla="*/ 35 h 35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22" h="3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2" y="10"/>
                </a:lnTo>
                <a:lnTo>
                  <a:pt x="2" y="16"/>
                </a:lnTo>
                <a:lnTo>
                  <a:pt x="4" y="16"/>
                </a:lnTo>
                <a:lnTo>
                  <a:pt x="4" y="19"/>
                </a:lnTo>
                <a:lnTo>
                  <a:pt x="6" y="19"/>
                </a:lnTo>
                <a:lnTo>
                  <a:pt x="6" y="23"/>
                </a:lnTo>
                <a:lnTo>
                  <a:pt x="8" y="23"/>
                </a:lnTo>
                <a:lnTo>
                  <a:pt x="8" y="27"/>
                </a:lnTo>
                <a:lnTo>
                  <a:pt x="10" y="27"/>
                </a:lnTo>
                <a:lnTo>
                  <a:pt x="10" y="29"/>
                </a:lnTo>
                <a:lnTo>
                  <a:pt x="12" y="29"/>
                </a:lnTo>
                <a:lnTo>
                  <a:pt x="12" y="31"/>
                </a:lnTo>
                <a:lnTo>
                  <a:pt x="16" y="31"/>
                </a:lnTo>
                <a:lnTo>
                  <a:pt x="18" y="35"/>
                </a:lnTo>
                <a:lnTo>
                  <a:pt x="22" y="35"/>
                </a:lnTo>
                <a:lnTo>
                  <a:pt x="22" y="31"/>
                </a:lnTo>
                <a:lnTo>
                  <a:pt x="16" y="27"/>
                </a:lnTo>
                <a:lnTo>
                  <a:pt x="16" y="25"/>
                </a:lnTo>
                <a:lnTo>
                  <a:pt x="14" y="25"/>
                </a:lnTo>
                <a:lnTo>
                  <a:pt x="14" y="23"/>
                </a:lnTo>
                <a:lnTo>
                  <a:pt x="12" y="23"/>
                </a:lnTo>
                <a:lnTo>
                  <a:pt x="12" y="19"/>
                </a:lnTo>
                <a:lnTo>
                  <a:pt x="10" y="19"/>
                </a:lnTo>
                <a:lnTo>
                  <a:pt x="10" y="16"/>
                </a:lnTo>
                <a:lnTo>
                  <a:pt x="8" y="16"/>
                </a:lnTo>
                <a:lnTo>
                  <a:pt x="8" y="12"/>
                </a:lnTo>
                <a:lnTo>
                  <a:pt x="6" y="12"/>
                </a:lnTo>
                <a:lnTo>
                  <a:pt x="6" y="10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1" name="Freeform 70"/>
          <xdr:cNvSpPr>
            <a:spLocks/>
          </xdr:cNvSpPr>
        </xdr:nvSpPr>
        <xdr:spPr bwMode="auto">
          <a:xfrm>
            <a:off x="298" y="2247"/>
            <a:ext cx="3" cy="8"/>
          </a:xfrm>
          <a:custGeom>
            <a:avLst/>
            <a:gdLst>
              <a:gd name="T0" fmla="*/ 3 w 11"/>
              <a:gd name="T1" fmla="*/ 0 h 33"/>
              <a:gd name="T2" fmla="*/ 3 w 11"/>
              <a:gd name="T3" fmla="*/ 0 h 33"/>
              <a:gd name="T4" fmla="*/ 2 w 11"/>
              <a:gd name="T5" fmla="*/ 0 h 33"/>
              <a:gd name="T6" fmla="*/ 2 w 11"/>
              <a:gd name="T7" fmla="*/ 0 h 33"/>
              <a:gd name="T8" fmla="*/ 1 w 11"/>
              <a:gd name="T9" fmla="*/ 0 h 33"/>
              <a:gd name="T10" fmla="*/ 1 w 11"/>
              <a:gd name="T11" fmla="*/ 4 h 33"/>
              <a:gd name="T12" fmla="*/ 2 w 11"/>
              <a:gd name="T13" fmla="*/ 4 h 33"/>
              <a:gd name="T14" fmla="*/ 1 w 11"/>
              <a:gd name="T15" fmla="*/ 4 h 33"/>
              <a:gd name="T16" fmla="*/ 1 w 11"/>
              <a:gd name="T17" fmla="*/ 5 h 33"/>
              <a:gd name="T18" fmla="*/ 1 w 11"/>
              <a:gd name="T19" fmla="*/ 5 h 33"/>
              <a:gd name="T20" fmla="*/ 0 w 11"/>
              <a:gd name="T21" fmla="*/ 5 h 33"/>
              <a:gd name="T22" fmla="*/ 0 w 11"/>
              <a:gd name="T23" fmla="*/ 8 h 33"/>
              <a:gd name="T24" fmla="*/ 1 w 11"/>
              <a:gd name="T25" fmla="*/ 8 h 33"/>
              <a:gd name="T26" fmla="*/ 1 w 11"/>
              <a:gd name="T27" fmla="*/ 8 h 33"/>
              <a:gd name="T28" fmla="*/ 1 w 11"/>
              <a:gd name="T29" fmla="*/ 6 h 33"/>
              <a:gd name="T30" fmla="*/ 1 w 11"/>
              <a:gd name="T31" fmla="*/ 6 h 33"/>
              <a:gd name="T32" fmla="*/ 1 w 11"/>
              <a:gd name="T33" fmla="*/ 5 h 33"/>
              <a:gd name="T34" fmla="*/ 2 w 11"/>
              <a:gd name="T35" fmla="*/ 5 h 33"/>
              <a:gd name="T36" fmla="*/ 2 w 11"/>
              <a:gd name="T37" fmla="*/ 1 h 33"/>
              <a:gd name="T38" fmla="*/ 3 w 11"/>
              <a:gd name="T39" fmla="*/ 1 h 33"/>
              <a:gd name="T40" fmla="*/ 3 w 11"/>
              <a:gd name="T41" fmla="*/ 0 h 33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1"/>
              <a:gd name="T64" fmla="*/ 0 h 33"/>
              <a:gd name="T65" fmla="*/ 11 w 11"/>
              <a:gd name="T66" fmla="*/ 33 h 33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1" h="33">
                <a:moveTo>
                  <a:pt x="11" y="2"/>
                </a:moveTo>
                <a:lnTo>
                  <a:pt x="11" y="0"/>
                </a:lnTo>
                <a:lnTo>
                  <a:pt x="7" y="0"/>
                </a:lnTo>
                <a:lnTo>
                  <a:pt x="7" y="2"/>
                </a:lnTo>
                <a:lnTo>
                  <a:pt x="5" y="2"/>
                </a:lnTo>
                <a:lnTo>
                  <a:pt x="5" y="17"/>
                </a:lnTo>
                <a:lnTo>
                  <a:pt x="7" y="16"/>
                </a:lnTo>
                <a:lnTo>
                  <a:pt x="5" y="16"/>
                </a:lnTo>
                <a:lnTo>
                  <a:pt x="2" y="19"/>
                </a:lnTo>
                <a:lnTo>
                  <a:pt x="2" y="21"/>
                </a:lnTo>
                <a:lnTo>
                  <a:pt x="0" y="21"/>
                </a:lnTo>
                <a:lnTo>
                  <a:pt x="0" y="33"/>
                </a:lnTo>
                <a:lnTo>
                  <a:pt x="3" y="33"/>
                </a:lnTo>
                <a:lnTo>
                  <a:pt x="3" y="31"/>
                </a:lnTo>
                <a:lnTo>
                  <a:pt x="3" y="25"/>
                </a:lnTo>
                <a:lnTo>
                  <a:pt x="5" y="25"/>
                </a:lnTo>
                <a:lnTo>
                  <a:pt x="5" y="19"/>
                </a:lnTo>
                <a:lnTo>
                  <a:pt x="9" y="19"/>
                </a:lnTo>
                <a:lnTo>
                  <a:pt x="9" y="6"/>
                </a:lnTo>
                <a:lnTo>
                  <a:pt x="11" y="6"/>
                </a:lnTo>
                <a:lnTo>
                  <a:pt x="11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2" name="Freeform 71"/>
          <xdr:cNvSpPr>
            <a:spLocks/>
          </xdr:cNvSpPr>
        </xdr:nvSpPr>
        <xdr:spPr bwMode="auto">
          <a:xfrm>
            <a:off x="312" y="2245"/>
            <a:ext cx="3" cy="10"/>
          </a:xfrm>
          <a:custGeom>
            <a:avLst/>
            <a:gdLst>
              <a:gd name="T0" fmla="*/ 3 w 13"/>
              <a:gd name="T1" fmla="*/ 1 h 41"/>
              <a:gd name="T2" fmla="*/ 3 w 13"/>
              <a:gd name="T3" fmla="*/ 0 h 41"/>
              <a:gd name="T4" fmla="*/ 2 w 13"/>
              <a:gd name="T5" fmla="*/ 0 h 41"/>
              <a:gd name="T6" fmla="*/ 3 w 13"/>
              <a:gd name="T7" fmla="*/ 0 h 41"/>
              <a:gd name="T8" fmla="*/ 2 w 13"/>
              <a:gd name="T9" fmla="*/ 0 h 41"/>
              <a:gd name="T10" fmla="*/ 2 w 13"/>
              <a:gd name="T11" fmla="*/ 5 h 41"/>
              <a:gd name="T12" fmla="*/ 2 w 13"/>
              <a:gd name="T13" fmla="*/ 5 h 41"/>
              <a:gd name="T14" fmla="*/ 2 w 13"/>
              <a:gd name="T15" fmla="*/ 5 h 41"/>
              <a:gd name="T16" fmla="*/ 1 w 13"/>
              <a:gd name="T17" fmla="*/ 5 h 41"/>
              <a:gd name="T18" fmla="*/ 1 w 13"/>
              <a:gd name="T19" fmla="*/ 6 h 41"/>
              <a:gd name="T20" fmla="*/ 1 w 13"/>
              <a:gd name="T21" fmla="*/ 6 h 41"/>
              <a:gd name="T22" fmla="*/ 1 w 13"/>
              <a:gd name="T23" fmla="*/ 7 h 41"/>
              <a:gd name="T24" fmla="*/ 0 w 13"/>
              <a:gd name="T25" fmla="*/ 7 h 41"/>
              <a:gd name="T26" fmla="*/ 0 w 13"/>
              <a:gd name="T27" fmla="*/ 8 h 41"/>
              <a:gd name="T28" fmla="*/ 0 w 13"/>
              <a:gd name="T29" fmla="*/ 8 h 41"/>
              <a:gd name="T30" fmla="*/ 0 w 13"/>
              <a:gd name="T31" fmla="*/ 10 h 41"/>
              <a:gd name="T32" fmla="*/ 1 w 13"/>
              <a:gd name="T33" fmla="*/ 10 h 41"/>
              <a:gd name="T34" fmla="*/ 1 w 13"/>
              <a:gd name="T35" fmla="*/ 10 h 41"/>
              <a:gd name="T36" fmla="*/ 1 w 13"/>
              <a:gd name="T37" fmla="*/ 9 h 41"/>
              <a:gd name="T38" fmla="*/ 1 w 13"/>
              <a:gd name="T39" fmla="*/ 9 h 41"/>
              <a:gd name="T40" fmla="*/ 1 w 13"/>
              <a:gd name="T41" fmla="*/ 8 h 41"/>
              <a:gd name="T42" fmla="*/ 2 w 13"/>
              <a:gd name="T43" fmla="*/ 8 h 41"/>
              <a:gd name="T44" fmla="*/ 2 w 13"/>
              <a:gd name="T45" fmla="*/ 6 h 41"/>
              <a:gd name="T46" fmla="*/ 2 w 13"/>
              <a:gd name="T47" fmla="*/ 6 h 41"/>
              <a:gd name="T48" fmla="*/ 3 w 13"/>
              <a:gd name="T49" fmla="*/ 6 h 41"/>
              <a:gd name="T50" fmla="*/ 3 w 13"/>
              <a:gd name="T51" fmla="*/ 1 h 41"/>
              <a:gd name="T52" fmla="*/ 3 w 13"/>
              <a:gd name="T53" fmla="*/ 1 h 41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3"/>
              <a:gd name="T82" fmla="*/ 0 h 41"/>
              <a:gd name="T83" fmla="*/ 13 w 13"/>
              <a:gd name="T84" fmla="*/ 41 h 41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3" h="41">
                <a:moveTo>
                  <a:pt x="13" y="4"/>
                </a:moveTo>
                <a:lnTo>
                  <a:pt x="13" y="0"/>
                </a:lnTo>
                <a:lnTo>
                  <a:pt x="9" y="0"/>
                </a:lnTo>
                <a:lnTo>
                  <a:pt x="11" y="0"/>
                </a:lnTo>
                <a:lnTo>
                  <a:pt x="7" y="0"/>
                </a:lnTo>
                <a:lnTo>
                  <a:pt x="7" y="22"/>
                </a:lnTo>
                <a:lnTo>
                  <a:pt x="7" y="20"/>
                </a:lnTo>
                <a:lnTo>
                  <a:pt x="9" y="20"/>
                </a:lnTo>
                <a:lnTo>
                  <a:pt x="5" y="20"/>
                </a:lnTo>
                <a:lnTo>
                  <a:pt x="5" y="23"/>
                </a:lnTo>
                <a:lnTo>
                  <a:pt x="4" y="25"/>
                </a:lnTo>
                <a:lnTo>
                  <a:pt x="4" y="27"/>
                </a:lnTo>
                <a:lnTo>
                  <a:pt x="2" y="27"/>
                </a:lnTo>
                <a:lnTo>
                  <a:pt x="2" y="33"/>
                </a:lnTo>
                <a:lnTo>
                  <a:pt x="0" y="33"/>
                </a:lnTo>
                <a:lnTo>
                  <a:pt x="0" y="41"/>
                </a:lnTo>
                <a:lnTo>
                  <a:pt x="4" y="41"/>
                </a:lnTo>
                <a:lnTo>
                  <a:pt x="4" y="39"/>
                </a:lnTo>
                <a:lnTo>
                  <a:pt x="4" y="37"/>
                </a:lnTo>
                <a:lnTo>
                  <a:pt x="5" y="37"/>
                </a:lnTo>
                <a:lnTo>
                  <a:pt x="5" y="31"/>
                </a:lnTo>
                <a:lnTo>
                  <a:pt x="7" y="31"/>
                </a:lnTo>
                <a:lnTo>
                  <a:pt x="7" y="25"/>
                </a:lnTo>
                <a:lnTo>
                  <a:pt x="9" y="23"/>
                </a:lnTo>
                <a:lnTo>
                  <a:pt x="11" y="23"/>
                </a:lnTo>
                <a:lnTo>
                  <a:pt x="11" y="4"/>
                </a:lnTo>
                <a:lnTo>
                  <a:pt x="13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3" name="Freeform 72"/>
          <xdr:cNvSpPr>
            <a:spLocks/>
          </xdr:cNvSpPr>
        </xdr:nvSpPr>
        <xdr:spPr bwMode="auto">
          <a:xfrm>
            <a:off x="312" y="2245"/>
            <a:ext cx="4" cy="10"/>
          </a:xfrm>
          <a:custGeom>
            <a:avLst/>
            <a:gdLst>
              <a:gd name="T0" fmla="*/ 4 w 19"/>
              <a:gd name="T1" fmla="*/ 1 h 37"/>
              <a:gd name="T2" fmla="*/ 4 w 19"/>
              <a:gd name="T3" fmla="*/ 0 h 37"/>
              <a:gd name="T4" fmla="*/ 3 w 19"/>
              <a:gd name="T5" fmla="*/ 0 h 37"/>
              <a:gd name="T6" fmla="*/ 3 w 19"/>
              <a:gd name="T7" fmla="*/ 1 h 37"/>
              <a:gd name="T8" fmla="*/ 3 w 19"/>
              <a:gd name="T9" fmla="*/ 1 h 37"/>
              <a:gd name="T10" fmla="*/ 3 w 19"/>
              <a:gd name="T11" fmla="*/ 3 h 37"/>
              <a:gd name="T12" fmla="*/ 2 w 19"/>
              <a:gd name="T13" fmla="*/ 3 h 37"/>
              <a:gd name="T14" fmla="*/ 2 w 19"/>
              <a:gd name="T15" fmla="*/ 6 h 37"/>
              <a:gd name="T16" fmla="*/ 2 w 19"/>
              <a:gd name="T17" fmla="*/ 6 h 37"/>
              <a:gd name="T18" fmla="*/ 3 w 19"/>
              <a:gd name="T19" fmla="*/ 6 h 37"/>
              <a:gd name="T20" fmla="*/ 2 w 19"/>
              <a:gd name="T21" fmla="*/ 6 h 37"/>
              <a:gd name="T22" fmla="*/ 2 w 19"/>
              <a:gd name="T23" fmla="*/ 6 h 37"/>
              <a:gd name="T24" fmla="*/ 1 w 19"/>
              <a:gd name="T25" fmla="*/ 6 h 37"/>
              <a:gd name="T26" fmla="*/ 1 w 19"/>
              <a:gd name="T27" fmla="*/ 7 h 37"/>
              <a:gd name="T28" fmla="*/ 1 w 19"/>
              <a:gd name="T29" fmla="*/ 7 h 37"/>
              <a:gd name="T30" fmla="*/ 1 w 19"/>
              <a:gd name="T31" fmla="*/ 7 h 37"/>
              <a:gd name="T32" fmla="*/ 1 w 19"/>
              <a:gd name="T33" fmla="*/ 7 h 37"/>
              <a:gd name="T34" fmla="*/ 1 w 19"/>
              <a:gd name="T35" fmla="*/ 8 h 37"/>
              <a:gd name="T36" fmla="*/ 0 w 19"/>
              <a:gd name="T37" fmla="*/ 8 h 37"/>
              <a:gd name="T38" fmla="*/ 0 w 19"/>
              <a:gd name="T39" fmla="*/ 8 h 37"/>
              <a:gd name="T40" fmla="*/ 0 w 19"/>
              <a:gd name="T41" fmla="*/ 8 h 37"/>
              <a:gd name="T42" fmla="*/ 0 w 19"/>
              <a:gd name="T43" fmla="*/ 9 h 37"/>
              <a:gd name="T44" fmla="*/ 0 w 19"/>
              <a:gd name="T45" fmla="*/ 9 h 37"/>
              <a:gd name="T46" fmla="*/ 0 w 19"/>
              <a:gd name="T47" fmla="*/ 10 h 37"/>
              <a:gd name="T48" fmla="*/ 1 w 19"/>
              <a:gd name="T49" fmla="*/ 10 h 37"/>
              <a:gd name="T50" fmla="*/ 1 w 19"/>
              <a:gd name="T51" fmla="*/ 9 h 37"/>
              <a:gd name="T52" fmla="*/ 1 w 19"/>
              <a:gd name="T53" fmla="*/ 9 h 37"/>
              <a:gd name="T54" fmla="*/ 1 w 19"/>
              <a:gd name="T55" fmla="*/ 9 h 37"/>
              <a:gd name="T56" fmla="*/ 1 w 19"/>
              <a:gd name="T57" fmla="*/ 9 h 37"/>
              <a:gd name="T58" fmla="*/ 1 w 19"/>
              <a:gd name="T59" fmla="*/ 8 h 37"/>
              <a:gd name="T60" fmla="*/ 2 w 19"/>
              <a:gd name="T61" fmla="*/ 8 h 37"/>
              <a:gd name="T62" fmla="*/ 2 w 19"/>
              <a:gd name="T63" fmla="*/ 8 h 37"/>
              <a:gd name="T64" fmla="*/ 2 w 19"/>
              <a:gd name="T65" fmla="*/ 8 h 37"/>
              <a:gd name="T66" fmla="*/ 2 w 19"/>
              <a:gd name="T67" fmla="*/ 7 h 37"/>
              <a:gd name="T68" fmla="*/ 3 w 19"/>
              <a:gd name="T69" fmla="*/ 7 h 37"/>
              <a:gd name="T70" fmla="*/ 3 w 19"/>
              <a:gd name="T71" fmla="*/ 7 h 37"/>
              <a:gd name="T72" fmla="*/ 3 w 19"/>
              <a:gd name="T73" fmla="*/ 7 h 37"/>
              <a:gd name="T74" fmla="*/ 3 w 19"/>
              <a:gd name="T75" fmla="*/ 4 h 37"/>
              <a:gd name="T76" fmla="*/ 4 w 19"/>
              <a:gd name="T77" fmla="*/ 4 h 37"/>
              <a:gd name="T78" fmla="*/ 4 w 19"/>
              <a:gd name="T79" fmla="*/ 2 h 37"/>
              <a:gd name="T80" fmla="*/ 4 w 19"/>
              <a:gd name="T81" fmla="*/ 2 h 37"/>
              <a:gd name="T82" fmla="*/ 4 w 19"/>
              <a:gd name="T83" fmla="*/ 1 h 37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19"/>
              <a:gd name="T127" fmla="*/ 0 h 37"/>
              <a:gd name="T128" fmla="*/ 19 w 19"/>
              <a:gd name="T129" fmla="*/ 37 h 37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19" h="37">
                <a:moveTo>
                  <a:pt x="19" y="2"/>
                </a:moveTo>
                <a:lnTo>
                  <a:pt x="19" y="0"/>
                </a:lnTo>
                <a:lnTo>
                  <a:pt x="15" y="0"/>
                </a:lnTo>
                <a:lnTo>
                  <a:pt x="15" y="4"/>
                </a:lnTo>
                <a:lnTo>
                  <a:pt x="13" y="4"/>
                </a:lnTo>
                <a:lnTo>
                  <a:pt x="13" y="12"/>
                </a:lnTo>
                <a:lnTo>
                  <a:pt x="11" y="12"/>
                </a:lnTo>
                <a:lnTo>
                  <a:pt x="11" y="23"/>
                </a:lnTo>
                <a:lnTo>
                  <a:pt x="11" y="21"/>
                </a:lnTo>
                <a:lnTo>
                  <a:pt x="13" y="21"/>
                </a:lnTo>
                <a:lnTo>
                  <a:pt x="9" y="21"/>
                </a:lnTo>
                <a:lnTo>
                  <a:pt x="9" y="23"/>
                </a:lnTo>
                <a:lnTo>
                  <a:pt x="7" y="23"/>
                </a:lnTo>
                <a:lnTo>
                  <a:pt x="7" y="25"/>
                </a:lnTo>
                <a:lnTo>
                  <a:pt x="5" y="25"/>
                </a:lnTo>
                <a:lnTo>
                  <a:pt x="5" y="27"/>
                </a:lnTo>
                <a:lnTo>
                  <a:pt x="3" y="27"/>
                </a:lnTo>
                <a:lnTo>
                  <a:pt x="3" y="29"/>
                </a:lnTo>
                <a:lnTo>
                  <a:pt x="2" y="29"/>
                </a:lnTo>
                <a:lnTo>
                  <a:pt x="2" y="31"/>
                </a:lnTo>
                <a:lnTo>
                  <a:pt x="0" y="31"/>
                </a:lnTo>
                <a:lnTo>
                  <a:pt x="0" y="35"/>
                </a:lnTo>
                <a:lnTo>
                  <a:pt x="0" y="33"/>
                </a:lnTo>
                <a:lnTo>
                  <a:pt x="0" y="37"/>
                </a:lnTo>
                <a:lnTo>
                  <a:pt x="3" y="37"/>
                </a:lnTo>
                <a:lnTo>
                  <a:pt x="3" y="35"/>
                </a:lnTo>
                <a:lnTo>
                  <a:pt x="5" y="35"/>
                </a:lnTo>
                <a:lnTo>
                  <a:pt x="5" y="33"/>
                </a:lnTo>
                <a:lnTo>
                  <a:pt x="7" y="33"/>
                </a:lnTo>
                <a:lnTo>
                  <a:pt x="7" y="31"/>
                </a:lnTo>
                <a:lnTo>
                  <a:pt x="9" y="31"/>
                </a:lnTo>
                <a:lnTo>
                  <a:pt x="9" y="29"/>
                </a:lnTo>
                <a:lnTo>
                  <a:pt x="11" y="29"/>
                </a:lnTo>
                <a:lnTo>
                  <a:pt x="11" y="27"/>
                </a:lnTo>
                <a:lnTo>
                  <a:pt x="13" y="27"/>
                </a:lnTo>
                <a:lnTo>
                  <a:pt x="13" y="25"/>
                </a:lnTo>
                <a:lnTo>
                  <a:pt x="15" y="25"/>
                </a:lnTo>
                <a:lnTo>
                  <a:pt x="15" y="16"/>
                </a:lnTo>
                <a:lnTo>
                  <a:pt x="17" y="16"/>
                </a:lnTo>
                <a:lnTo>
                  <a:pt x="17" y="8"/>
                </a:lnTo>
                <a:lnTo>
                  <a:pt x="19" y="8"/>
                </a:lnTo>
                <a:lnTo>
                  <a:pt x="19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4" name="Freeform 73"/>
          <xdr:cNvSpPr>
            <a:spLocks/>
          </xdr:cNvSpPr>
        </xdr:nvSpPr>
        <xdr:spPr bwMode="auto">
          <a:xfrm>
            <a:off x="313" y="2245"/>
            <a:ext cx="4" cy="10"/>
          </a:xfrm>
          <a:custGeom>
            <a:avLst/>
            <a:gdLst>
              <a:gd name="T0" fmla="*/ 4 w 20"/>
              <a:gd name="T1" fmla="*/ 0 h 41"/>
              <a:gd name="T2" fmla="*/ 4 w 20"/>
              <a:gd name="T3" fmla="*/ 0 h 41"/>
              <a:gd name="T4" fmla="*/ 3 w 20"/>
              <a:gd name="T5" fmla="*/ 0 h 41"/>
              <a:gd name="T6" fmla="*/ 3 w 20"/>
              <a:gd name="T7" fmla="*/ 1 h 41"/>
              <a:gd name="T8" fmla="*/ 3 w 20"/>
              <a:gd name="T9" fmla="*/ 1 h 41"/>
              <a:gd name="T10" fmla="*/ 3 w 20"/>
              <a:gd name="T11" fmla="*/ 3 h 41"/>
              <a:gd name="T12" fmla="*/ 2 w 20"/>
              <a:gd name="T13" fmla="*/ 3 h 41"/>
              <a:gd name="T14" fmla="*/ 2 w 20"/>
              <a:gd name="T15" fmla="*/ 6 h 41"/>
              <a:gd name="T16" fmla="*/ 2 w 20"/>
              <a:gd name="T17" fmla="*/ 5 h 41"/>
              <a:gd name="T18" fmla="*/ 3 w 20"/>
              <a:gd name="T19" fmla="*/ 5 h 41"/>
              <a:gd name="T20" fmla="*/ 2 w 20"/>
              <a:gd name="T21" fmla="*/ 5 h 41"/>
              <a:gd name="T22" fmla="*/ 2 w 20"/>
              <a:gd name="T23" fmla="*/ 6 h 41"/>
              <a:gd name="T24" fmla="*/ 2 w 20"/>
              <a:gd name="T25" fmla="*/ 6 h 41"/>
              <a:gd name="T26" fmla="*/ 2 w 20"/>
              <a:gd name="T27" fmla="*/ 6 h 41"/>
              <a:gd name="T28" fmla="*/ 1 w 20"/>
              <a:gd name="T29" fmla="*/ 6 h 41"/>
              <a:gd name="T30" fmla="*/ 1 w 20"/>
              <a:gd name="T31" fmla="*/ 7 h 41"/>
              <a:gd name="T32" fmla="*/ 1 w 20"/>
              <a:gd name="T33" fmla="*/ 7 h 41"/>
              <a:gd name="T34" fmla="*/ 1 w 20"/>
              <a:gd name="T35" fmla="*/ 8 h 41"/>
              <a:gd name="T36" fmla="*/ 0 w 20"/>
              <a:gd name="T37" fmla="*/ 8 h 41"/>
              <a:gd name="T38" fmla="*/ 0 w 20"/>
              <a:gd name="T39" fmla="*/ 8 h 41"/>
              <a:gd name="T40" fmla="*/ 0 w 20"/>
              <a:gd name="T41" fmla="*/ 10 h 41"/>
              <a:gd name="T42" fmla="*/ 1 w 20"/>
              <a:gd name="T43" fmla="*/ 10 h 41"/>
              <a:gd name="T44" fmla="*/ 1 w 20"/>
              <a:gd name="T45" fmla="*/ 10 h 41"/>
              <a:gd name="T46" fmla="*/ 1 w 20"/>
              <a:gd name="T47" fmla="*/ 9 h 41"/>
              <a:gd name="T48" fmla="*/ 1 w 20"/>
              <a:gd name="T49" fmla="*/ 9 h 41"/>
              <a:gd name="T50" fmla="*/ 1 w 20"/>
              <a:gd name="T51" fmla="*/ 8 h 41"/>
              <a:gd name="T52" fmla="*/ 2 w 20"/>
              <a:gd name="T53" fmla="*/ 8 h 41"/>
              <a:gd name="T54" fmla="*/ 2 w 20"/>
              <a:gd name="T55" fmla="*/ 8 h 41"/>
              <a:gd name="T56" fmla="*/ 2 w 20"/>
              <a:gd name="T57" fmla="*/ 7 h 41"/>
              <a:gd name="T58" fmla="*/ 2 w 20"/>
              <a:gd name="T59" fmla="*/ 7 h 41"/>
              <a:gd name="T60" fmla="*/ 2 w 20"/>
              <a:gd name="T61" fmla="*/ 7 h 41"/>
              <a:gd name="T62" fmla="*/ 3 w 20"/>
              <a:gd name="T63" fmla="*/ 7 h 41"/>
              <a:gd name="T64" fmla="*/ 3 w 20"/>
              <a:gd name="T65" fmla="*/ 6 h 41"/>
              <a:gd name="T66" fmla="*/ 3 w 20"/>
              <a:gd name="T67" fmla="*/ 6 h 41"/>
              <a:gd name="T68" fmla="*/ 3 w 20"/>
              <a:gd name="T69" fmla="*/ 4 h 41"/>
              <a:gd name="T70" fmla="*/ 4 w 20"/>
              <a:gd name="T71" fmla="*/ 4 h 41"/>
              <a:gd name="T72" fmla="*/ 4 w 20"/>
              <a:gd name="T73" fmla="*/ 2 h 41"/>
              <a:gd name="T74" fmla="*/ 4 w 20"/>
              <a:gd name="T75" fmla="*/ 2 h 41"/>
              <a:gd name="T76" fmla="*/ 4 w 20"/>
              <a:gd name="T77" fmla="*/ 0 h 41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20"/>
              <a:gd name="T118" fmla="*/ 0 h 41"/>
              <a:gd name="T119" fmla="*/ 20 w 20"/>
              <a:gd name="T120" fmla="*/ 41 h 41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20" h="41">
                <a:moveTo>
                  <a:pt x="20" y="2"/>
                </a:moveTo>
                <a:lnTo>
                  <a:pt x="20" y="0"/>
                </a:lnTo>
                <a:lnTo>
                  <a:pt x="16" y="0"/>
                </a:lnTo>
                <a:lnTo>
                  <a:pt x="16" y="4"/>
                </a:lnTo>
                <a:lnTo>
                  <a:pt x="14" y="4"/>
                </a:lnTo>
                <a:lnTo>
                  <a:pt x="14" y="12"/>
                </a:lnTo>
                <a:lnTo>
                  <a:pt x="12" y="12"/>
                </a:lnTo>
                <a:lnTo>
                  <a:pt x="12" y="23"/>
                </a:lnTo>
                <a:lnTo>
                  <a:pt x="12" y="22"/>
                </a:lnTo>
                <a:lnTo>
                  <a:pt x="14" y="22"/>
                </a:lnTo>
                <a:lnTo>
                  <a:pt x="10" y="22"/>
                </a:lnTo>
                <a:lnTo>
                  <a:pt x="10" y="23"/>
                </a:lnTo>
                <a:lnTo>
                  <a:pt x="8" y="23"/>
                </a:lnTo>
                <a:lnTo>
                  <a:pt x="8" y="25"/>
                </a:lnTo>
                <a:lnTo>
                  <a:pt x="6" y="25"/>
                </a:lnTo>
                <a:lnTo>
                  <a:pt x="6" y="27"/>
                </a:lnTo>
                <a:lnTo>
                  <a:pt x="4" y="27"/>
                </a:lnTo>
                <a:lnTo>
                  <a:pt x="4" y="31"/>
                </a:lnTo>
                <a:lnTo>
                  <a:pt x="2" y="33"/>
                </a:lnTo>
                <a:lnTo>
                  <a:pt x="0" y="33"/>
                </a:lnTo>
                <a:lnTo>
                  <a:pt x="0" y="41"/>
                </a:lnTo>
                <a:lnTo>
                  <a:pt x="4" y="41"/>
                </a:lnTo>
                <a:lnTo>
                  <a:pt x="4" y="39"/>
                </a:lnTo>
                <a:lnTo>
                  <a:pt x="4" y="37"/>
                </a:lnTo>
                <a:lnTo>
                  <a:pt x="6" y="37"/>
                </a:lnTo>
                <a:lnTo>
                  <a:pt x="6" y="33"/>
                </a:lnTo>
                <a:lnTo>
                  <a:pt x="8" y="31"/>
                </a:lnTo>
                <a:lnTo>
                  <a:pt x="10" y="31"/>
                </a:lnTo>
                <a:lnTo>
                  <a:pt x="10" y="29"/>
                </a:lnTo>
                <a:lnTo>
                  <a:pt x="12" y="29"/>
                </a:lnTo>
                <a:lnTo>
                  <a:pt x="12" y="27"/>
                </a:lnTo>
                <a:lnTo>
                  <a:pt x="14" y="27"/>
                </a:lnTo>
                <a:lnTo>
                  <a:pt x="14" y="25"/>
                </a:lnTo>
                <a:lnTo>
                  <a:pt x="16" y="25"/>
                </a:lnTo>
                <a:lnTo>
                  <a:pt x="16" y="16"/>
                </a:lnTo>
                <a:lnTo>
                  <a:pt x="18" y="16"/>
                </a:lnTo>
                <a:lnTo>
                  <a:pt x="18" y="8"/>
                </a:lnTo>
                <a:lnTo>
                  <a:pt x="20" y="8"/>
                </a:lnTo>
                <a:lnTo>
                  <a:pt x="2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5" name="Freeform 74"/>
          <xdr:cNvSpPr>
            <a:spLocks/>
          </xdr:cNvSpPr>
        </xdr:nvSpPr>
        <xdr:spPr bwMode="auto">
          <a:xfrm>
            <a:off x="313" y="2219"/>
            <a:ext cx="2" cy="5"/>
          </a:xfrm>
          <a:custGeom>
            <a:avLst/>
            <a:gdLst>
              <a:gd name="T0" fmla="*/ 2 w 4"/>
              <a:gd name="T1" fmla="*/ 1 h 20"/>
              <a:gd name="T2" fmla="*/ 2 w 4"/>
              <a:gd name="T3" fmla="*/ 0 h 20"/>
              <a:gd name="T4" fmla="*/ 0 w 4"/>
              <a:gd name="T5" fmla="*/ 0 h 20"/>
              <a:gd name="T6" fmla="*/ 0 w 4"/>
              <a:gd name="T7" fmla="*/ 5 h 20"/>
              <a:gd name="T8" fmla="*/ 2 w 4"/>
              <a:gd name="T9" fmla="*/ 5 h 20"/>
              <a:gd name="T10" fmla="*/ 2 w 4"/>
              <a:gd name="T11" fmla="*/ 5 h 20"/>
              <a:gd name="T12" fmla="*/ 2 w 4"/>
              <a:gd name="T13" fmla="*/ 1 h 2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0"/>
              <a:gd name="T23" fmla="*/ 4 w 4"/>
              <a:gd name="T24" fmla="*/ 20 h 2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0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0"/>
                </a:lnTo>
                <a:lnTo>
                  <a:pt x="4" y="20"/>
                </a:lnTo>
                <a:lnTo>
                  <a:pt x="4" y="1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6" name="Freeform 75"/>
          <xdr:cNvSpPr>
            <a:spLocks/>
          </xdr:cNvSpPr>
        </xdr:nvSpPr>
        <xdr:spPr bwMode="auto">
          <a:xfrm>
            <a:off x="313" y="2224"/>
            <a:ext cx="2" cy="9"/>
          </a:xfrm>
          <a:custGeom>
            <a:avLst/>
            <a:gdLst>
              <a:gd name="T0" fmla="*/ 2 w 4"/>
              <a:gd name="T1" fmla="*/ 0 h 33"/>
              <a:gd name="T2" fmla="*/ 2 w 4"/>
              <a:gd name="T3" fmla="*/ 0 h 33"/>
              <a:gd name="T4" fmla="*/ 0 w 4"/>
              <a:gd name="T5" fmla="*/ 0 h 33"/>
              <a:gd name="T6" fmla="*/ 0 w 4"/>
              <a:gd name="T7" fmla="*/ 9 h 33"/>
              <a:gd name="T8" fmla="*/ 2 w 4"/>
              <a:gd name="T9" fmla="*/ 9 h 33"/>
              <a:gd name="T10" fmla="*/ 2 w 4"/>
              <a:gd name="T11" fmla="*/ 8 h 33"/>
              <a:gd name="T12" fmla="*/ 2 w 4"/>
              <a:gd name="T13" fmla="*/ 0 h 3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33"/>
              <a:gd name="T23" fmla="*/ 4 w 4"/>
              <a:gd name="T24" fmla="*/ 33 h 3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33">
                <a:moveTo>
                  <a:pt x="4" y="1"/>
                </a:moveTo>
                <a:lnTo>
                  <a:pt x="4" y="0"/>
                </a:lnTo>
                <a:lnTo>
                  <a:pt x="0" y="0"/>
                </a:lnTo>
                <a:lnTo>
                  <a:pt x="0" y="33"/>
                </a:lnTo>
                <a:lnTo>
                  <a:pt x="4" y="33"/>
                </a:lnTo>
                <a:lnTo>
                  <a:pt x="4" y="31"/>
                </a:lnTo>
                <a:lnTo>
                  <a:pt x="4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7" name="Freeform 76"/>
          <xdr:cNvSpPr>
            <a:spLocks/>
          </xdr:cNvSpPr>
        </xdr:nvSpPr>
        <xdr:spPr bwMode="auto">
          <a:xfrm>
            <a:off x="313" y="2234"/>
            <a:ext cx="2" cy="13"/>
          </a:xfrm>
          <a:custGeom>
            <a:avLst/>
            <a:gdLst>
              <a:gd name="T0" fmla="*/ 2 w 4"/>
              <a:gd name="T1" fmla="*/ 0 h 53"/>
              <a:gd name="T2" fmla="*/ 2 w 4"/>
              <a:gd name="T3" fmla="*/ 0 h 53"/>
              <a:gd name="T4" fmla="*/ 0 w 4"/>
              <a:gd name="T5" fmla="*/ 0 h 53"/>
              <a:gd name="T6" fmla="*/ 0 w 4"/>
              <a:gd name="T7" fmla="*/ 13 h 53"/>
              <a:gd name="T8" fmla="*/ 2 w 4"/>
              <a:gd name="T9" fmla="*/ 13 h 53"/>
              <a:gd name="T10" fmla="*/ 2 w 4"/>
              <a:gd name="T11" fmla="*/ 13 h 53"/>
              <a:gd name="T12" fmla="*/ 2 w 4"/>
              <a:gd name="T13" fmla="*/ 0 h 5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53"/>
              <a:gd name="T23" fmla="*/ 4 w 4"/>
              <a:gd name="T24" fmla="*/ 53 h 5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5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53"/>
                </a:lnTo>
                <a:lnTo>
                  <a:pt x="4" y="53"/>
                </a:lnTo>
                <a:lnTo>
                  <a:pt x="4" y="51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8" name="Freeform 77"/>
          <xdr:cNvSpPr>
            <a:spLocks/>
          </xdr:cNvSpPr>
        </xdr:nvSpPr>
        <xdr:spPr bwMode="auto">
          <a:xfrm>
            <a:off x="316" y="2219"/>
            <a:ext cx="4" cy="28"/>
          </a:xfrm>
          <a:custGeom>
            <a:avLst/>
            <a:gdLst>
              <a:gd name="T0" fmla="*/ 4 w 18"/>
              <a:gd name="T1" fmla="*/ 0 h 117"/>
              <a:gd name="T2" fmla="*/ 4 w 18"/>
              <a:gd name="T3" fmla="*/ 0 h 117"/>
              <a:gd name="T4" fmla="*/ 3 w 18"/>
              <a:gd name="T5" fmla="*/ 0 h 117"/>
              <a:gd name="T6" fmla="*/ 3 w 18"/>
              <a:gd name="T7" fmla="*/ 0 h 117"/>
              <a:gd name="T8" fmla="*/ 1 w 18"/>
              <a:gd name="T9" fmla="*/ 9 h 117"/>
              <a:gd name="T10" fmla="*/ 0 w 18"/>
              <a:gd name="T11" fmla="*/ 28 h 117"/>
              <a:gd name="T12" fmla="*/ 0 w 18"/>
              <a:gd name="T13" fmla="*/ 28 h 117"/>
              <a:gd name="T14" fmla="*/ 1 w 18"/>
              <a:gd name="T15" fmla="*/ 28 h 117"/>
              <a:gd name="T16" fmla="*/ 1 w 18"/>
              <a:gd name="T17" fmla="*/ 28 h 117"/>
              <a:gd name="T18" fmla="*/ 2 w 18"/>
              <a:gd name="T19" fmla="*/ 9 h 117"/>
              <a:gd name="T20" fmla="*/ 4 w 18"/>
              <a:gd name="T21" fmla="*/ 0 h 117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18"/>
              <a:gd name="T34" fmla="*/ 0 h 117"/>
              <a:gd name="T35" fmla="*/ 18 w 18"/>
              <a:gd name="T36" fmla="*/ 117 h 117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18" h="117">
                <a:moveTo>
                  <a:pt x="18" y="2"/>
                </a:moveTo>
                <a:lnTo>
                  <a:pt x="18" y="0"/>
                </a:lnTo>
                <a:lnTo>
                  <a:pt x="14" y="0"/>
                </a:lnTo>
                <a:lnTo>
                  <a:pt x="14" y="2"/>
                </a:lnTo>
                <a:lnTo>
                  <a:pt x="4" y="37"/>
                </a:lnTo>
                <a:lnTo>
                  <a:pt x="0" y="115"/>
                </a:lnTo>
                <a:lnTo>
                  <a:pt x="0" y="117"/>
                </a:lnTo>
                <a:lnTo>
                  <a:pt x="4" y="117"/>
                </a:lnTo>
                <a:lnTo>
                  <a:pt x="4" y="115"/>
                </a:lnTo>
                <a:lnTo>
                  <a:pt x="8" y="37"/>
                </a:lnTo>
                <a:lnTo>
                  <a:pt x="18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79" name="Freeform 78"/>
          <xdr:cNvSpPr>
            <a:spLocks/>
          </xdr:cNvSpPr>
        </xdr:nvSpPr>
        <xdr:spPr bwMode="auto">
          <a:xfrm>
            <a:off x="317" y="2219"/>
            <a:ext cx="4" cy="28"/>
          </a:xfrm>
          <a:custGeom>
            <a:avLst/>
            <a:gdLst>
              <a:gd name="T0" fmla="*/ 4 w 18"/>
              <a:gd name="T1" fmla="*/ 0 h 115"/>
              <a:gd name="T2" fmla="*/ 4 w 18"/>
              <a:gd name="T3" fmla="*/ 0 h 115"/>
              <a:gd name="T4" fmla="*/ 3 w 18"/>
              <a:gd name="T5" fmla="*/ 0 h 115"/>
              <a:gd name="T6" fmla="*/ 3 w 18"/>
              <a:gd name="T7" fmla="*/ 0 h 115"/>
              <a:gd name="T8" fmla="*/ 0 w 18"/>
              <a:gd name="T9" fmla="*/ 9 h 115"/>
              <a:gd name="T10" fmla="*/ 0 w 18"/>
              <a:gd name="T11" fmla="*/ 28 h 115"/>
              <a:gd name="T12" fmla="*/ 0 w 18"/>
              <a:gd name="T13" fmla="*/ 28 h 115"/>
              <a:gd name="T14" fmla="*/ 1 w 18"/>
              <a:gd name="T15" fmla="*/ 28 h 115"/>
              <a:gd name="T16" fmla="*/ 1 w 18"/>
              <a:gd name="T17" fmla="*/ 28 h 115"/>
              <a:gd name="T18" fmla="*/ 1 w 18"/>
              <a:gd name="T19" fmla="*/ 9 h 115"/>
              <a:gd name="T20" fmla="*/ 4 w 18"/>
              <a:gd name="T21" fmla="*/ 0 h 115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18"/>
              <a:gd name="T34" fmla="*/ 0 h 115"/>
              <a:gd name="T35" fmla="*/ 18 w 18"/>
              <a:gd name="T36" fmla="*/ 115 h 115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18" h="115">
                <a:moveTo>
                  <a:pt x="18" y="2"/>
                </a:moveTo>
                <a:lnTo>
                  <a:pt x="18" y="0"/>
                </a:lnTo>
                <a:lnTo>
                  <a:pt x="14" y="0"/>
                </a:lnTo>
                <a:lnTo>
                  <a:pt x="14" y="2"/>
                </a:lnTo>
                <a:lnTo>
                  <a:pt x="2" y="37"/>
                </a:lnTo>
                <a:lnTo>
                  <a:pt x="0" y="113"/>
                </a:lnTo>
                <a:lnTo>
                  <a:pt x="0" y="115"/>
                </a:lnTo>
                <a:lnTo>
                  <a:pt x="4" y="115"/>
                </a:lnTo>
                <a:lnTo>
                  <a:pt x="4" y="113"/>
                </a:lnTo>
                <a:lnTo>
                  <a:pt x="6" y="37"/>
                </a:lnTo>
                <a:lnTo>
                  <a:pt x="18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0" name="Freeform 79"/>
          <xdr:cNvSpPr>
            <a:spLocks/>
          </xdr:cNvSpPr>
        </xdr:nvSpPr>
        <xdr:spPr bwMode="auto">
          <a:xfrm>
            <a:off x="318" y="2245"/>
            <a:ext cx="4" cy="10"/>
          </a:xfrm>
          <a:custGeom>
            <a:avLst/>
            <a:gdLst>
              <a:gd name="T0" fmla="*/ 4 w 20"/>
              <a:gd name="T1" fmla="*/ 0 h 45"/>
              <a:gd name="T2" fmla="*/ 4 w 20"/>
              <a:gd name="T3" fmla="*/ 0 h 45"/>
              <a:gd name="T4" fmla="*/ 3 w 20"/>
              <a:gd name="T5" fmla="*/ 0 h 45"/>
              <a:gd name="T6" fmla="*/ 3 w 20"/>
              <a:gd name="T7" fmla="*/ 1 h 45"/>
              <a:gd name="T8" fmla="*/ 3 w 20"/>
              <a:gd name="T9" fmla="*/ 1 h 45"/>
              <a:gd name="T10" fmla="*/ 3 w 20"/>
              <a:gd name="T11" fmla="*/ 3 h 45"/>
              <a:gd name="T12" fmla="*/ 2 w 20"/>
              <a:gd name="T13" fmla="*/ 3 h 45"/>
              <a:gd name="T14" fmla="*/ 2 w 20"/>
              <a:gd name="T15" fmla="*/ 6 h 45"/>
              <a:gd name="T16" fmla="*/ 2 w 20"/>
              <a:gd name="T17" fmla="*/ 6 h 45"/>
              <a:gd name="T18" fmla="*/ 3 w 20"/>
              <a:gd name="T19" fmla="*/ 6 h 45"/>
              <a:gd name="T20" fmla="*/ 2 w 20"/>
              <a:gd name="T21" fmla="*/ 6 h 45"/>
              <a:gd name="T22" fmla="*/ 2 w 20"/>
              <a:gd name="T23" fmla="*/ 6 h 45"/>
              <a:gd name="T24" fmla="*/ 2 w 20"/>
              <a:gd name="T25" fmla="*/ 6 h 45"/>
              <a:gd name="T26" fmla="*/ 2 w 20"/>
              <a:gd name="T27" fmla="*/ 6 h 45"/>
              <a:gd name="T28" fmla="*/ 1 w 20"/>
              <a:gd name="T29" fmla="*/ 6 h 45"/>
              <a:gd name="T30" fmla="*/ 1 w 20"/>
              <a:gd name="T31" fmla="*/ 7 h 45"/>
              <a:gd name="T32" fmla="*/ 1 w 20"/>
              <a:gd name="T33" fmla="*/ 7 h 45"/>
              <a:gd name="T34" fmla="*/ 1 w 20"/>
              <a:gd name="T35" fmla="*/ 8 h 45"/>
              <a:gd name="T36" fmla="*/ 0 w 20"/>
              <a:gd name="T37" fmla="*/ 8 h 45"/>
              <a:gd name="T38" fmla="*/ 0 w 20"/>
              <a:gd name="T39" fmla="*/ 8 h 45"/>
              <a:gd name="T40" fmla="*/ 0 w 20"/>
              <a:gd name="T41" fmla="*/ 10 h 45"/>
              <a:gd name="T42" fmla="*/ 1 w 20"/>
              <a:gd name="T43" fmla="*/ 10 h 45"/>
              <a:gd name="T44" fmla="*/ 1 w 20"/>
              <a:gd name="T45" fmla="*/ 10 h 45"/>
              <a:gd name="T46" fmla="*/ 1 w 20"/>
              <a:gd name="T47" fmla="*/ 9 h 45"/>
              <a:gd name="T48" fmla="*/ 1 w 20"/>
              <a:gd name="T49" fmla="*/ 9 h 45"/>
              <a:gd name="T50" fmla="*/ 1 w 20"/>
              <a:gd name="T51" fmla="*/ 8 h 45"/>
              <a:gd name="T52" fmla="*/ 2 w 20"/>
              <a:gd name="T53" fmla="*/ 8 h 45"/>
              <a:gd name="T54" fmla="*/ 2 w 20"/>
              <a:gd name="T55" fmla="*/ 8 h 45"/>
              <a:gd name="T56" fmla="*/ 2 w 20"/>
              <a:gd name="T57" fmla="*/ 7 h 45"/>
              <a:gd name="T58" fmla="*/ 2 w 20"/>
              <a:gd name="T59" fmla="*/ 7 h 45"/>
              <a:gd name="T60" fmla="*/ 2 w 20"/>
              <a:gd name="T61" fmla="*/ 7 h 45"/>
              <a:gd name="T62" fmla="*/ 3 w 20"/>
              <a:gd name="T63" fmla="*/ 7 h 45"/>
              <a:gd name="T64" fmla="*/ 3 w 20"/>
              <a:gd name="T65" fmla="*/ 6 h 45"/>
              <a:gd name="T66" fmla="*/ 3 w 20"/>
              <a:gd name="T67" fmla="*/ 6 h 45"/>
              <a:gd name="T68" fmla="*/ 3 w 20"/>
              <a:gd name="T69" fmla="*/ 4 h 45"/>
              <a:gd name="T70" fmla="*/ 4 w 20"/>
              <a:gd name="T71" fmla="*/ 4 h 45"/>
              <a:gd name="T72" fmla="*/ 4 w 20"/>
              <a:gd name="T73" fmla="*/ 2 h 45"/>
              <a:gd name="T74" fmla="*/ 4 w 20"/>
              <a:gd name="T75" fmla="*/ 2 h 45"/>
              <a:gd name="T76" fmla="*/ 4 w 20"/>
              <a:gd name="T77" fmla="*/ 0 h 45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20"/>
              <a:gd name="T118" fmla="*/ 0 h 45"/>
              <a:gd name="T119" fmla="*/ 20 w 20"/>
              <a:gd name="T120" fmla="*/ 45 h 45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20" h="45">
                <a:moveTo>
                  <a:pt x="20" y="2"/>
                </a:moveTo>
                <a:lnTo>
                  <a:pt x="20" y="0"/>
                </a:lnTo>
                <a:lnTo>
                  <a:pt x="16" y="0"/>
                </a:lnTo>
                <a:lnTo>
                  <a:pt x="16" y="6"/>
                </a:lnTo>
                <a:lnTo>
                  <a:pt x="14" y="6"/>
                </a:lnTo>
                <a:lnTo>
                  <a:pt x="14" y="14"/>
                </a:lnTo>
                <a:lnTo>
                  <a:pt x="12" y="14"/>
                </a:lnTo>
                <a:lnTo>
                  <a:pt x="12" y="27"/>
                </a:lnTo>
                <a:lnTo>
                  <a:pt x="12" y="25"/>
                </a:lnTo>
                <a:lnTo>
                  <a:pt x="14" y="25"/>
                </a:lnTo>
                <a:lnTo>
                  <a:pt x="10" y="25"/>
                </a:lnTo>
                <a:lnTo>
                  <a:pt x="10" y="27"/>
                </a:lnTo>
                <a:lnTo>
                  <a:pt x="8" y="27"/>
                </a:lnTo>
                <a:lnTo>
                  <a:pt x="8" y="29"/>
                </a:lnTo>
                <a:lnTo>
                  <a:pt x="6" y="29"/>
                </a:lnTo>
                <a:lnTo>
                  <a:pt x="6" y="31"/>
                </a:lnTo>
                <a:lnTo>
                  <a:pt x="4" y="31"/>
                </a:lnTo>
                <a:lnTo>
                  <a:pt x="4" y="35"/>
                </a:lnTo>
                <a:lnTo>
                  <a:pt x="2" y="37"/>
                </a:lnTo>
                <a:lnTo>
                  <a:pt x="0" y="37"/>
                </a:lnTo>
                <a:lnTo>
                  <a:pt x="0" y="45"/>
                </a:lnTo>
                <a:lnTo>
                  <a:pt x="4" y="45"/>
                </a:lnTo>
                <a:lnTo>
                  <a:pt x="4" y="43"/>
                </a:lnTo>
                <a:lnTo>
                  <a:pt x="4" y="41"/>
                </a:lnTo>
                <a:lnTo>
                  <a:pt x="6" y="41"/>
                </a:lnTo>
                <a:lnTo>
                  <a:pt x="6" y="37"/>
                </a:lnTo>
                <a:lnTo>
                  <a:pt x="8" y="35"/>
                </a:lnTo>
                <a:lnTo>
                  <a:pt x="10" y="35"/>
                </a:lnTo>
                <a:lnTo>
                  <a:pt x="10" y="33"/>
                </a:lnTo>
                <a:lnTo>
                  <a:pt x="12" y="33"/>
                </a:lnTo>
                <a:lnTo>
                  <a:pt x="12" y="31"/>
                </a:lnTo>
                <a:lnTo>
                  <a:pt x="14" y="31"/>
                </a:lnTo>
                <a:lnTo>
                  <a:pt x="14" y="29"/>
                </a:lnTo>
                <a:lnTo>
                  <a:pt x="16" y="29"/>
                </a:lnTo>
                <a:lnTo>
                  <a:pt x="16" y="18"/>
                </a:lnTo>
                <a:lnTo>
                  <a:pt x="18" y="18"/>
                </a:lnTo>
                <a:lnTo>
                  <a:pt x="18" y="10"/>
                </a:lnTo>
                <a:lnTo>
                  <a:pt x="20" y="10"/>
                </a:lnTo>
                <a:lnTo>
                  <a:pt x="2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1" name="Freeform 80"/>
          <xdr:cNvSpPr>
            <a:spLocks/>
          </xdr:cNvSpPr>
        </xdr:nvSpPr>
        <xdr:spPr bwMode="auto">
          <a:xfrm>
            <a:off x="322" y="2219"/>
            <a:ext cx="0" cy="9"/>
          </a:xfrm>
          <a:custGeom>
            <a:avLst/>
            <a:gdLst>
              <a:gd name="T0" fmla="*/ 0 w 4"/>
              <a:gd name="T1" fmla="*/ 0 h 39"/>
              <a:gd name="T2" fmla="*/ 0 w 4"/>
              <a:gd name="T3" fmla="*/ 0 h 39"/>
              <a:gd name="T4" fmla="*/ 0 w 4"/>
              <a:gd name="T5" fmla="*/ 0 h 39"/>
              <a:gd name="T6" fmla="*/ 0 w 4"/>
              <a:gd name="T7" fmla="*/ 9 h 39"/>
              <a:gd name="T8" fmla="*/ 0 w 4"/>
              <a:gd name="T9" fmla="*/ 9 h 39"/>
              <a:gd name="T10" fmla="*/ 0 w 4"/>
              <a:gd name="T11" fmla="*/ 9 h 39"/>
              <a:gd name="T12" fmla="*/ 0 w 4"/>
              <a:gd name="T13" fmla="*/ 0 h 3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39"/>
              <a:gd name="T23" fmla="*/ 0 w 4"/>
              <a:gd name="T24" fmla="*/ 39 h 3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3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39"/>
                </a:lnTo>
                <a:lnTo>
                  <a:pt x="4" y="39"/>
                </a:lnTo>
                <a:lnTo>
                  <a:pt x="4" y="3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2" name="Freeform 81"/>
          <xdr:cNvSpPr>
            <a:spLocks/>
          </xdr:cNvSpPr>
        </xdr:nvSpPr>
        <xdr:spPr bwMode="auto">
          <a:xfrm>
            <a:off x="322" y="2231"/>
            <a:ext cx="0" cy="13"/>
          </a:xfrm>
          <a:custGeom>
            <a:avLst/>
            <a:gdLst>
              <a:gd name="T0" fmla="*/ 0 w 4"/>
              <a:gd name="T1" fmla="*/ 1 h 52"/>
              <a:gd name="T2" fmla="*/ 0 w 4"/>
              <a:gd name="T3" fmla="*/ 0 h 52"/>
              <a:gd name="T4" fmla="*/ 0 w 4"/>
              <a:gd name="T5" fmla="*/ 0 h 52"/>
              <a:gd name="T6" fmla="*/ 0 w 4"/>
              <a:gd name="T7" fmla="*/ 13 h 52"/>
              <a:gd name="T8" fmla="*/ 0 w 4"/>
              <a:gd name="T9" fmla="*/ 13 h 52"/>
              <a:gd name="T10" fmla="*/ 0 w 4"/>
              <a:gd name="T11" fmla="*/ 13 h 52"/>
              <a:gd name="T12" fmla="*/ 0 w 4"/>
              <a:gd name="T13" fmla="*/ 1 h 5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52"/>
              <a:gd name="T23" fmla="*/ 0 w 4"/>
              <a:gd name="T24" fmla="*/ 52 h 5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5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52"/>
                </a:lnTo>
                <a:lnTo>
                  <a:pt x="4" y="52"/>
                </a:lnTo>
                <a:lnTo>
                  <a:pt x="4" y="5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3" name="Freeform 82"/>
          <xdr:cNvSpPr>
            <a:spLocks/>
          </xdr:cNvSpPr>
        </xdr:nvSpPr>
        <xdr:spPr bwMode="auto">
          <a:xfrm>
            <a:off x="326" y="2219"/>
            <a:ext cx="3" cy="9"/>
          </a:xfrm>
          <a:custGeom>
            <a:avLst/>
            <a:gdLst>
              <a:gd name="T0" fmla="*/ 3 w 17"/>
              <a:gd name="T1" fmla="*/ 0 h 39"/>
              <a:gd name="T2" fmla="*/ 3 w 17"/>
              <a:gd name="T3" fmla="*/ 0 h 39"/>
              <a:gd name="T4" fmla="*/ 2 w 17"/>
              <a:gd name="T5" fmla="*/ 0 h 39"/>
              <a:gd name="T6" fmla="*/ 2 w 17"/>
              <a:gd name="T7" fmla="*/ 0 h 39"/>
              <a:gd name="T8" fmla="*/ 0 w 17"/>
              <a:gd name="T9" fmla="*/ 9 h 39"/>
              <a:gd name="T10" fmla="*/ 0 w 17"/>
              <a:gd name="T11" fmla="*/ 9 h 39"/>
              <a:gd name="T12" fmla="*/ 1 w 17"/>
              <a:gd name="T13" fmla="*/ 9 h 39"/>
              <a:gd name="T14" fmla="*/ 1 w 17"/>
              <a:gd name="T15" fmla="*/ 9 h 39"/>
              <a:gd name="T16" fmla="*/ 3 w 17"/>
              <a:gd name="T17" fmla="*/ 0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7"/>
              <a:gd name="T28" fmla="*/ 0 h 39"/>
              <a:gd name="T29" fmla="*/ 17 w 17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7" h="39">
                <a:moveTo>
                  <a:pt x="17" y="2"/>
                </a:moveTo>
                <a:lnTo>
                  <a:pt x="17" y="0"/>
                </a:lnTo>
                <a:lnTo>
                  <a:pt x="13" y="0"/>
                </a:lnTo>
                <a:lnTo>
                  <a:pt x="13" y="2"/>
                </a:lnTo>
                <a:lnTo>
                  <a:pt x="0" y="37"/>
                </a:lnTo>
                <a:lnTo>
                  <a:pt x="0" y="39"/>
                </a:lnTo>
                <a:lnTo>
                  <a:pt x="4" y="39"/>
                </a:lnTo>
                <a:lnTo>
                  <a:pt x="4" y="37"/>
                </a:lnTo>
                <a:lnTo>
                  <a:pt x="17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4" name="Freeform 83"/>
          <xdr:cNvSpPr>
            <a:spLocks/>
          </xdr:cNvSpPr>
        </xdr:nvSpPr>
        <xdr:spPr bwMode="auto">
          <a:xfrm>
            <a:off x="326" y="2219"/>
            <a:ext cx="5" cy="9"/>
          </a:xfrm>
          <a:custGeom>
            <a:avLst/>
            <a:gdLst>
              <a:gd name="T0" fmla="*/ 5 w 21"/>
              <a:gd name="T1" fmla="*/ 0 h 39"/>
              <a:gd name="T2" fmla="*/ 5 w 21"/>
              <a:gd name="T3" fmla="*/ 0 h 39"/>
              <a:gd name="T4" fmla="*/ 4 w 21"/>
              <a:gd name="T5" fmla="*/ 0 h 39"/>
              <a:gd name="T6" fmla="*/ 4 w 21"/>
              <a:gd name="T7" fmla="*/ 0 h 39"/>
              <a:gd name="T8" fmla="*/ 0 w 21"/>
              <a:gd name="T9" fmla="*/ 9 h 39"/>
              <a:gd name="T10" fmla="*/ 0 w 21"/>
              <a:gd name="T11" fmla="*/ 9 h 39"/>
              <a:gd name="T12" fmla="*/ 1 w 21"/>
              <a:gd name="T13" fmla="*/ 9 h 39"/>
              <a:gd name="T14" fmla="*/ 1 w 21"/>
              <a:gd name="T15" fmla="*/ 9 h 39"/>
              <a:gd name="T16" fmla="*/ 5 w 21"/>
              <a:gd name="T17" fmla="*/ 0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1"/>
              <a:gd name="T28" fmla="*/ 0 h 39"/>
              <a:gd name="T29" fmla="*/ 21 w 21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1" h="39">
                <a:moveTo>
                  <a:pt x="21" y="2"/>
                </a:moveTo>
                <a:lnTo>
                  <a:pt x="21" y="0"/>
                </a:lnTo>
                <a:lnTo>
                  <a:pt x="17" y="0"/>
                </a:lnTo>
                <a:lnTo>
                  <a:pt x="17" y="2"/>
                </a:lnTo>
                <a:lnTo>
                  <a:pt x="0" y="37"/>
                </a:lnTo>
                <a:lnTo>
                  <a:pt x="0" y="39"/>
                </a:lnTo>
                <a:lnTo>
                  <a:pt x="3" y="39"/>
                </a:lnTo>
                <a:lnTo>
                  <a:pt x="3" y="37"/>
                </a:lnTo>
                <a:lnTo>
                  <a:pt x="21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5" name="Freeform 84"/>
          <xdr:cNvSpPr>
            <a:spLocks/>
          </xdr:cNvSpPr>
        </xdr:nvSpPr>
        <xdr:spPr bwMode="auto">
          <a:xfrm>
            <a:off x="324" y="2252"/>
            <a:ext cx="4" cy="4"/>
          </a:xfrm>
          <a:custGeom>
            <a:avLst/>
            <a:gdLst>
              <a:gd name="T0" fmla="*/ 1 w 19"/>
              <a:gd name="T1" fmla="*/ 1 h 12"/>
              <a:gd name="T2" fmla="*/ 1 w 19"/>
              <a:gd name="T3" fmla="*/ 0 h 12"/>
              <a:gd name="T4" fmla="*/ 0 w 19"/>
              <a:gd name="T5" fmla="*/ 0 h 12"/>
              <a:gd name="T6" fmla="*/ 0 w 19"/>
              <a:gd name="T7" fmla="*/ 3 h 12"/>
              <a:gd name="T8" fmla="*/ 0 w 19"/>
              <a:gd name="T9" fmla="*/ 3 h 12"/>
              <a:gd name="T10" fmla="*/ 0 w 19"/>
              <a:gd name="T11" fmla="*/ 3 h 12"/>
              <a:gd name="T12" fmla="*/ 1 w 19"/>
              <a:gd name="T13" fmla="*/ 3 h 12"/>
              <a:gd name="T14" fmla="*/ 2 w 19"/>
              <a:gd name="T15" fmla="*/ 4 h 12"/>
              <a:gd name="T16" fmla="*/ 3 w 19"/>
              <a:gd name="T17" fmla="*/ 4 h 12"/>
              <a:gd name="T18" fmla="*/ 3 w 19"/>
              <a:gd name="T19" fmla="*/ 3 h 12"/>
              <a:gd name="T20" fmla="*/ 4 w 19"/>
              <a:gd name="T21" fmla="*/ 3 h 12"/>
              <a:gd name="T22" fmla="*/ 4 w 19"/>
              <a:gd name="T23" fmla="*/ 2 h 12"/>
              <a:gd name="T24" fmla="*/ 4 w 19"/>
              <a:gd name="T25" fmla="*/ 2 h 12"/>
              <a:gd name="T26" fmla="*/ 4 w 19"/>
              <a:gd name="T27" fmla="*/ 0 h 12"/>
              <a:gd name="T28" fmla="*/ 3 w 19"/>
              <a:gd name="T29" fmla="*/ 0 h 12"/>
              <a:gd name="T30" fmla="*/ 3 w 19"/>
              <a:gd name="T31" fmla="*/ 1 h 12"/>
              <a:gd name="T32" fmla="*/ 3 w 19"/>
              <a:gd name="T33" fmla="*/ 1 h 12"/>
              <a:gd name="T34" fmla="*/ 3 w 19"/>
              <a:gd name="T35" fmla="*/ 2 h 12"/>
              <a:gd name="T36" fmla="*/ 2 w 19"/>
              <a:gd name="T37" fmla="*/ 2 h 12"/>
              <a:gd name="T38" fmla="*/ 2 w 19"/>
              <a:gd name="T39" fmla="*/ 3 h 12"/>
              <a:gd name="T40" fmla="*/ 2 w 19"/>
              <a:gd name="T41" fmla="*/ 3 h 12"/>
              <a:gd name="T42" fmla="*/ 1 w 19"/>
              <a:gd name="T43" fmla="*/ 2 h 12"/>
              <a:gd name="T44" fmla="*/ 1 w 19"/>
              <a:gd name="T45" fmla="*/ 1 h 12"/>
              <a:gd name="T46" fmla="*/ 1 w 19"/>
              <a:gd name="T47" fmla="*/ 1 h 12"/>
              <a:gd name="T48" fmla="*/ 1 w 19"/>
              <a:gd name="T49" fmla="*/ 1 h 12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9"/>
              <a:gd name="T76" fmla="*/ 0 h 12"/>
              <a:gd name="T77" fmla="*/ 19 w 19"/>
              <a:gd name="T78" fmla="*/ 12 h 12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9" h="1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2" y="8"/>
                </a:lnTo>
                <a:lnTo>
                  <a:pt x="2" y="10"/>
                </a:lnTo>
                <a:lnTo>
                  <a:pt x="6" y="10"/>
                </a:lnTo>
                <a:lnTo>
                  <a:pt x="8" y="12"/>
                </a:lnTo>
                <a:lnTo>
                  <a:pt x="13" y="12"/>
                </a:lnTo>
                <a:lnTo>
                  <a:pt x="13" y="10"/>
                </a:lnTo>
                <a:lnTo>
                  <a:pt x="17" y="10"/>
                </a:lnTo>
                <a:lnTo>
                  <a:pt x="17" y="6"/>
                </a:lnTo>
                <a:lnTo>
                  <a:pt x="19" y="6"/>
                </a:lnTo>
                <a:lnTo>
                  <a:pt x="19" y="0"/>
                </a:lnTo>
                <a:lnTo>
                  <a:pt x="15" y="0"/>
                </a:lnTo>
                <a:lnTo>
                  <a:pt x="15" y="2"/>
                </a:lnTo>
                <a:lnTo>
                  <a:pt x="13" y="2"/>
                </a:lnTo>
                <a:lnTo>
                  <a:pt x="13" y="6"/>
                </a:lnTo>
                <a:lnTo>
                  <a:pt x="10" y="6"/>
                </a:lnTo>
                <a:lnTo>
                  <a:pt x="10" y="8"/>
                </a:lnTo>
                <a:lnTo>
                  <a:pt x="8" y="8"/>
                </a:lnTo>
                <a:lnTo>
                  <a:pt x="6" y="6"/>
                </a:lnTo>
                <a:lnTo>
                  <a:pt x="6" y="4"/>
                </a:lnTo>
                <a:lnTo>
                  <a:pt x="4" y="4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6" name="Freeform 85"/>
          <xdr:cNvSpPr>
            <a:spLocks/>
          </xdr:cNvSpPr>
        </xdr:nvSpPr>
        <xdr:spPr bwMode="auto">
          <a:xfrm>
            <a:off x="324" y="2219"/>
            <a:ext cx="0" cy="35"/>
          </a:xfrm>
          <a:custGeom>
            <a:avLst/>
            <a:gdLst>
              <a:gd name="T0" fmla="*/ 0 w 4"/>
              <a:gd name="T1" fmla="*/ 35 h 148"/>
              <a:gd name="T2" fmla="*/ 0 w 4"/>
              <a:gd name="T3" fmla="*/ 35 h 148"/>
              <a:gd name="T4" fmla="*/ 0 w 4"/>
              <a:gd name="T5" fmla="*/ 35 h 148"/>
              <a:gd name="T6" fmla="*/ 0 w 4"/>
              <a:gd name="T7" fmla="*/ 0 h 148"/>
              <a:gd name="T8" fmla="*/ 0 w 4"/>
              <a:gd name="T9" fmla="*/ 0 h 148"/>
              <a:gd name="T10" fmla="*/ 0 w 4"/>
              <a:gd name="T11" fmla="*/ 0 h 148"/>
              <a:gd name="T12" fmla="*/ 0 w 4"/>
              <a:gd name="T13" fmla="*/ 35 h 14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48"/>
              <a:gd name="T23" fmla="*/ 0 w 4"/>
              <a:gd name="T24" fmla="*/ 148 h 14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48">
                <a:moveTo>
                  <a:pt x="0" y="146"/>
                </a:moveTo>
                <a:lnTo>
                  <a:pt x="0" y="148"/>
                </a:lnTo>
                <a:lnTo>
                  <a:pt x="4" y="148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14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7" name="Freeform 86"/>
          <xdr:cNvSpPr>
            <a:spLocks/>
          </xdr:cNvSpPr>
        </xdr:nvSpPr>
        <xdr:spPr bwMode="auto">
          <a:xfrm>
            <a:off x="327" y="2224"/>
            <a:ext cx="1" cy="30"/>
          </a:xfrm>
          <a:custGeom>
            <a:avLst/>
            <a:gdLst>
              <a:gd name="T0" fmla="*/ 0 w 4"/>
              <a:gd name="T1" fmla="*/ 30 h 125"/>
              <a:gd name="T2" fmla="*/ 0 w 4"/>
              <a:gd name="T3" fmla="*/ 30 h 125"/>
              <a:gd name="T4" fmla="*/ 1 w 4"/>
              <a:gd name="T5" fmla="*/ 30 h 125"/>
              <a:gd name="T6" fmla="*/ 1 w 4"/>
              <a:gd name="T7" fmla="*/ 0 h 125"/>
              <a:gd name="T8" fmla="*/ 0 w 4"/>
              <a:gd name="T9" fmla="*/ 0 h 125"/>
              <a:gd name="T10" fmla="*/ 0 w 4"/>
              <a:gd name="T11" fmla="*/ 0 h 125"/>
              <a:gd name="T12" fmla="*/ 0 w 4"/>
              <a:gd name="T13" fmla="*/ 30 h 1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25"/>
              <a:gd name="T23" fmla="*/ 4 w 4"/>
              <a:gd name="T24" fmla="*/ 125 h 1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25">
                <a:moveTo>
                  <a:pt x="0" y="123"/>
                </a:moveTo>
                <a:lnTo>
                  <a:pt x="0" y="125"/>
                </a:lnTo>
                <a:lnTo>
                  <a:pt x="4" y="125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12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8" name="Freeform 87"/>
          <xdr:cNvSpPr>
            <a:spLocks/>
          </xdr:cNvSpPr>
        </xdr:nvSpPr>
        <xdr:spPr bwMode="auto">
          <a:xfrm>
            <a:off x="242" y="2242"/>
            <a:ext cx="5" cy="7"/>
          </a:xfrm>
          <a:custGeom>
            <a:avLst/>
            <a:gdLst>
              <a:gd name="T0" fmla="*/ 2 w 21"/>
              <a:gd name="T1" fmla="*/ 0 h 35"/>
              <a:gd name="T2" fmla="*/ 2 w 21"/>
              <a:gd name="T3" fmla="*/ 0 h 35"/>
              <a:gd name="T4" fmla="*/ 0 w 21"/>
              <a:gd name="T5" fmla="*/ 0 h 35"/>
              <a:gd name="T6" fmla="*/ 0 w 21"/>
              <a:gd name="T7" fmla="*/ 0 h 35"/>
              <a:gd name="T8" fmla="*/ 0 w 21"/>
              <a:gd name="T9" fmla="*/ 0 h 35"/>
              <a:gd name="T10" fmla="*/ 0 w 21"/>
              <a:gd name="T11" fmla="*/ 2 h 35"/>
              <a:gd name="T12" fmla="*/ 0 w 21"/>
              <a:gd name="T13" fmla="*/ 2 h 35"/>
              <a:gd name="T14" fmla="*/ 0 w 21"/>
              <a:gd name="T15" fmla="*/ 1 h 35"/>
              <a:gd name="T16" fmla="*/ 0 w 21"/>
              <a:gd name="T17" fmla="*/ 4 h 35"/>
              <a:gd name="T18" fmla="*/ 1 w 21"/>
              <a:gd name="T19" fmla="*/ 4 h 35"/>
              <a:gd name="T20" fmla="*/ 1 w 21"/>
              <a:gd name="T21" fmla="*/ 5 h 35"/>
              <a:gd name="T22" fmla="*/ 2 w 21"/>
              <a:gd name="T23" fmla="*/ 5 h 35"/>
              <a:gd name="T24" fmla="*/ 1 w 21"/>
              <a:gd name="T25" fmla="*/ 5 h 35"/>
              <a:gd name="T26" fmla="*/ 1 w 21"/>
              <a:gd name="T27" fmla="*/ 4 h 35"/>
              <a:gd name="T28" fmla="*/ 1 w 21"/>
              <a:gd name="T29" fmla="*/ 6 h 35"/>
              <a:gd name="T30" fmla="*/ 2 w 21"/>
              <a:gd name="T31" fmla="*/ 6 h 35"/>
              <a:gd name="T32" fmla="*/ 2 w 21"/>
              <a:gd name="T33" fmla="*/ 6 h 35"/>
              <a:gd name="T34" fmla="*/ 3 w 21"/>
              <a:gd name="T35" fmla="*/ 7 h 35"/>
              <a:gd name="T36" fmla="*/ 3 w 21"/>
              <a:gd name="T37" fmla="*/ 7 h 35"/>
              <a:gd name="T38" fmla="*/ 5 w 21"/>
              <a:gd name="T39" fmla="*/ 7 h 35"/>
              <a:gd name="T40" fmla="*/ 5 w 21"/>
              <a:gd name="T41" fmla="*/ 7 h 35"/>
              <a:gd name="T42" fmla="*/ 5 w 21"/>
              <a:gd name="T43" fmla="*/ 7 h 35"/>
              <a:gd name="T44" fmla="*/ 5 w 21"/>
              <a:gd name="T45" fmla="*/ 5 h 35"/>
              <a:gd name="T46" fmla="*/ 5 w 21"/>
              <a:gd name="T47" fmla="*/ 5 h 35"/>
              <a:gd name="T48" fmla="*/ 4 w 21"/>
              <a:gd name="T49" fmla="*/ 4 h 35"/>
              <a:gd name="T50" fmla="*/ 4 w 21"/>
              <a:gd name="T51" fmla="*/ 5 h 35"/>
              <a:gd name="T52" fmla="*/ 4 w 21"/>
              <a:gd name="T53" fmla="*/ 4 h 35"/>
              <a:gd name="T54" fmla="*/ 3 w 21"/>
              <a:gd name="T55" fmla="*/ 4 h 35"/>
              <a:gd name="T56" fmla="*/ 4 w 21"/>
              <a:gd name="T57" fmla="*/ 4 h 35"/>
              <a:gd name="T58" fmla="*/ 4 w 21"/>
              <a:gd name="T59" fmla="*/ 4 h 35"/>
              <a:gd name="T60" fmla="*/ 3 w 21"/>
              <a:gd name="T61" fmla="*/ 3 h 35"/>
              <a:gd name="T62" fmla="*/ 2 w 21"/>
              <a:gd name="T63" fmla="*/ 3 h 35"/>
              <a:gd name="T64" fmla="*/ 3 w 21"/>
              <a:gd name="T65" fmla="*/ 3 h 35"/>
              <a:gd name="T66" fmla="*/ 3 w 21"/>
              <a:gd name="T67" fmla="*/ 3 h 35"/>
              <a:gd name="T68" fmla="*/ 2 w 21"/>
              <a:gd name="T69" fmla="*/ 3 h 35"/>
              <a:gd name="T70" fmla="*/ 3 w 21"/>
              <a:gd name="T71" fmla="*/ 1 h 35"/>
              <a:gd name="T72" fmla="*/ 2 w 21"/>
              <a:gd name="T73" fmla="*/ 0 h 35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21"/>
              <a:gd name="T112" fmla="*/ 0 h 35"/>
              <a:gd name="T113" fmla="*/ 21 w 21"/>
              <a:gd name="T114" fmla="*/ 35 h 35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21" h="35">
                <a:moveTo>
                  <a:pt x="10" y="1"/>
                </a:moveTo>
                <a:lnTo>
                  <a:pt x="10" y="0"/>
                </a:lnTo>
                <a:lnTo>
                  <a:pt x="2" y="0"/>
                </a:lnTo>
                <a:lnTo>
                  <a:pt x="2" y="1"/>
                </a:lnTo>
                <a:lnTo>
                  <a:pt x="0" y="1"/>
                </a:lnTo>
                <a:lnTo>
                  <a:pt x="0" y="9"/>
                </a:lnTo>
                <a:lnTo>
                  <a:pt x="2" y="9"/>
                </a:lnTo>
                <a:lnTo>
                  <a:pt x="0" y="5"/>
                </a:lnTo>
                <a:lnTo>
                  <a:pt x="2" y="21"/>
                </a:lnTo>
                <a:lnTo>
                  <a:pt x="4" y="21"/>
                </a:lnTo>
                <a:lnTo>
                  <a:pt x="4" y="25"/>
                </a:lnTo>
                <a:lnTo>
                  <a:pt x="10" y="27"/>
                </a:lnTo>
                <a:lnTo>
                  <a:pt x="6" y="25"/>
                </a:lnTo>
                <a:lnTo>
                  <a:pt x="4" y="21"/>
                </a:lnTo>
                <a:lnTo>
                  <a:pt x="6" y="29"/>
                </a:lnTo>
                <a:lnTo>
                  <a:pt x="8" y="29"/>
                </a:lnTo>
                <a:lnTo>
                  <a:pt x="8" y="31"/>
                </a:lnTo>
                <a:lnTo>
                  <a:pt x="12" y="33"/>
                </a:lnTo>
                <a:lnTo>
                  <a:pt x="12" y="35"/>
                </a:lnTo>
                <a:lnTo>
                  <a:pt x="19" y="35"/>
                </a:lnTo>
                <a:lnTo>
                  <a:pt x="19" y="33"/>
                </a:lnTo>
                <a:lnTo>
                  <a:pt x="21" y="33"/>
                </a:lnTo>
                <a:lnTo>
                  <a:pt x="21" y="25"/>
                </a:lnTo>
                <a:lnTo>
                  <a:pt x="19" y="25"/>
                </a:lnTo>
                <a:lnTo>
                  <a:pt x="16" y="21"/>
                </a:lnTo>
                <a:lnTo>
                  <a:pt x="16" y="23"/>
                </a:lnTo>
                <a:lnTo>
                  <a:pt x="16" y="21"/>
                </a:lnTo>
                <a:lnTo>
                  <a:pt x="14" y="21"/>
                </a:lnTo>
                <a:lnTo>
                  <a:pt x="16" y="21"/>
                </a:lnTo>
                <a:lnTo>
                  <a:pt x="16" y="19"/>
                </a:lnTo>
                <a:lnTo>
                  <a:pt x="14" y="17"/>
                </a:lnTo>
                <a:lnTo>
                  <a:pt x="10" y="15"/>
                </a:lnTo>
                <a:lnTo>
                  <a:pt x="12" y="17"/>
                </a:lnTo>
                <a:lnTo>
                  <a:pt x="12" y="13"/>
                </a:lnTo>
                <a:lnTo>
                  <a:pt x="10" y="13"/>
                </a:lnTo>
                <a:lnTo>
                  <a:pt x="12" y="5"/>
                </a:lnTo>
                <a:lnTo>
                  <a:pt x="10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89" name="Freeform 88"/>
          <xdr:cNvSpPr>
            <a:spLocks/>
          </xdr:cNvSpPr>
        </xdr:nvSpPr>
        <xdr:spPr bwMode="auto">
          <a:xfrm>
            <a:off x="243" y="2219"/>
            <a:ext cx="7" cy="28"/>
          </a:xfrm>
          <a:custGeom>
            <a:avLst/>
            <a:gdLst>
              <a:gd name="T0" fmla="*/ 1 w 35"/>
              <a:gd name="T1" fmla="*/ 0 h 119"/>
              <a:gd name="T2" fmla="*/ 1 w 35"/>
              <a:gd name="T3" fmla="*/ 0 h 119"/>
              <a:gd name="T4" fmla="*/ 0 w 35"/>
              <a:gd name="T5" fmla="*/ 0 h 119"/>
              <a:gd name="T6" fmla="*/ 0 w 35"/>
              <a:gd name="T7" fmla="*/ 0 h 119"/>
              <a:gd name="T8" fmla="*/ 3 w 35"/>
              <a:gd name="T9" fmla="*/ 9 h 119"/>
              <a:gd name="T10" fmla="*/ 6 w 35"/>
              <a:gd name="T11" fmla="*/ 28 h 119"/>
              <a:gd name="T12" fmla="*/ 6 w 35"/>
              <a:gd name="T13" fmla="*/ 28 h 119"/>
              <a:gd name="T14" fmla="*/ 7 w 35"/>
              <a:gd name="T15" fmla="*/ 28 h 119"/>
              <a:gd name="T16" fmla="*/ 7 w 35"/>
              <a:gd name="T17" fmla="*/ 28 h 119"/>
              <a:gd name="T18" fmla="*/ 4 w 35"/>
              <a:gd name="T19" fmla="*/ 9 h 119"/>
              <a:gd name="T20" fmla="*/ 1 w 35"/>
              <a:gd name="T21" fmla="*/ 0 h 119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5"/>
              <a:gd name="T34" fmla="*/ 0 h 119"/>
              <a:gd name="T35" fmla="*/ 35 w 35"/>
              <a:gd name="T36" fmla="*/ 119 h 119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5" h="11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17" y="37"/>
                </a:lnTo>
                <a:lnTo>
                  <a:pt x="31" y="117"/>
                </a:lnTo>
                <a:lnTo>
                  <a:pt x="31" y="119"/>
                </a:lnTo>
                <a:lnTo>
                  <a:pt x="35" y="119"/>
                </a:lnTo>
                <a:lnTo>
                  <a:pt x="35" y="117"/>
                </a:lnTo>
                <a:lnTo>
                  <a:pt x="21" y="3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0" name="Freeform 89"/>
          <xdr:cNvSpPr>
            <a:spLocks/>
          </xdr:cNvSpPr>
        </xdr:nvSpPr>
        <xdr:spPr bwMode="auto">
          <a:xfrm>
            <a:off x="248" y="2219"/>
            <a:ext cx="3" cy="23"/>
          </a:xfrm>
          <a:custGeom>
            <a:avLst/>
            <a:gdLst>
              <a:gd name="T0" fmla="*/ 1 w 14"/>
              <a:gd name="T1" fmla="*/ 0 h 99"/>
              <a:gd name="T2" fmla="*/ 1 w 14"/>
              <a:gd name="T3" fmla="*/ 0 h 99"/>
              <a:gd name="T4" fmla="*/ 0 w 14"/>
              <a:gd name="T5" fmla="*/ 0 h 99"/>
              <a:gd name="T6" fmla="*/ 0 w 14"/>
              <a:gd name="T7" fmla="*/ 0 h 99"/>
              <a:gd name="T8" fmla="*/ 2 w 14"/>
              <a:gd name="T9" fmla="*/ 23 h 99"/>
              <a:gd name="T10" fmla="*/ 2 w 14"/>
              <a:gd name="T11" fmla="*/ 23 h 99"/>
              <a:gd name="T12" fmla="*/ 3 w 14"/>
              <a:gd name="T13" fmla="*/ 23 h 99"/>
              <a:gd name="T14" fmla="*/ 3 w 14"/>
              <a:gd name="T15" fmla="*/ 23 h 99"/>
              <a:gd name="T16" fmla="*/ 1 w 14"/>
              <a:gd name="T17" fmla="*/ 0 h 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4"/>
              <a:gd name="T28" fmla="*/ 0 h 99"/>
              <a:gd name="T29" fmla="*/ 14 w 14"/>
              <a:gd name="T30" fmla="*/ 99 h 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4" h="9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10" y="97"/>
                </a:lnTo>
                <a:lnTo>
                  <a:pt x="10" y="99"/>
                </a:lnTo>
                <a:lnTo>
                  <a:pt x="14" y="99"/>
                </a:lnTo>
                <a:lnTo>
                  <a:pt x="14" y="9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1" name="Freeform 90"/>
          <xdr:cNvSpPr>
            <a:spLocks/>
          </xdr:cNvSpPr>
        </xdr:nvSpPr>
        <xdr:spPr bwMode="auto">
          <a:xfrm>
            <a:off x="250" y="2245"/>
            <a:ext cx="4" cy="9"/>
          </a:xfrm>
          <a:custGeom>
            <a:avLst/>
            <a:gdLst>
              <a:gd name="T0" fmla="*/ 1 w 14"/>
              <a:gd name="T1" fmla="*/ 0 h 39"/>
              <a:gd name="T2" fmla="*/ 1 w 14"/>
              <a:gd name="T3" fmla="*/ 0 h 39"/>
              <a:gd name="T4" fmla="*/ 0 w 14"/>
              <a:gd name="T5" fmla="*/ 0 h 39"/>
              <a:gd name="T6" fmla="*/ 0 w 14"/>
              <a:gd name="T7" fmla="*/ 4 h 39"/>
              <a:gd name="T8" fmla="*/ 1 w 14"/>
              <a:gd name="T9" fmla="*/ 4 h 39"/>
              <a:gd name="T10" fmla="*/ 1 w 14"/>
              <a:gd name="T11" fmla="*/ 5 h 39"/>
              <a:gd name="T12" fmla="*/ 1 w 14"/>
              <a:gd name="T13" fmla="*/ 4 h 39"/>
              <a:gd name="T14" fmla="*/ 1 w 14"/>
              <a:gd name="T15" fmla="*/ 6 h 39"/>
              <a:gd name="T16" fmla="*/ 1 w 14"/>
              <a:gd name="T17" fmla="*/ 6 h 39"/>
              <a:gd name="T18" fmla="*/ 1 w 14"/>
              <a:gd name="T19" fmla="*/ 7 h 39"/>
              <a:gd name="T20" fmla="*/ 2 w 14"/>
              <a:gd name="T21" fmla="*/ 7 h 39"/>
              <a:gd name="T22" fmla="*/ 2 w 14"/>
              <a:gd name="T23" fmla="*/ 7 h 39"/>
              <a:gd name="T24" fmla="*/ 2 w 14"/>
              <a:gd name="T25" fmla="*/ 8 h 39"/>
              <a:gd name="T26" fmla="*/ 2 w 14"/>
              <a:gd name="T27" fmla="*/ 8 h 39"/>
              <a:gd name="T28" fmla="*/ 3 w 14"/>
              <a:gd name="T29" fmla="*/ 9 h 39"/>
              <a:gd name="T30" fmla="*/ 4 w 14"/>
              <a:gd name="T31" fmla="*/ 9 h 39"/>
              <a:gd name="T32" fmla="*/ 4 w 14"/>
              <a:gd name="T33" fmla="*/ 8 h 39"/>
              <a:gd name="T34" fmla="*/ 3 w 14"/>
              <a:gd name="T35" fmla="*/ 8 h 39"/>
              <a:gd name="T36" fmla="*/ 3 w 14"/>
              <a:gd name="T37" fmla="*/ 8 h 39"/>
              <a:gd name="T38" fmla="*/ 3 w 14"/>
              <a:gd name="T39" fmla="*/ 7 h 39"/>
              <a:gd name="T40" fmla="*/ 3 w 14"/>
              <a:gd name="T41" fmla="*/ 6 h 39"/>
              <a:gd name="T42" fmla="*/ 2 w 14"/>
              <a:gd name="T43" fmla="*/ 6 h 39"/>
              <a:gd name="T44" fmla="*/ 2 w 14"/>
              <a:gd name="T45" fmla="*/ 5 h 39"/>
              <a:gd name="T46" fmla="*/ 2 w 14"/>
              <a:gd name="T47" fmla="*/ 5 h 39"/>
              <a:gd name="T48" fmla="*/ 2 w 14"/>
              <a:gd name="T49" fmla="*/ 4 h 39"/>
              <a:gd name="T50" fmla="*/ 2 w 14"/>
              <a:gd name="T51" fmla="*/ 4 h 39"/>
              <a:gd name="T52" fmla="*/ 2 w 14"/>
              <a:gd name="T53" fmla="*/ 3 h 39"/>
              <a:gd name="T54" fmla="*/ 1 w 14"/>
              <a:gd name="T55" fmla="*/ 3 h 39"/>
              <a:gd name="T56" fmla="*/ 1 w 14"/>
              <a:gd name="T57" fmla="*/ 0 h 39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4"/>
              <a:gd name="T88" fmla="*/ 0 h 39"/>
              <a:gd name="T89" fmla="*/ 14 w 14"/>
              <a:gd name="T90" fmla="*/ 39 h 39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4" h="3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8"/>
                </a:lnTo>
                <a:lnTo>
                  <a:pt x="2" y="18"/>
                </a:lnTo>
                <a:lnTo>
                  <a:pt x="2" y="20"/>
                </a:lnTo>
                <a:lnTo>
                  <a:pt x="2" y="18"/>
                </a:lnTo>
                <a:lnTo>
                  <a:pt x="2" y="24"/>
                </a:lnTo>
                <a:lnTo>
                  <a:pt x="4" y="24"/>
                </a:lnTo>
                <a:lnTo>
                  <a:pt x="4" y="29"/>
                </a:lnTo>
                <a:lnTo>
                  <a:pt x="6" y="29"/>
                </a:lnTo>
                <a:lnTo>
                  <a:pt x="6" y="31"/>
                </a:lnTo>
                <a:lnTo>
                  <a:pt x="8" y="33"/>
                </a:lnTo>
                <a:lnTo>
                  <a:pt x="8" y="35"/>
                </a:lnTo>
                <a:lnTo>
                  <a:pt x="10" y="39"/>
                </a:lnTo>
                <a:lnTo>
                  <a:pt x="14" y="39"/>
                </a:lnTo>
                <a:lnTo>
                  <a:pt x="14" y="35"/>
                </a:lnTo>
                <a:lnTo>
                  <a:pt x="12" y="35"/>
                </a:lnTo>
                <a:lnTo>
                  <a:pt x="12" y="33"/>
                </a:lnTo>
                <a:lnTo>
                  <a:pt x="10" y="31"/>
                </a:lnTo>
                <a:lnTo>
                  <a:pt x="10" y="25"/>
                </a:lnTo>
                <a:lnTo>
                  <a:pt x="8" y="25"/>
                </a:lnTo>
                <a:lnTo>
                  <a:pt x="8" y="20"/>
                </a:lnTo>
                <a:lnTo>
                  <a:pt x="6" y="20"/>
                </a:lnTo>
                <a:lnTo>
                  <a:pt x="6" y="16"/>
                </a:lnTo>
                <a:lnTo>
                  <a:pt x="6" y="18"/>
                </a:lnTo>
                <a:lnTo>
                  <a:pt x="6" y="14"/>
                </a:lnTo>
                <a:lnTo>
                  <a:pt x="4" y="14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2" name="Freeform 91"/>
          <xdr:cNvSpPr>
            <a:spLocks/>
          </xdr:cNvSpPr>
        </xdr:nvSpPr>
        <xdr:spPr bwMode="auto">
          <a:xfrm>
            <a:off x="251" y="2219"/>
            <a:ext cx="4" cy="8"/>
          </a:xfrm>
          <a:custGeom>
            <a:avLst/>
            <a:gdLst>
              <a:gd name="T0" fmla="*/ 1 w 18"/>
              <a:gd name="T1" fmla="*/ 0 h 35"/>
              <a:gd name="T2" fmla="*/ 1 w 18"/>
              <a:gd name="T3" fmla="*/ 0 h 35"/>
              <a:gd name="T4" fmla="*/ 0 w 18"/>
              <a:gd name="T5" fmla="*/ 0 h 35"/>
              <a:gd name="T6" fmla="*/ 0 w 18"/>
              <a:gd name="T7" fmla="*/ 0 h 35"/>
              <a:gd name="T8" fmla="*/ 3 w 18"/>
              <a:gd name="T9" fmla="*/ 8 h 35"/>
              <a:gd name="T10" fmla="*/ 3 w 18"/>
              <a:gd name="T11" fmla="*/ 8 h 35"/>
              <a:gd name="T12" fmla="*/ 4 w 18"/>
              <a:gd name="T13" fmla="*/ 8 h 35"/>
              <a:gd name="T14" fmla="*/ 4 w 18"/>
              <a:gd name="T15" fmla="*/ 8 h 35"/>
              <a:gd name="T16" fmla="*/ 1 w 18"/>
              <a:gd name="T17" fmla="*/ 0 h 3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8"/>
              <a:gd name="T28" fmla="*/ 0 h 35"/>
              <a:gd name="T29" fmla="*/ 18 w 18"/>
              <a:gd name="T30" fmla="*/ 35 h 3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8" h="3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14" y="33"/>
                </a:lnTo>
                <a:lnTo>
                  <a:pt x="14" y="35"/>
                </a:lnTo>
                <a:lnTo>
                  <a:pt x="18" y="35"/>
                </a:lnTo>
                <a:lnTo>
                  <a:pt x="18" y="33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3" name="Freeform 92"/>
          <xdr:cNvSpPr>
            <a:spLocks/>
          </xdr:cNvSpPr>
        </xdr:nvSpPr>
        <xdr:spPr bwMode="auto">
          <a:xfrm>
            <a:off x="253" y="2219"/>
            <a:ext cx="3" cy="8"/>
          </a:xfrm>
          <a:custGeom>
            <a:avLst/>
            <a:gdLst>
              <a:gd name="T0" fmla="*/ 1 w 16"/>
              <a:gd name="T1" fmla="*/ 0 h 33"/>
              <a:gd name="T2" fmla="*/ 1 w 16"/>
              <a:gd name="T3" fmla="*/ 0 h 33"/>
              <a:gd name="T4" fmla="*/ 0 w 16"/>
              <a:gd name="T5" fmla="*/ 0 h 33"/>
              <a:gd name="T6" fmla="*/ 0 w 16"/>
              <a:gd name="T7" fmla="*/ 0 h 33"/>
              <a:gd name="T8" fmla="*/ 2 w 16"/>
              <a:gd name="T9" fmla="*/ 8 h 33"/>
              <a:gd name="T10" fmla="*/ 2 w 16"/>
              <a:gd name="T11" fmla="*/ 8 h 33"/>
              <a:gd name="T12" fmla="*/ 3 w 16"/>
              <a:gd name="T13" fmla="*/ 8 h 33"/>
              <a:gd name="T14" fmla="*/ 3 w 16"/>
              <a:gd name="T15" fmla="*/ 8 h 33"/>
              <a:gd name="T16" fmla="*/ 1 w 16"/>
              <a:gd name="T17" fmla="*/ 0 h 33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6"/>
              <a:gd name="T28" fmla="*/ 0 h 33"/>
              <a:gd name="T29" fmla="*/ 16 w 16"/>
              <a:gd name="T30" fmla="*/ 33 h 33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6" h="3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12" y="31"/>
                </a:lnTo>
                <a:lnTo>
                  <a:pt x="12" y="33"/>
                </a:lnTo>
                <a:lnTo>
                  <a:pt x="16" y="33"/>
                </a:lnTo>
                <a:lnTo>
                  <a:pt x="16" y="31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4" name="Freeform 93"/>
          <xdr:cNvSpPr>
            <a:spLocks/>
          </xdr:cNvSpPr>
        </xdr:nvSpPr>
        <xdr:spPr bwMode="auto">
          <a:xfrm>
            <a:off x="266" y="2219"/>
            <a:ext cx="3" cy="9"/>
          </a:xfrm>
          <a:custGeom>
            <a:avLst/>
            <a:gdLst>
              <a:gd name="T0" fmla="*/ 1 w 12"/>
              <a:gd name="T1" fmla="*/ 0 h 39"/>
              <a:gd name="T2" fmla="*/ 1 w 12"/>
              <a:gd name="T3" fmla="*/ 0 h 39"/>
              <a:gd name="T4" fmla="*/ 0 w 12"/>
              <a:gd name="T5" fmla="*/ 0 h 39"/>
              <a:gd name="T6" fmla="*/ 0 w 12"/>
              <a:gd name="T7" fmla="*/ 0 h 39"/>
              <a:gd name="T8" fmla="*/ 2 w 12"/>
              <a:gd name="T9" fmla="*/ 9 h 39"/>
              <a:gd name="T10" fmla="*/ 2 w 12"/>
              <a:gd name="T11" fmla="*/ 9 h 39"/>
              <a:gd name="T12" fmla="*/ 3 w 12"/>
              <a:gd name="T13" fmla="*/ 9 h 39"/>
              <a:gd name="T14" fmla="*/ 3 w 12"/>
              <a:gd name="T15" fmla="*/ 9 h 39"/>
              <a:gd name="T16" fmla="*/ 1 w 12"/>
              <a:gd name="T17" fmla="*/ 0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2"/>
              <a:gd name="T28" fmla="*/ 0 h 39"/>
              <a:gd name="T29" fmla="*/ 12 w 12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2" h="3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8" y="37"/>
                </a:lnTo>
                <a:lnTo>
                  <a:pt x="8" y="39"/>
                </a:lnTo>
                <a:lnTo>
                  <a:pt x="12" y="39"/>
                </a:lnTo>
                <a:lnTo>
                  <a:pt x="12" y="3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5" name="Freeform 94"/>
          <xdr:cNvSpPr>
            <a:spLocks/>
          </xdr:cNvSpPr>
        </xdr:nvSpPr>
        <xdr:spPr bwMode="auto">
          <a:xfrm>
            <a:off x="268" y="2219"/>
            <a:ext cx="2" cy="9"/>
          </a:xfrm>
          <a:custGeom>
            <a:avLst/>
            <a:gdLst>
              <a:gd name="T0" fmla="*/ 1 w 12"/>
              <a:gd name="T1" fmla="*/ 0 h 39"/>
              <a:gd name="T2" fmla="*/ 1 w 12"/>
              <a:gd name="T3" fmla="*/ 0 h 39"/>
              <a:gd name="T4" fmla="*/ 0 w 12"/>
              <a:gd name="T5" fmla="*/ 0 h 39"/>
              <a:gd name="T6" fmla="*/ 0 w 12"/>
              <a:gd name="T7" fmla="*/ 0 h 39"/>
              <a:gd name="T8" fmla="*/ 1 w 12"/>
              <a:gd name="T9" fmla="*/ 9 h 39"/>
              <a:gd name="T10" fmla="*/ 1 w 12"/>
              <a:gd name="T11" fmla="*/ 9 h 39"/>
              <a:gd name="T12" fmla="*/ 2 w 12"/>
              <a:gd name="T13" fmla="*/ 9 h 39"/>
              <a:gd name="T14" fmla="*/ 2 w 12"/>
              <a:gd name="T15" fmla="*/ 9 h 39"/>
              <a:gd name="T16" fmla="*/ 1 w 12"/>
              <a:gd name="T17" fmla="*/ 0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2"/>
              <a:gd name="T28" fmla="*/ 0 h 39"/>
              <a:gd name="T29" fmla="*/ 12 w 12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2" h="3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8" y="37"/>
                </a:lnTo>
                <a:lnTo>
                  <a:pt x="8" y="39"/>
                </a:lnTo>
                <a:lnTo>
                  <a:pt x="12" y="39"/>
                </a:lnTo>
                <a:lnTo>
                  <a:pt x="12" y="3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6" name="Freeform 95"/>
          <xdr:cNvSpPr>
            <a:spLocks/>
          </xdr:cNvSpPr>
        </xdr:nvSpPr>
        <xdr:spPr bwMode="auto">
          <a:xfrm>
            <a:off x="269" y="2227"/>
            <a:ext cx="2" cy="3"/>
          </a:xfrm>
          <a:custGeom>
            <a:avLst/>
            <a:gdLst>
              <a:gd name="T0" fmla="*/ 1 w 10"/>
              <a:gd name="T1" fmla="*/ 2 h 8"/>
              <a:gd name="T2" fmla="*/ 1 w 10"/>
              <a:gd name="T3" fmla="*/ 2 h 8"/>
              <a:gd name="T4" fmla="*/ 1 w 10"/>
              <a:gd name="T5" fmla="*/ 0 h 8"/>
              <a:gd name="T6" fmla="*/ 0 w 10"/>
              <a:gd name="T7" fmla="*/ 0 h 8"/>
              <a:gd name="T8" fmla="*/ 0 w 10"/>
              <a:gd name="T9" fmla="*/ 3 h 8"/>
              <a:gd name="T10" fmla="*/ 1 w 10"/>
              <a:gd name="T11" fmla="*/ 3 h 8"/>
              <a:gd name="T12" fmla="*/ 1 w 10"/>
              <a:gd name="T13" fmla="*/ 2 h 8"/>
              <a:gd name="T14" fmla="*/ 1 w 10"/>
              <a:gd name="T15" fmla="*/ 2 h 8"/>
              <a:gd name="T16" fmla="*/ 1 w 10"/>
              <a:gd name="T17" fmla="*/ 1 h 8"/>
              <a:gd name="T18" fmla="*/ 0 w 10"/>
              <a:gd name="T19" fmla="*/ 2 h 8"/>
              <a:gd name="T20" fmla="*/ 1 w 10"/>
              <a:gd name="T21" fmla="*/ 2 h 8"/>
              <a:gd name="T22" fmla="*/ 1 w 10"/>
              <a:gd name="T23" fmla="*/ 3 h 8"/>
              <a:gd name="T24" fmla="*/ 2 w 10"/>
              <a:gd name="T25" fmla="*/ 3 h 8"/>
              <a:gd name="T26" fmla="*/ 2 w 10"/>
              <a:gd name="T27" fmla="*/ 2 h 8"/>
              <a:gd name="T28" fmla="*/ 1 w 10"/>
              <a:gd name="T29" fmla="*/ 1 h 8"/>
              <a:gd name="T30" fmla="*/ 0 w 10"/>
              <a:gd name="T31" fmla="*/ 2 h 8"/>
              <a:gd name="T32" fmla="*/ 0 w 10"/>
              <a:gd name="T33" fmla="*/ 3 h 8"/>
              <a:gd name="T34" fmla="*/ 1 w 10"/>
              <a:gd name="T35" fmla="*/ 2 h 8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0"/>
              <a:gd name="T55" fmla="*/ 0 h 8"/>
              <a:gd name="T56" fmla="*/ 10 w 10"/>
              <a:gd name="T57" fmla="*/ 8 h 8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0" h="8">
                <a:moveTo>
                  <a:pt x="4" y="4"/>
                </a:moveTo>
                <a:lnTo>
                  <a:pt x="6" y="4"/>
                </a:lnTo>
                <a:lnTo>
                  <a:pt x="6" y="0"/>
                </a:lnTo>
                <a:lnTo>
                  <a:pt x="0" y="0"/>
                </a:lnTo>
                <a:lnTo>
                  <a:pt x="0" y="8"/>
                </a:lnTo>
                <a:lnTo>
                  <a:pt x="6" y="8"/>
                </a:lnTo>
                <a:lnTo>
                  <a:pt x="6" y="4"/>
                </a:lnTo>
                <a:lnTo>
                  <a:pt x="6" y="6"/>
                </a:lnTo>
                <a:lnTo>
                  <a:pt x="6" y="2"/>
                </a:lnTo>
                <a:lnTo>
                  <a:pt x="0" y="4"/>
                </a:lnTo>
                <a:lnTo>
                  <a:pt x="6" y="6"/>
                </a:lnTo>
                <a:lnTo>
                  <a:pt x="6" y="8"/>
                </a:lnTo>
                <a:lnTo>
                  <a:pt x="10" y="8"/>
                </a:lnTo>
                <a:lnTo>
                  <a:pt x="10" y="4"/>
                </a:lnTo>
                <a:lnTo>
                  <a:pt x="6" y="2"/>
                </a:lnTo>
                <a:lnTo>
                  <a:pt x="2" y="6"/>
                </a:lnTo>
                <a:lnTo>
                  <a:pt x="2" y="8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7" name="Freeform 96"/>
          <xdr:cNvSpPr>
            <a:spLocks/>
          </xdr:cNvSpPr>
        </xdr:nvSpPr>
        <xdr:spPr bwMode="auto">
          <a:xfrm>
            <a:off x="268" y="2227"/>
            <a:ext cx="2" cy="3"/>
          </a:xfrm>
          <a:custGeom>
            <a:avLst/>
            <a:gdLst>
              <a:gd name="T0" fmla="*/ 0 w 12"/>
              <a:gd name="T1" fmla="*/ 2 h 10"/>
              <a:gd name="T2" fmla="*/ 1 w 12"/>
              <a:gd name="T3" fmla="*/ 2 h 10"/>
              <a:gd name="T4" fmla="*/ 1 w 12"/>
              <a:gd name="T5" fmla="*/ 1 h 10"/>
              <a:gd name="T6" fmla="*/ 0 w 12"/>
              <a:gd name="T7" fmla="*/ 0 h 10"/>
              <a:gd name="T8" fmla="*/ 1 w 12"/>
              <a:gd name="T9" fmla="*/ 2 h 10"/>
              <a:gd name="T10" fmla="*/ 1 w 12"/>
              <a:gd name="T11" fmla="*/ 1 h 10"/>
              <a:gd name="T12" fmla="*/ 1 w 12"/>
              <a:gd name="T13" fmla="*/ 2 h 10"/>
              <a:gd name="T14" fmla="*/ 1 w 12"/>
              <a:gd name="T15" fmla="*/ 2 h 10"/>
              <a:gd name="T16" fmla="*/ 1 w 12"/>
              <a:gd name="T17" fmla="*/ 1 h 10"/>
              <a:gd name="T18" fmla="*/ 1 w 12"/>
              <a:gd name="T19" fmla="*/ 3 h 10"/>
              <a:gd name="T20" fmla="*/ 2 w 12"/>
              <a:gd name="T21" fmla="*/ 3 h 10"/>
              <a:gd name="T22" fmla="*/ 2 w 12"/>
              <a:gd name="T23" fmla="*/ 2 h 10"/>
              <a:gd name="T24" fmla="*/ 2 w 12"/>
              <a:gd name="T25" fmla="*/ 2 h 10"/>
              <a:gd name="T26" fmla="*/ 1 w 12"/>
              <a:gd name="T27" fmla="*/ 2 h 10"/>
              <a:gd name="T28" fmla="*/ 1 w 12"/>
              <a:gd name="T29" fmla="*/ 1 h 10"/>
              <a:gd name="T30" fmla="*/ 1 w 12"/>
              <a:gd name="T31" fmla="*/ 2 h 10"/>
              <a:gd name="T32" fmla="*/ 1 w 12"/>
              <a:gd name="T33" fmla="*/ 1 h 10"/>
              <a:gd name="T34" fmla="*/ 1 w 12"/>
              <a:gd name="T35" fmla="*/ 1 h 10"/>
              <a:gd name="T36" fmla="*/ 0 w 12"/>
              <a:gd name="T37" fmla="*/ 2 h 10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12"/>
              <a:gd name="T58" fmla="*/ 0 h 10"/>
              <a:gd name="T59" fmla="*/ 12 w 12"/>
              <a:gd name="T60" fmla="*/ 10 h 10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12" h="10">
                <a:moveTo>
                  <a:pt x="2" y="6"/>
                </a:moveTo>
                <a:lnTo>
                  <a:pt x="6" y="6"/>
                </a:lnTo>
                <a:lnTo>
                  <a:pt x="6" y="2"/>
                </a:lnTo>
                <a:lnTo>
                  <a:pt x="0" y="0"/>
                </a:lnTo>
                <a:lnTo>
                  <a:pt x="4" y="8"/>
                </a:lnTo>
                <a:lnTo>
                  <a:pt x="8" y="4"/>
                </a:lnTo>
                <a:lnTo>
                  <a:pt x="8" y="8"/>
                </a:lnTo>
                <a:lnTo>
                  <a:pt x="8" y="6"/>
                </a:lnTo>
                <a:lnTo>
                  <a:pt x="6" y="2"/>
                </a:lnTo>
                <a:lnTo>
                  <a:pt x="4" y="10"/>
                </a:lnTo>
                <a:lnTo>
                  <a:pt x="12" y="10"/>
                </a:lnTo>
                <a:lnTo>
                  <a:pt x="12" y="6"/>
                </a:lnTo>
                <a:lnTo>
                  <a:pt x="10" y="6"/>
                </a:lnTo>
                <a:lnTo>
                  <a:pt x="4" y="6"/>
                </a:lnTo>
                <a:lnTo>
                  <a:pt x="4" y="4"/>
                </a:lnTo>
                <a:lnTo>
                  <a:pt x="4" y="8"/>
                </a:lnTo>
                <a:lnTo>
                  <a:pt x="8" y="4"/>
                </a:lnTo>
                <a:lnTo>
                  <a:pt x="4" y="4"/>
                </a:lnTo>
                <a:lnTo>
                  <a:pt x="2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8" name="Freeform 97"/>
          <xdr:cNvSpPr>
            <a:spLocks/>
          </xdr:cNvSpPr>
        </xdr:nvSpPr>
        <xdr:spPr bwMode="auto">
          <a:xfrm>
            <a:off x="251" y="2254"/>
            <a:ext cx="7" cy="4"/>
          </a:xfrm>
          <a:custGeom>
            <a:avLst/>
            <a:gdLst>
              <a:gd name="T0" fmla="*/ 1 w 28"/>
              <a:gd name="T1" fmla="*/ 0 h 18"/>
              <a:gd name="T2" fmla="*/ 0 w 28"/>
              <a:gd name="T3" fmla="*/ 0 h 18"/>
              <a:gd name="T4" fmla="*/ 0 w 28"/>
              <a:gd name="T5" fmla="*/ 1 h 18"/>
              <a:gd name="T6" fmla="*/ 1 w 28"/>
              <a:gd name="T7" fmla="*/ 1 h 18"/>
              <a:gd name="T8" fmla="*/ 1 w 28"/>
              <a:gd name="T9" fmla="*/ 1 h 18"/>
              <a:gd name="T10" fmla="*/ 1 w 28"/>
              <a:gd name="T11" fmla="*/ 1 h 18"/>
              <a:gd name="T12" fmla="*/ 1 w 28"/>
              <a:gd name="T13" fmla="*/ 2 h 18"/>
              <a:gd name="T14" fmla="*/ 2 w 28"/>
              <a:gd name="T15" fmla="*/ 2 h 18"/>
              <a:gd name="T16" fmla="*/ 2 w 28"/>
              <a:gd name="T17" fmla="*/ 2 h 18"/>
              <a:gd name="T18" fmla="*/ 3 w 28"/>
              <a:gd name="T19" fmla="*/ 2 h 18"/>
              <a:gd name="T20" fmla="*/ 2 w 28"/>
              <a:gd name="T21" fmla="*/ 2 h 18"/>
              <a:gd name="T22" fmla="*/ 3 w 28"/>
              <a:gd name="T23" fmla="*/ 2 h 18"/>
              <a:gd name="T24" fmla="*/ 3 w 28"/>
              <a:gd name="T25" fmla="*/ 2 h 18"/>
              <a:gd name="T26" fmla="*/ 3 w 28"/>
              <a:gd name="T27" fmla="*/ 2 h 18"/>
              <a:gd name="T28" fmla="*/ 3 w 28"/>
              <a:gd name="T29" fmla="*/ 3 h 18"/>
              <a:gd name="T30" fmla="*/ 4 w 28"/>
              <a:gd name="T31" fmla="*/ 3 h 18"/>
              <a:gd name="T32" fmla="*/ 4 w 28"/>
              <a:gd name="T33" fmla="*/ 3 h 18"/>
              <a:gd name="T34" fmla="*/ 5 w 28"/>
              <a:gd name="T35" fmla="*/ 3 h 18"/>
              <a:gd name="T36" fmla="*/ 5 w 28"/>
              <a:gd name="T37" fmla="*/ 4 h 18"/>
              <a:gd name="T38" fmla="*/ 6 w 28"/>
              <a:gd name="T39" fmla="*/ 4 h 18"/>
              <a:gd name="T40" fmla="*/ 6 w 28"/>
              <a:gd name="T41" fmla="*/ 4 h 18"/>
              <a:gd name="T42" fmla="*/ 7 w 28"/>
              <a:gd name="T43" fmla="*/ 4 h 18"/>
              <a:gd name="T44" fmla="*/ 7 w 28"/>
              <a:gd name="T45" fmla="*/ 3 h 18"/>
              <a:gd name="T46" fmla="*/ 7 w 28"/>
              <a:gd name="T47" fmla="*/ 3 h 18"/>
              <a:gd name="T48" fmla="*/ 6 w 28"/>
              <a:gd name="T49" fmla="*/ 3 h 18"/>
              <a:gd name="T50" fmla="*/ 6 w 28"/>
              <a:gd name="T51" fmla="*/ 3 h 18"/>
              <a:gd name="T52" fmla="*/ 5 w 28"/>
              <a:gd name="T53" fmla="*/ 3 h 18"/>
              <a:gd name="T54" fmla="*/ 5 w 28"/>
              <a:gd name="T55" fmla="*/ 2 h 18"/>
              <a:gd name="T56" fmla="*/ 5 w 28"/>
              <a:gd name="T57" fmla="*/ 2 h 18"/>
              <a:gd name="T58" fmla="*/ 4 w 28"/>
              <a:gd name="T59" fmla="*/ 2 h 18"/>
              <a:gd name="T60" fmla="*/ 4 w 28"/>
              <a:gd name="T61" fmla="*/ 1 h 18"/>
              <a:gd name="T62" fmla="*/ 2 w 28"/>
              <a:gd name="T63" fmla="*/ 1 h 18"/>
              <a:gd name="T64" fmla="*/ 3 w 28"/>
              <a:gd name="T65" fmla="*/ 1 h 18"/>
              <a:gd name="T66" fmla="*/ 3 w 28"/>
              <a:gd name="T67" fmla="*/ 1 h 18"/>
              <a:gd name="T68" fmla="*/ 3 w 28"/>
              <a:gd name="T69" fmla="*/ 1 h 18"/>
              <a:gd name="T70" fmla="*/ 2 w 28"/>
              <a:gd name="T71" fmla="*/ 1 h 18"/>
              <a:gd name="T72" fmla="*/ 2 w 28"/>
              <a:gd name="T73" fmla="*/ 0 h 18"/>
              <a:gd name="T74" fmla="*/ 2 w 28"/>
              <a:gd name="T75" fmla="*/ 0 h 18"/>
              <a:gd name="T76" fmla="*/ 2 w 28"/>
              <a:gd name="T77" fmla="*/ 0 h 18"/>
              <a:gd name="T78" fmla="*/ 1 w 28"/>
              <a:gd name="T79" fmla="*/ 0 h 18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8"/>
              <a:gd name="T121" fmla="*/ 0 h 18"/>
              <a:gd name="T122" fmla="*/ 28 w 28"/>
              <a:gd name="T123" fmla="*/ 18 h 18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8" h="18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10"/>
                </a:lnTo>
                <a:lnTo>
                  <a:pt x="10" y="10"/>
                </a:lnTo>
                <a:lnTo>
                  <a:pt x="8" y="10"/>
                </a:lnTo>
                <a:lnTo>
                  <a:pt x="12" y="10"/>
                </a:lnTo>
                <a:lnTo>
                  <a:pt x="10" y="10"/>
                </a:lnTo>
                <a:lnTo>
                  <a:pt x="12" y="10"/>
                </a:lnTo>
                <a:lnTo>
                  <a:pt x="12" y="12"/>
                </a:lnTo>
                <a:lnTo>
                  <a:pt x="14" y="12"/>
                </a:lnTo>
                <a:lnTo>
                  <a:pt x="14" y="14"/>
                </a:lnTo>
                <a:lnTo>
                  <a:pt x="18" y="14"/>
                </a:lnTo>
                <a:lnTo>
                  <a:pt x="20" y="16"/>
                </a:lnTo>
                <a:lnTo>
                  <a:pt x="22" y="16"/>
                </a:lnTo>
                <a:lnTo>
                  <a:pt x="24" y="18"/>
                </a:lnTo>
                <a:lnTo>
                  <a:pt x="28" y="18"/>
                </a:lnTo>
                <a:lnTo>
                  <a:pt x="28" y="14"/>
                </a:lnTo>
                <a:lnTo>
                  <a:pt x="26" y="14"/>
                </a:lnTo>
                <a:lnTo>
                  <a:pt x="24" y="14"/>
                </a:lnTo>
                <a:lnTo>
                  <a:pt x="22" y="12"/>
                </a:lnTo>
                <a:lnTo>
                  <a:pt x="20" y="12"/>
                </a:lnTo>
                <a:lnTo>
                  <a:pt x="18" y="10"/>
                </a:lnTo>
                <a:lnTo>
                  <a:pt x="18" y="8"/>
                </a:lnTo>
                <a:lnTo>
                  <a:pt x="16" y="8"/>
                </a:lnTo>
                <a:lnTo>
                  <a:pt x="16" y="6"/>
                </a:lnTo>
                <a:lnTo>
                  <a:pt x="8" y="6"/>
                </a:lnTo>
                <a:lnTo>
                  <a:pt x="12" y="6"/>
                </a:lnTo>
                <a:lnTo>
                  <a:pt x="10" y="6"/>
                </a:lnTo>
                <a:lnTo>
                  <a:pt x="10" y="4"/>
                </a:lnTo>
                <a:lnTo>
                  <a:pt x="8" y="4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99" name="Freeform 98"/>
          <xdr:cNvSpPr>
            <a:spLocks/>
          </xdr:cNvSpPr>
        </xdr:nvSpPr>
        <xdr:spPr bwMode="auto">
          <a:xfrm>
            <a:off x="323" y="2083"/>
            <a:ext cx="6" cy="31"/>
          </a:xfrm>
          <a:custGeom>
            <a:avLst/>
            <a:gdLst>
              <a:gd name="T0" fmla="*/ 6 w 33"/>
              <a:gd name="T1" fmla="*/ 4 h 136"/>
              <a:gd name="T2" fmla="*/ 6 w 33"/>
              <a:gd name="T3" fmla="*/ 4 h 136"/>
              <a:gd name="T4" fmla="*/ 6 w 33"/>
              <a:gd name="T5" fmla="*/ 4 h 136"/>
              <a:gd name="T6" fmla="*/ 6 w 33"/>
              <a:gd name="T7" fmla="*/ 4 h 136"/>
              <a:gd name="T8" fmla="*/ 0 w 33"/>
              <a:gd name="T9" fmla="*/ 0 h 136"/>
              <a:gd name="T10" fmla="*/ 0 w 33"/>
              <a:gd name="T11" fmla="*/ 0 h 136"/>
              <a:gd name="T12" fmla="*/ 0 w 33"/>
              <a:gd name="T13" fmla="*/ 31 h 136"/>
              <a:gd name="T14" fmla="*/ 0 w 33"/>
              <a:gd name="T15" fmla="*/ 31 h 136"/>
              <a:gd name="T16" fmla="*/ 6 w 33"/>
              <a:gd name="T17" fmla="*/ 28 h 136"/>
              <a:gd name="T18" fmla="*/ 6 w 33"/>
              <a:gd name="T19" fmla="*/ 28 h 136"/>
              <a:gd name="T20" fmla="*/ 6 w 33"/>
              <a:gd name="T21" fmla="*/ 27 h 136"/>
              <a:gd name="T22" fmla="*/ 6 w 33"/>
              <a:gd name="T23" fmla="*/ 27 h 136"/>
              <a:gd name="T24" fmla="*/ 0 w 33"/>
              <a:gd name="T25" fmla="*/ 30 h 136"/>
              <a:gd name="T26" fmla="*/ 1 w 33"/>
              <a:gd name="T27" fmla="*/ 31 h 136"/>
              <a:gd name="T28" fmla="*/ 1 w 33"/>
              <a:gd name="T29" fmla="*/ 0 h 136"/>
              <a:gd name="T30" fmla="*/ 0 w 33"/>
              <a:gd name="T31" fmla="*/ 1 h 136"/>
              <a:gd name="T32" fmla="*/ 6 w 33"/>
              <a:gd name="T33" fmla="*/ 4 h 1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33"/>
              <a:gd name="T52" fmla="*/ 0 h 136"/>
              <a:gd name="T53" fmla="*/ 33 w 33"/>
              <a:gd name="T54" fmla="*/ 136 h 136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33" h="136">
                <a:moveTo>
                  <a:pt x="31" y="19"/>
                </a:moveTo>
                <a:lnTo>
                  <a:pt x="33" y="19"/>
                </a:lnTo>
                <a:lnTo>
                  <a:pt x="33" y="16"/>
                </a:lnTo>
                <a:lnTo>
                  <a:pt x="31" y="16"/>
                </a:lnTo>
                <a:lnTo>
                  <a:pt x="2" y="0"/>
                </a:lnTo>
                <a:lnTo>
                  <a:pt x="0" y="0"/>
                </a:lnTo>
                <a:lnTo>
                  <a:pt x="0" y="136"/>
                </a:lnTo>
                <a:lnTo>
                  <a:pt x="2" y="136"/>
                </a:lnTo>
                <a:lnTo>
                  <a:pt x="31" y="123"/>
                </a:lnTo>
                <a:lnTo>
                  <a:pt x="33" y="123"/>
                </a:lnTo>
                <a:lnTo>
                  <a:pt x="33" y="119"/>
                </a:lnTo>
                <a:lnTo>
                  <a:pt x="31" y="119"/>
                </a:lnTo>
                <a:lnTo>
                  <a:pt x="2" y="132"/>
                </a:lnTo>
                <a:lnTo>
                  <a:pt x="4" y="134"/>
                </a:lnTo>
                <a:lnTo>
                  <a:pt x="4" y="2"/>
                </a:lnTo>
                <a:lnTo>
                  <a:pt x="2" y="4"/>
                </a:lnTo>
                <a:lnTo>
                  <a:pt x="31" y="1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0" name="Freeform 99"/>
          <xdr:cNvSpPr>
            <a:spLocks/>
          </xdr:cNvSpPr>
        </xdr:nvSpPr>
        <xdr:spPr bwMode="auto">
          <a:xfrm>
            <a:off x="337" y="2084"/>
            <a:ext cx="9" cy="6"/>
          </a:xfrm>
          <a:custGeom>
            <a:avLst/>
            <a:gdLst>
              <a:gd name="T0" fmla="*/ 1 w 39"/>
              <a:gd name="T1" fmla="*/ 0 h 29"/>
              <a:gd name="T2" fmla="*/ 1 w 39"/>
              <a:gd name="T3" fmla="*/ 0 h 29"/>
              <a:gd name="T4" fmla="*/ 0 w 39"/>
              <a:gd name="T5" fmla="*/ 1 h 29"/>
              <a:gd name="T6" fmla="*/ 0 w 39"/>
              <a:gd name="T7" fmla="*/ 2 h 29"/>
              <a:gd name="T8" fmla="*/ 1 w 39"/>
              <a:gd name="T9" fmla="*/ 2 h 29"/>
              <a:gd name="T10" fmla="*/ 1 w 39"/>
              <a:gd name="T11" fmla="*/ 2 h 29"/>
              <a:gd name="T12" fmla="*/ 3 w 39"/>
              <a:gd name="T13" fmla="*/ 2 h 29"/>
              <a:gd name="T14" fmla="*/ 3 w 39"/>
              <a:gd name="T15" fmla="*/ 2 h 29"/>
              <a:gd name="T16" fmla="*/ 2 w 39"/>
              <a:gd name="T17" fmla="*/ 2 h 29"/>
              <a:gd name="T18" fmla="*/ 2 w 39"/>
              <a:gd name="T19" fmla="*/ 2 h 29"/>
              <a:gd name="T20" fmla="*/ 3 w 39"/>
              <a:gd name="T21" fmla="*/ 2 h 29"/>
              <a:gd name="T22" fmla="*/ 3 w 39"/>
              <a:gd name="T23" fmla="*/ 2 h 29"/>
              <a:gd name="T24" fmla="*/ 5 w 39"/>
              <a:gd name="T25" fmla="*/ 2 h 29"/>
              <a:gd name="T26" fmla="*/ 5 w 39"/>
              <a:gd name="T27" fmla="*/ 3 h 29"/>
              <a:gd name="T28" fmla="*/ 6 w 39"/>
              <a:gd name="T29" fmla="*/ 3 h 29"/>
              <a:gd name="T30" fmla="*/ 6 w 39"/>
              <a:gd name="T31" fmla="*/ 3 h 29"/>
              <a:gd name="T32" fmla="*/ 5 w 39"/>
              <a:gd name="T33" fmla="*/ 3 h 29"/>
              <a:gd name="T34" fmla="*/ 6 w 39"/>
              <a:gd name="T35" fmla="*/ 4 h 29"/>
              <a:gd name="T36" fmla="*/ 6 w 39"/>
              <a:gd name="T37" fmla="*/ 4 h 29"/>
              <a:gd name="T38" fmla="*/ 6 w 39"/>
              <a:gd name="T39" fmla="*/ 4 h 29"/>
              <a:gd name="T40" fmla="*/ 7 w 39"/>
              <a:gd name="T41" fmla="*/ 4 h 29"/>
              <a:gd name="T42" fmla="*/ 6 w 39"/>
              <a:gd name="T43" fmla="*/ 5 h 29"/>
              <a:gd name="T44" fmla="*/ 6 w 39"/>
              <a:gd name="T45" fmla="*/ 6 h 29"/>
              <a:gd name="T46" fmla="*/ 7 w 39"/>
              <a:gd name="T47" fmla="*/ 6 h 29"/>
              <a:gd name="T48" fmla="*/ 7 w 39"/>
              <a:gd name="T49" fmla="*/ 6 h 29"/>
              <a:gd name="T50" fmla="*/ 9 w 39"/>
              <a:gd name="T51" fmla="*/ 6 h 29"/>
              <a:gd name="T52" fmla="*/ 9 w 39"/>
              <a:gd name="T53" fmla="*/ 6 h 29"/>
              <a:gd name="T54" fmla="*/ 9 w 39"/>
              <a:gd name="T55" fmla="*/ 6 h 29"/>
              <a:gd name="T56" fmla="*/ 9 w 39"/>
              <a:gd name="T57" fmla="*/ 5 h 29"/>
              <a:gd name="T58" fmla="*/ 9 w 39"/>
              <a:gd name="T59" fmla="*/ 3 h 29"/>
              <a:gd name="T60" fmla="*/ 8 w 39"/>
              <a:gd name="T61" fmla="*/ 3 h 29"/>
              <a:gd name="T62" fmla="*/ 8 w 39"/>
              <a:gd name="T63" fmla="*/ 2 h 29"/>
              <a:gd name="T64" fmla="*/ 8 w 39"/>
              <a:gd name="T65" fmla="*/ 2 h 29"/>
              <a:gd name="T66" fmla="*/ 8 w 39"/>
              <a:gd name="T67" fmla="*/ 2 h 29"/>
              <a:gd name="T68" fmla="*/ 7 w 39"/>
              <a:gd name="T69" fmla="*/ 1 h 29"/>
              <a:gd name="T70" fmla="*/ 6 w 39"/>
              <a:gd name="T71" fmla="*/ 1 h 29"/>
              <a:gd name="T72" fmla="*/ 7 w 39"/>
              <a:gd name="T73" fmla="*/ 1 h 29"/>
              <a:gd name="T74" fmla="*/ 7 w 39"/>
              <a:gd name="T75" fmla="*/ 1 h 29"/>
              <a:gd name="T76" fmla="*/ 5 w 39"/>
              <a:gd name="T77" fmla="*/ 1 h 29"/>
              <a:gd name="T78" fmla="*/ 5 w 39"/>
              <a:gd name="T79" fmla="*/ 0 h 29"/>
              <a:gd name="T80" fmla="*/ 3 w 39"/>
              <a:gd name="T81" fmla="*/ 0 h 29"/>
              <a:gd name="T82" fmla="*/ 3 w 39"/>
              <a:gd name="T83" fmla="*/ 0 h 29"/>
              <a:gd name="T84" fmla="*/ 1 w 39"/>
              <a:gd name="T85" fmla="*/ 0 h 29"/>
              <a:gd name="T86" fmla="*/ 1 w 39"/>
              <a:gd name="T87" fmla="*/ 0 h 29"/>
              <a:gd name="T88" fmla="*/ 1 w 39"/>
              <a:gd name="T89" fmla="*/ 0 h 29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39"/>
              <a:gd name="T136" fmla="*/ 0 h 29"/>
              <a:gd name="T137" fmla="*/ 39 w 39"/>
              <a:gd name="T138" fmla="*/ 29 h 29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39" h="29">
                <a:moveTo>
                  <a:pt x="6" y="0"/>
                </a:moveTo>
                <a:lnTo>
                  <a:pt x="4" y="0"/>
                </a:lnTo>
                <a:lnTo>
                  <a:pt x="0" y="4"/>
                </a:lnTo>
                <a:lnTo>
                  <a:pt x="0" y="8"/>
                </a:lnTo>
                <a:lnTo>
                  <a:pt x="4" y="12"/>
                </a:lnTo>
                <a:lnTo>
                  <a:pt x="6" y="12"/>
                </a:lnTo>
                <a:lnTo>
                  <a:pt x="13" y="10"/>
                </a:lnTo>
                <a:lnTo>
                  <a:pt x="13" y="8"/>
                </a:lnTo>
                <a:lnTo>
                  <a:pt x="8" y="8"/>
                </a:lnTo>
                <a:lnTo>
                  <a:pt x="8" y="10"/>
                </a:lnTo>
                <a:lnTo>
                  <a:pt x="15" y="10"/>
                </a:lnTo>
                <a:lnTo>
                  <a:pt x="15" y="12"/>
                </a:lnTo>
                <a:lnTo>
                  <a:pt x="21" y="12"/>
                </a:lnTo>
                <a:lnTo>
                  <a:pt x="21" y="14"/>
                </a:lnTo>
                <a:lnTo>
                  <a:pt x="27" y="15"/>
                </a:lnTo>
                <a:lnTo>
                  <a:pt x="25" y="15"/>
                </a:lnTo>
                <a:lnTo>
                  <a:pt x="23" y="14"/>
                </a:lnTo>
                <a:lnTo>
                  <a:pt x="25" y="17"/>
                </a:lnTo>
                <a:lnTo>
                  <a:pt x="27" y="17"/>
                </a:lnTo>
                <a:lnTo>
                  <a:pt x="27" y="21"/>
                </a:lnTo>
                <a:lnTo>
                  <a:pt x="29" y="21"/>
                </a:lnTo>
                <a:lnTo>
                  <a:pt x="27" y="23"/>
                </a:lnTo>
                <a:lnTo>
                  <a:pt x="27" y="27"/>
                </a:lnTo>
                <a:lnTo>
                  <a:pt x="29" y="27"/>
                </a:lnTo>
                <a:lnTo>
                  <a:pt x="29" y="29"/>
                </a:lnTo>
                <a:lnTo>
                  <a:pt x="37" y="29"/>
                </a:lnTo>
                <a:lnTo>
                  <a:pt x="37" y="27"/>
                </a:lnTo>
                <a:lnTo>
                  <a:pt x="39" y="27"/>
                </a:lnTo>
                <a:lnTo>
                  <a:pt x="39" y="23"/>
                </a:lnTo>
                <a:lnTo>
                  <a:pt x="37" y="14"/>
                </a:lnTo>
                <a:lnTo>
                  <a:pt x="35" y="14"/>
                </a:lnTo>
                <a:lnTo>
                  <a:pt x="35" y="10"/>
                </a:lnTo>
                <a:lnTo>
                  <a:pt x="33" y="10"/>
                </a:lnTo>
                <a:lnTo>
                  <a:pt x="35" y="10"/>
                </a:lnTo>
                <a:lnTo>
                  <a:pt x="29" y="4"/>
                </a:lnTo>
                <a:lnTo>
                  <a:pt x="27" y="4"/>
                </a:lnTo>
                <a:lnTo>
                  <a:pt x="29" y="6"/>
                </a:lnTo>
                <a:lnTo>
                  <a:pt x="29" y="4"/>
                </a:lnTo>
                <a:lnTo>
                  <a:pt x="23" y="4"/>
                </a:lnTo>
                <a:lnTo>
                  <a:pt x="23" y="2"/>
                </a:lnTo>
                <a:lnTo>
                  <a:pt x="15" y="2"/>
                </a:lnTo>
                <a:lnTo>
                  <a:pt x="15" y="0"/>
                </a:lnTo>
                <a:lnTo>
                  <a:pt x="6" y="0"/>
                </a:lnTo>
                <a:lnTo>
                  <a:pt x="6" y="2"/>
                </a:lnTo>
                <a:lnTo>
                  <a:pt x="6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1" name="Freeform 100"/>
          <xdr:cNvSpPr>
            <a:spLocks/>
          </xdr:cNvSpPr>
        </xdr:nvSpPr>
        <xdr:spPr bwMode="auto">
          <a:xfrm>
            <a:off x="328" y="2111"/>
            <a:ext cx="15" cy="3"/>
          </a:xfrm>
          <a:custGeom>
            <a:avLst/>
            <a:gdLst>
              <a:gd name="T0" fmla="*/ 1 w 71"/>
              <a:gd name="T1" fmla="*/ 0 h 11"/>
              <a:gd name="T2" fmla="*/ 0 w 71"/>
              <a:gd name="T3" fmla="*/ 0 h 11"/>
              <a:gd name="T4" fmla="*/ 0 w 71"/>
              <a:gd name="T5" fmla="*/ 1 h 11"/>
              <a:gd name="T6" fmla="*/ 0 w 71"/>
              <a:gd name="T7" fmla="*/ 1 h 11"/>
              <a:gd name="T8" fmla="*/ 0 w 71"/>
              <a:gd name="T9" fmla="*/ 3 h 11"/>
              <a:gd name="T10" fmla="*/ 0 w 71"/>
              <a:gd name="T11" fmla="*/ 3 h 11"/>
              <a:gd name="T12" fmla="*/ 0 w 71"/>
              <a:gd name="T13" fmla="*/ 3 h 11"/>
              <a:gd name="T14" fmla="*/ 15 w 71"/>
              <a:gd name="T15" fmla="*/ 3 h 11"/>
              <a:gd name="T16" fmla="*/ 15 w 71"/>
              <a:gd name="T17" fmla="*/ 3 h 11"/>
              <a:gd name="T18" fmla="*/ 15 w 71"/>
              <a:gd name="T19" fmla="*/ 3 h 11"/>
              <a:gd name="T20" fmla="*/ 15 w 71"/>
              <a:gd name="T21" fmla="*/ 1 h 11"/>
              <a:gd name="T22" fmla="*/ 15 w 71"/>
              <a:gd name="T23" fmla="*/ 1 h 11"/>
              <a:gd name="T24" fmla="*/ 15 w 71"/>
              <a:gd name="T25" fmla="*/ 0 h 11"/>
              <a:gd name="T26" fmla="*/ 14 w 71"/>
              <a:gd name="T27" fmla="*/ 0 h 11"/>
              <a:gd name="T28" fmla="*/ 1 w 71"/>
              <a:gd name="T29" fmla="*/ 0 h 1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71"/>
              <a:gd name="T46" fmla="*/ 0 h 11"/>
              <a:gd name="T47" fmla="*/ 71 w 71"/>
              <a:gd name="T48" fmla="*/ 11 h 1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71" h="11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1"/>
                </a:lnTo>
                <a:lnTo>
                  <a:pt x="69" y="11"/>
                </a:lnTo>
                <a:lnTo>
                  <a:pt x="69" y="10"/>
                </a:lnTo>
                <a:lnTo>
                  <a:pt x="71" y="10"/>
                </a:lnTo>
                <a:lnTo>
                  <a:pt x="71" y="2"/>
                </a:lnTo>
                <a:lnTo>
                  <a:pt x="69" y="2"/>
                </a:lnTo>
                <a:lnTo>
                  <a:pt x="69" y="0"/>
                </a:lnTo>
                <a:lnTo>
                  <a:pt x="65" y="0"/>
                </a:lnTo>
                <a:lnTo>
                  <a:pt x="6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2" name="Freeform 101"/>
          <xdr:cNvSpPr>
            <a:spLocks/>
          </xdr:cNvSpPr>
        </xdr:nvSpPr>
        <xdr:spPr bwMode="auto">
          <a:xfrm>
            <a:off x="343" y="2087"/>
            <a:ext cx="3" cy="24"/>
          </a:xfrm>
          <a:custGeom>
            <a:avLst/>
            <a:gdLst>
              <a:gd name="T0" fmla="*/ 3 w 12"/>
              <a:gd name="T1" fmla="*/ 1 h 102"/>
              <a:gd name="T2" fmla="*/ 3 w 12"/>
              <a:gd name="T3" fmla="*/ 0 h 102"/>
              <a:gd name="T4" fmla="*/ 3 w 12"/>
              <a:gd name="T5" fmla="*/ 0 h 102"/>
              <a:gd name="T6" fmla="*/ 3 w 12"/>
              <a:gd name="T7" fmla="*/ 0 h 102"/>
              <a:gd name="T8" fmla="*/ 1 w 12"/>
              <a:gd name="T9" fmla="*/ 0 h 102"/>
              <a:gd name="T10" fmla="*/ 1 w 12"/>
              <a:gd name="T11" fmla="*/ 0 h 102"/>
              <a:gd name="T12" fmla="*/ 0 w 12"/>
              <a:gd name="T13" fmla="*/ 0 h 102"/>
              <a:gd name="T14" fmla="*/ 0 w 12"/>
              <a:gd name="T15" fmla="*/ 24 h 102"/>
              <a:gd name="T16" fmla="*/ 1 w 12"/>
              <a:gd name="T17" fmla="*/ 24 h 102"/>
              <a:gd name="T18" fmla="*/ 1 w 12"/>
              <a:gd name="T19" fmla="*/ 24 h 102"/>
              <a:gd name="T20" fmla="*/ 3 w 12"/>
              <a:gd name="T21" fmla="*/ 24 h 102"/>
              <a:gd name="T22" fmla="*/ 3 w 12"/>
              <a:gd name="T23" fmla="*/ 24 h 102"/>
              <a:gd name="T24" fmla="*/ 3 w 12"/>
              <a:gd name="T25" fmla="*/ 24 h 102"/>
              <a:gd name="T26" fmla="*/ 3 w 12"/>
              <a:gd name="T27" fmla="*/ 23 h 102"/>
              <a:gd name="T28" fmla="*/ 3 w 12"/>
              <a:gd name="T29" fmla="*/ 1 h 10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102"/>
              <a:gd name="T47" fmla="*/ 12 w 12"/>
              <a:gd name="T48" fmla="*/ 102 h 10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102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0"/>
                </a:lnTo>
                <a:lnTo>
                  <a:pt x="2" y="100"/>
                </a:lnTo>
                <a:lnTo>
                  <a:pt x="2" y="102"/>
                </a:lnTo>
                <a:lnTo>
                  <a:pt x="10" y="102"/>
                </a:lnTo>
                <a:lnTo>
                  <a:pt x="10" y="100"/>
                </a:lnTo>
                <a:lnTo>
                  <a:pt x="12" y="100"/>
                </a:lnTo>
                <a:lnTo>
                  <a:pt x="12" y="96"/>
                </a:lnTo>
                <a:lnTo>
                  <a:pt x="12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3" name="Freeform 102"/>
          <xdr:cNvSpPr>
            <a:spLocks/>
          </xdr:cNvSpPr>
        </xdr:nvSpPr>
        <xdr:spPr bwMode="auto">
          <a:xfrm>
            <a:off x="329" y="2084"/>
            <a:ext cx="10" cy="3"/>
          </a:xfrm>
          <a:custGeom>
            <a:avLst/>
            <a:gdLst>
              <a:gd name="T0" fmla="*/ 1 w 48"/>
              <a:gd name="T1" fmla="*/ 0 h 12"/>
              <a:gd name="T2" fmla="*/ 0 w 48"/>
              <a:gd name="T3" fmla="*/ 0 h 12"/>
              <a:gd name="T4" fmla="*/ 0 w 48"/>
              <a:gd name="T5" fmla="*/ 1 h 12"/>
              <a:gd name="T6" fmla="*/ 0 w 48"/>
              <a:gd name="T7" fmla="*/ 1 h 12"/>
              <a:gd name="T8" fmla="*/ 0 w 48"/>
              <a:gd name="T9" fmla="*/ 3 h 12"/>
              <a:gd name="T10" fmla="*/ 0 w 48"/>
              <a:gd name="T11" fmla="*/ 3 h 12"/>
              <a:gd name="T12" fmla="*/ 0 w 48"/>
              <a:gd name="T13" fmla="*/ 3 h 12"/>
              <a:gd name="T14" fmla="*/ 10 w 48"/>
              <a:gd name="T15" fmla="*/ 3 h 12"/>
              <a:gd name="T16" fmla="*/ 10 w 48"/>
              <a:gd name="T17" fmla="*/ 3 h 12"/>
              <a:gd name="T18" fmla="*/ 10 w 48"/>
              <a:gd name="T19" fmla="*/ 3 h 12"/>
              <a:gd name="T20" fmla="*/ 10 w 48"/>
              <a:gd name="T21" fmla="*/ 1 h 12"/>
              <a:gd name="T22" fmla="*/ 10 w 48"/>
              <a:gd name="T23" fmla="*/ 1 h 12"/>
              <a:gd name="T24" fmla="*/ 10 w 48"/>
              <a:gd name="T25" fmla="*/ 0 h 12"/>
              <a:gd name="T26" fmla="*/ 9 w 48"/>
              <a:gd name="T27" fmla="*/ 0 h 12"/>
              <a:gd name="T28" fmla="*/ 1 w 48"/>
              <a:gd name="T29" fmla="*/ 0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48"/>
              <a:gd name="T46" fmla="*/ 0 h 12"/>
              <a:gd name="T47" fmla="*/ 48 w 48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48" h="12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46" y="12"/>
                </a:lnTo>
                <a:lnTo>
                  <a:pt x="46" y="10"/>
                </a:lnTo>
                <a:lnTo>
                  <a:pt x="48" y="10"/>
                </a:lnTo>
                <a:lnTo>
                  <a:pt x="48" y="2"/>
                </a:lnTo>
                <a:lnTo>
                  <a:pt x="46" y="2"/>
                </a:lnTo>
                <a:lnTo>
                  <a:pt x="46" y="0"/>
                </a:lnTo>
                <a:lnTo>
                  <a:pt x="42" y="0"/>
                </a:lnTo>
                <a:lnTo>
                  <a:pt x="6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4" name="Freeform 103"/>
          <xdr:cNvSpPr>
            <a:spLocks/>
          </xdr:cNvSpPr>
        </xdr:nvSpPr>
        <xdr:spPr bwMode="auto">
          <a:xfrm>
            <a:off x="329" y="2090"/>
            <a:ext cx="2" cy="21"/>
          </a:xfrm>
          <a:custGeom>
            <a:avLst/>
            <a:gdLst>
              <a:gd name="T0" fmla="*/ 2 w 4"/>
              <a:gd name="T1" fmla="*/ 0 h 90"/>
              <a:gd name="T2" fmla="*/ 2 w 4"/>
              <a:gd name="T3" fmla="*/ 0 h 90"/>
              <a:gd name="T4" fmla="*/ 0 w 4"/>
              <a:gd name="T5" fmla="*/ 0 h 90"/>
              <a:gd name="T6" fmla="*/ 0 w 4"/>
              <a:gd name="T7" fmla="*/ 21 h 90"/>
              <a:gd name="T8" fmla="*/ 2 w 4"/>
              <a:gd name="T9" fmla="*/ 21 h 90"/>
              <a:gd name="T10" fmla="*/ 2 w 4"/>
              <a:gd name="T11" fmla="*/ 21 h 90"/>
              <a:gd name="T12" fmla="*/ 2 w 4"/>
              <a:gd name="T13" fmla="*/ 0 h 9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90"/>
              <a:gd name="T23" fmla="*/ 4 w 4"/>
              <a:gd name="T24" fmla="*/ 90 h 9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90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90"/>
                </a:lnTo>
                <a:lnTo>
                  <a:pt x="4" y="90"/>
                </a:lnTo>
                <a:lnTo>
                  <a:pt x="4" y="8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5" name="Freeform 104"/>
          <xdr:cNvSpPr>
            <a:spLocks/>
          </xdr:cNvSpPr>
        </xdr:nvSpPr>
        <xdr:spPr bwMode="auto">
          <a:xfrm>
            <a:off x="244" y="2121"/>
            <a:ext cx="85" cy="1"/>
          </a:xfrm>
          <a:custGeom>
            <a:avLst/>
            <a:gdLst>
              <a:gd name="T0" fmla="*/ 0 w 413"/>
              <a:gd name="T1" fmla="*/ 0 h 4"/>
              <a:gd name="T2" fmla="*/ 0 w 413"/>
              <a:gd name="T3" fmla="*/ 0 h 4"/>
              <a:gd name="T4" fmla="*/ 0 w 413"/>
              <a:gd name="T5" fmla="*/ 1 h 4"/>
              <a:gd name="T6" fmla="*/ 85 w 413"/>
              <a:gd name="T7" fmla="*/ 1 h 4"/>
              <a:gd name="T8" fmla="*/ 85 w 413"/>
              <a:gd name="T9" fmla="*/ 0 h 4"/>
              <a:gd name="T10" fmla="*/ 85 w 413"/>
              <a:gd name="T11" fmla="*/ 0 h 4"/>
              <a:gd name="T12" fmla="*/ 0 w 413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13"/>
              <a:gd name="T22" fmla="*/ 0 h 4"/>
              <a:gd name="T23" fmla="*/ 413 w 413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13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13" y="4"/>
                </a:lnTo>
                <a:lnTo>
                  <a:pt x="413" y="0"/>
                </a:lnTo>
                <a:lnTo>
                  <a:pt x="411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6" name="Freeform 105"/>
          <xdr:cNvSpPr>
            <a:spLocks/>
          </xdr:cNvSpPr>
        </xdr:nvSpPr>
        <xdr:spPr bwMode="auto">
          <a:xfrm>
            <a:off x="248" y="2125"/>
            <a:ext cx="78" cy="0"/>
          </a:xfrm>
          <a:custGeom>
            <a:avLst/>
            <a:gdLst>
              <a:gd name="T0" fmla="*/ 0 w 383"/>
              <a:gd name="T1" fmla="*/ 0 h 4"/>
              <a:gd name="T2" fmla="*/ 0 w 383"/>
              <a:gd name="T3" fmla="*/ 0 h 4"/>
              <a:gd name="T4" fmla="*/ 0 w 383"/>
              <a:gd name="T5" fmla="*/ 0 h 4"/>
              <a:gd name="T6" fmla="*/ 78 w 383"/>
              <a:gd name="T7" fmla="*/ 0 h 4"/>
              <a:gd name="T8" fmla="*/ 78 w 383"/>
              <a:gd name="T9" fmla="*/ 0 h 4"/>
              <a:gd name="T10" fmla="*/ 78 w 383"/>
              <a:gd name="T11" fmla="*/ 0 h 4"/>
              <a:gd name="T12" fmla="*/ 0 w 383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83"/>
              <a:gd name="T22" fmla="*/ 0 h 4"/>
              <a:gd name="T23" fmla="*/ 383 w 383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83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83" y="4"/>
                </a:lnTo>
                <a:lnTo>
                  <a:pt x="383" y="0"/>
                </a:lnTo>
                <a:lnTo>
                  <a:pt x="381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7" name="Freeform 106"/>
          <xdr:cNvSpPr>
            <a:spLocks/>
          </xdr:cNvSpPr>
        </xdr:nvSpPr>
        <xdr:spPr bwMode="auto">
          <a:xfrm>
            <a:off x="244" y="2121"/>
            <a:ext cx="4" cy="4"/>
          </a:xfrm>
          <a:custGeom>
            <a:avLst/>
            <a:gdLst>
              <a:gd name="T0" fmla="*/ 1 w 21"/>
              <a:gd name="T1" fmla="*/ 0 h 21"/>
              <a:gd name="T2" fmla="*/ 0 w 21"/>
              <a:gd name="T3" fmla="*/ 0 h 21"/>
              <a:gd name="T4" fmla="*/ 0 w 21"/>
              <a:gd name="T5" fmla="*/ 1 h 21"/>
              <a:gd name="T6" fmla="*/ 3 w 21"/>
              <a:gd name="T7" fmla="*/ 4 h 21"/>
              <a:gd name="T8" fmla="*/ 4 w 21"/>
              <a:gd name="T9" fmla="*/ 4 h 21"/>
              <a:gd name="T10" fmla="*/ 4 w 21"/>
              <a:gd name="T11" fmla="*/ 3 h 21"/>
              <a:gd name="T12" fmla="*/ 1 w 21"/>
              <a:gd name="T13" fmla="*/ 0 h 2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1"/>
              <a:gd name="T23" fmla="*/ 21 w 21"/>
              <a:gd name="T24" fmla="*/ 21 h 2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1">
                <a:moveTo>
                  <a:pt x="4" y="0"/>
                </a:moveTo>
                <a:lnTo>
                  <a:pt x="0" y="0"/>
                </a:lnTo>
                <a:lnTo>
                  <a:pt x="0" y="4"/>
                </a:lnTo>
                <a:lnTo>
                  <a:pt x="17" y="21"/>
                </a:lnTo>
                <a:lnTo>
                  <a:pt x="21" y="21"/>
                </a:lnTo>
                <a:lnTo>
                  <a:pt x="21" y="17"/>
                </a:lnTo>
                <a:lnTo>
                  <a:pt x="4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8" name="Freeform 107"/>
          <xdr:cNvSpPr>
            <a:spLocks/>
          </xdr:cNvSpPr>
        </xdr:nvSpPr>
        <xdr:spPr bwMode="auto">
          <a:xfrm>
            <a:off x="248" y="2138"/>
            <a:ext cx="7" cy="0"/>
          </a:xfrm>
          <a:custGeom>
            <a:avLst/>
            <a:gdLst>
              <a:gd name="T0" fmla="*/ 0 w 38"/>
              <a:gd name="T1" fmla="*/ 0 h 4"/>
              <a:gd name="T2" fmla="*/ 0 w 38"/>
              <a:gd name="T3" fmla="*/ 0 h 4"/>
              <a:gd name="T4" fmla="*/ 0 w 38"/>
              <a:gd name="T5" fmla="*/ 0 h 4"/>
              <a:gd name="T6" fmla="*/ 7 w 38"/>
              <a:gd name="T7" fmla="*/ 0 h 4"/>
              <a:gd name="T8" fmla="*/ 7 w 38"/>
              <a:gd name="T9" fmla="*/ 0 h 4"/>
              <a:gd name="T10" fmla="*/ 7 w 38"/>
              <a:gd name="T11" fmla="*/ 0 h 4"/>
              <a:gd name="T12" fmla="*/ 0 w 3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8"/>
              <a:gd name="T22" fmla="*/ 0 h 4"/>
              <a:gd name="T23" fmla="*/ 38 w 38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8" y="4"/>
                </a:lnTo>
                <a:lnTo>
                  <a:pt x="38" y="0"/>
                </a:lnTo>
                <a:lnTo>
                  <a:pt x="3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09" name="Freeform 108"/>
          <xdr:cNvSpPr>
            <a:spLocks/>
          </xdr:cNvSpPr>
        </xdr:nvSpPr>
        <xdr:spPr bwMode="auto">
          <a:xfrm>
            <a:off x="268" y="2138"/>
            <a:ext cx="37" cy="1"/>
          </a:xfrm>
          <a:custGeom>
            <a:avLst/>
            <a:gdLst>
              <a:gd name="T0" fmla="*/ 0 w 179"/>
              <a:gd name="T1" fmla="*/ 0 h 4"/>
              <a:gd name="T2" fmla="*/ 0 w 179"/>
              <a:gd name="T3" fmla="*/ 0 h 4"/>
              <a:gd name="T4" fmla="*/ 0 w 179"/>
              <a:gd name="T5" fmla="*/ 1 h 4"/>
              <a:gd name="T6" fmla="*/ 37 w 179"/>
              <a:gd name="T7" fmla="*/ 1 h 4"/>
              <a:gd name="T8" fmla="*/ 37 w 179"/>
              <a:gd name="T9" fmla="*/ 0 h 4"/>
              <a:gd name="T10" fmla="*/ 37 w 179"/>
              <a:gd name="T11" fmla="*/ 0 h 4"/>
              <a:gd name="T12" fmla="*/ 0 w 179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9"/>
              <a:gd name="T22" fmla="*/ 0 h 4"/>
              <a:gd name="T23" fmla="*/ 179 w 179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9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79" y="4"/>
                </a:lnTo>
                <a:lnTo>
                  <a:pt x="179" y="0"/>
                </a:lnTo>
                <a:lnTo>
                  <a:pt x="177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0" name="Freeform 109"/>
          <xdr:cNvSpPr>
            <a:spLocks/>
          </xdr:cNvSpPr>
        </xdr:nvSpPr>
        <xdr:spPr bwMode="auto">
          <a:xfrm>
            <a:off x="317" y="2138"/>
            <a:ext cx="9" cy="0"/>
          </a:xfrm>
          <a:custGeom>
            <a:avLst/>
            <a:gdLst>
              <a:gd name="T0" fmla="*/ 0 w 42"/>
              <a:gd name="T1" fmla="*/ 0 h 4"/>
              <a:gd name="T2" fmla="*/ 0 w 42"/>
              <a:gd name="T3" fmla="*/ 0 h 4"/>
              <a:gd name="T4" fmla="*/ 0 w 42"/>
              <a:gd name="T5" fmla="*/ 0 h 4"/>
              <a:gd name="T6" fmla="*/ 9 w 42"/>
              <a:gd name="T7" fmla="*/ 0 h 4"/>
              <a:gd name="T8" fmla="*/ 9 w 42"/>
              <a:gd name="T9" fmla="*/ 0 h 4"/>
              <a:gd name="T10" fmla="*/ 9 w 42"/>
              <a:gd name="T11" fmla="*/ 0 h 4"/>
              <a:gd name="T12" fmla="*/ 0 w 4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2"/>
              <a:gd name="T22" fmla="*/ 0 h 4"/>
              <a:gd name="T23" fmla="*/ 42 w 42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2" y="4"/>
                </a:lnTo>
                <a:lnTo>
                  <a:pt x="42" y="0"/>
                </a:lnTo>
                <a:lnTo>
                  <a:pt x="40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1" name="Freeform 110"/>
          <xdr:cNvSpPr>
            <a:spLocks/>
          </xdr:cNvSpPr>
        </xdr:nvSpPr>
        <xdr:spPr bwMode="auto">
          <a:xfrm>
            <a:off x="251" y="2142"/>
            <a:ext cx="8" cy="1"/>
          </a:xfrm>
          <a:custGeom>
            <a:avLst/>
            <a:gdLst>
              <a:gd name="T0" fmla="*/ 0 w 34"/>
              <a:gd name="T1" fmla="*/ 0 h 4"/>
              <a:gd name="T2" fmla="*/ 0 w 34"/>
              <a:gd name="T3" fmla="*/ 0 h 4"/>
              <a:gd name="T4" fmla="*/ 0 w 34"/>
              <a:gd name="T5" fmla="*/ 1 h 4"/>
              <a:gd name="T6" fmla="*/ 8 w 34"/>
              <a:gd name="T7" fmla="*/ 1 h 4"/>
              <a:gd name="T8" fmla="*/ 8 w 34"/>
              <a:gd name="T9" fmla="*/ 0 h 4"/>
              <a:gd name="T10" fmla="*/ 8 w 34"/>
              <a:gd name="T11" fmla="*/ 0 h 4"/>
              <a:gd name="T12" fmla="*/ 0 w 34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4"/>
              <a:gd name="T22" fmla="*/ 0 h 4"/>
              <a:gd name="T23" fmla="*/ 34 w 34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4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4" y="4"/>
                </a:lnTo>
                <a:lnTo>
                  <a:pt x="34" y="0"/>
                </a:lnTo>
                <a:lnTo>
                  <a:pt x="32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2" name="Freeform 111"/>
          <xdr:cNvSpPr>
            <a:spLocks/>
          </xdr:cNvSpPr>
        </xdr:nvSpPr>
        <xdr:spPr bwMode="auto">
          <a:xfrm>
            <a:off x="270" y="2142"/>
            <a:ext cx="32" cy="0"/>
          </a:xfrm>
          <a:custGeom>
            <a:avLst/>
            <a:gdLst>
              <a:gd name="T0" fmla="*/ 0 w 151"/>
              <a:gd name="T1" fmla="*/ 0 h 4"/>
              <a:gd name="T2" fmla="*/ 0 w 151"/>
              <a:gd name="T3" fmla="*/ 0 h 4"/>
              <a:gd name="T4" fmla="*/ 0 w 151"/>
              <a:gd name="T5" fmla="*/ 0 h 4"/>
              <a:gd name="T6" fmla="*/ 32 w 151"/>
              <a:gd name="T7" fmla="*/ 0 h 4"/>
              <a:gd name="T8" fmla="*/ 32 w 151"/>
              <a:gd name="T9" fmla="*/ 0 h 4"/>
              <a:gd name="T10" fmla="*/ 32 w 151"/>
              <a:gd name="T11" fmla="*/ 0 h 4"/>
              <a:gd name="T12" fmla="*/ 0 w 151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1"/>
              <a:gd name="T22" fmla="*/ 0 h 4"/>
              <a:gd name="T23" fmla="*/ 151 w 151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1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51" y="4"/>
                </a:lnTo>
                <a:lnTo>
                  <a:pt x="151" y="0"/>
                </a:lnTo>
                <a:lnTo>
                  <a:pt x="149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3" name="Freeform 112"/>
          <xdr:cNvSpPr>
            <a:spLocks/>
          </xdr:cNvSpPr>
        </xdr:nvSpPr>
        <xdr:spPr bwMode="auto">
          <a:xfrm>
            <a:off x="315" y="2142"/>
            <a:ext cx="7" cy="0"/>
          </a:xfrm>
          <a:custGeom>
            <a:avLst/>
            <a:gdLst>
              <a:gd name="T0" fmla="*/ 0 w 38"/>
              <a:gd name="T1" fmla="*/ 0 h 4"/>
              <a:gd name="T2" fmla="*/ 0 w 38"/>
              <a:gd name="T3" fmla="*/ 0 h 4"/>
              <a:gd name="T4" fmla="*/ 0 w 38"/>
              <a:gd name="T5" fmla="*/ 0 h 4"/>
              <a:gd name="T6" fmla="*/ 7 w 38"/>
              <a:gd name="T7" fmla="*/ 0 h 4"/>
              <a:gd name="T8" fmla="*/ 7 w 38"/>
              <a:gd name="T9" fmla="*/ 0 h 4"/>
              <a:gd name="T10" fmla="*/ 7 w 38"/>
              <a:gd name="T11" fmla="*/ 0 h 4"/>
              <a:gd name="T12" fmla="*/ 0 w 3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8"/>
              <a:gd name="T22" fmla="*/ 0 h 4"/>
              <a:gd name="T23" fmla="*/ 38 w 38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8" y="4"/>
                </a:lnTo>
                <a:lnTo>
                  <a:pt x="38" y="0"/>
                </a:lnTo>
                <a:lnTo>
                  <a:pt x="3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4" name="Freeform 113"/>
          <xdr:cNvSpPr>
            <a:spLocks/>
          </xdr:cNvSpPr>
        </xdr:nvSpPr>
        <xdr:spPr bwMode="auto">
          <a:xfrm>
            <a:off x="254" y="2133"/>
            <a:ext cx="2" cy="3"/>
          </a:xfrm>
          <a:custGeom>
            <a:avLst/>
            <a:gdLst>
              <a:gd name="T0" fmla="*/ 0 w 12"/>
              <a:gd name="T1" fmla="*/ 3 h 12"/>
              <a:gd name="T2" fmla="*/ 1 w 12"/>
              <a:gd name="T3" fmla="*/ 3 h 12"/>
              <a:gd name="T4" fmla="*/ 1 w 12"/>
              <a:gd name="T5" fmla="*/ 2 h 12"/>
              <a:gd name="T6" fmla="*/ 1 w 12"/>
              <a:gd name="T7" fmla="*/ 3 h 12"/>
              <a:gd name="T8" fmla="*/ 1 w 12"/>
              <a:gd name="T9" fmla="*/ 2 h 12"/>
              <a:gd name="T10" fmla="*/ 1 w 12"/>
              <a:gd name="T11" fmla="*/ 2 h 12"/>
              <a:gd name="T12" fmla="*/ 1 w 12"/>
              <a:gd name="T13" fmla="*/ 2 h 12"/>
              <a:gd name="T14" fmla="*/ 1 w 12"/>
              <a:gd name="T15" fmla="*/ 2 h 12"/>
              <a:gd name="T16" fmla="*/ 1 w 12"/>
              <a:gd name="T17" fmla="*/ 2 h 12"/>
              <a:gd name="T18" fmla="*/ 1 w 12"/>
              <a:gd name="T19" fmla="*/ 2 h 12"/>
              <a:gd name="T20" fmla="*/ 1 w 12"/>
              <a:gd name="T21" fmla="*/ 2 h 12"/>
              <a:gd name="T22" fmla="*/ 1 w 12"/>
              <a:gd name="T23" fmla="*/ 1 h 12"/>
              <a:gd name="T24" fmla="*/ 1 w 12"/>
              <a:gd name="T25" fmla="*/ 1 h 12"/>
              <a:gd name="T26" fmla="*/ 1 w 12"/>
              <a:gd name="T27" fmla="*/ 2 h 12"/>
              <a:gd name="T28" fmla="*/ 2 w 12"/>
              <a:gd name="T29" fmla="*/ 2 h 12"/>
              <a:gd name="T30" fmla="*/ 1 w 12"/>
              <a:gd name="T31" fmla="*/ 2 h 12"/>
              <a:gd name="T32" fmla="*/ 2 w 12"/>
              <a:gd name="T33" fmla="*/ 2 h 12"/>
              <a:gd name="T34" fmla="*/ 2 w 12"/>
              <a:gd name="T35" fmla="*/ 1 h 12"/>
              <a:gd name="T36" fmla="*/ 2 w 12"/>
              <a:gd name="T37" fmla="*/ 1 h 12"/>
              <a:gd name="T38" fmla="*/ 2 w 12"/>
              <a:gd name="T39" fmla="*/ 0 h 12"/>
              <a:gd name="T40" fmla="*/ 1 w 12"/>
              <a:gd name="T41" fmla="*/ 0 h 12"/>
              <a:gd name="T42" fmla="*/ 1 w 12"/>
              <a:gd name="T43" fmla="*/ 2 h 12"/>
              <a:gd name="T44" fmla="*/ 1 w 12"/>
              <a:gd name="T45" fmla="*/ 1 h 12"/>
              <a:gd name="T46" fmla="*/ 1 w 12"/>
              <a:gd name="T47" fmla="*/ 1 h 12"/>
              <a:gd name="T48" fmla="*/ 1 w 12"/>
              <a:gd name="T49" fmla="*/ 2 h 12"/>
              <a:gd name="T50" fmla="*/ 1 w 12"/>
              <a:gd name="T51" fmla="*/ 1 h 12"/>
              <a:gd name="T52" fmla="*/ 0 w 12"/>
              <a:gd name="T53" fmla="*/ 1 h 12"/>
              <a:gd name="T54" fmla="*/ 0 w 12"/>
              <a:gd name="T55" fmla="*/ 3 h 12"/>
              <a:gd name="T56" fmla="*/ 0 w 12"/>
              <a:gd name="T57" fmla="*/ 3 h 12"/>
              <a:gd name="T58" fmla="*/ 0 w 12"/>
              <a:gd name="T59" fmla="*/ 3 h 12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12"/>
              <a:gd name="T91" fmla="*/ 0 h 12"/>
              <a:gd name="T92" fmla="*/ 12 w 12"/>
              <a:gd name="T93" fmla="*/ 12 h 12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12" h="12">
                <a:moveTo>
                  <a:pt x="2" y="12"/>
                </a:moveTo>
                <a:lnTo>
                  <a:pt x="6" y="12"/>
                </a:lnTo>
                <a:lnTo>
                  <a:pt x="6" y="8"/>
                </a:lnTo>
                <a:lnTo>
                  <a:pt x="6" y="10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8" y="6"/>
                </a:lnTo>
                <a:lnTo>
                  <a:pt x="6" y="8"/>
                </a:lnTo>
                <a:lnTo>
                  <a:pt x="8" y="6"/>
                </a:lnTo>
                <a:lnTo>
                  <a:pt x="8" y="4"/>
                </a:lnTo>
                <a:lnTo>
                  <a:pt x="6" y="4"/>
                </a:lnTo>
                <a:lnTo>
                  <a:pt x="6" y="6"/>
                </a:lnTo>
                <a:lnTo>
                  <a:pt x="10" y="6"/>
                </a:lnTo>
                <a:lnTo>
                  <a:pt x="8" y="6"/>
                </a:lnTo>
                <a:lnTo>
                  <a:pt x="12" y="6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4" y="0"/>
                </a:lnTo>
                <a:lnTo>
                  <a:pt x="4" y="6"/>
                </a:lnTo>
                <a:lnTo>
                  <a:pt x="6" y="4"/>
                </a:lnTo>
                <a:lnTo>
                  <a:pt x="4" y="4"/>
                </a:lnTo>
                <a:lnTo>
                  <a:pt x="4" y="6"/>
                </a:lnTo>
                <a:lnTo>
                  <a:pt x="6" y="4"/>
                </a:lnTo>
                <a:lnTo>
                  <a:pt x="0" y="4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5" name="Freeform 114"/>
          <xdr:cNvSpPr>
            <a:spLocks/>
          </xdr:cNvSpPr>
        </xdr:nvSpPr>
        <xdr:spPr bwMode="auto">
          <a:xfrm>
            <a:off x="265" y="2133"/>
            <a:ext cx="3" cy="3"/>
          </a:xfrm>
          <a:custGeom>
            <a:avLst/>
            <a:gdLst>
              <a:gd name="T0" fmla="*/ 0 w 10"/>
              <a:gd name="T1" fmla="*/ 1 h 12"/>
              <a:gd name="T2" fmla="*/ 0 w 10"/>
              <a:gd name="T3" fmla="*/ 2 h 12"/>
              <a:gd name="T4" fmla="*/ 1 w 10"/>
              <a:gd name="T5" fmla="*/ 2 h 12"/>
              <a:gd name="T6" fmla="*/ 1 w 10"/>
              <a:gd name="T7" fmla="*/ 1 h 12"/>
              <a:gd name="T8" fmla="*/ 1 w 10"/>
              <a:gd name="T9" fmla="*/ 0 h 12"/>
              <a:gd name="T10" fmla="*/ 0 w 10"/>
              <a:gd name="T11" fmla="*/ 2 h 12"/>
              <a:gd name="T12" fmla="*/ 2 w 10"/>
              <a:gd name="T13" fmla="*/ 2 h 12"/>
              <a:gd name="T14" fmla="*/ 1 w 10"/>
              <a:gd name="T15" fmla="*/ 1 h 12"/>
              <a:gd name="T16" fmla="*/ 2 w 10"/>
              <a:gd name="T17" fmla="*/ 1 h 12"/>
              <a:gd name="T18" fmla="*/ 1 w 10"/>
              <a:gd name="T19" fmla="*/ 2 h 12"/>
              <a:gd name="T20" fmla="*/ 2 w 10"/>
              <a:gd name="T21" fmla="*/ 2 h 12"/>
              <a:gd name="T22" fmla="*/ 2 w 10"/>
              <a:gd name="T23" fmla="*/ 3 h 12"/>
              <a:gd name="T24" fmla="*/ 3 w 10"/>
              <a:gd name="T25" fmla="*/ 3 h 12"/>
              <a:gd name="T26" fmla="*/ 3 w 10"/>
              <a:gd name="T27" fmla="*/ 3 h 12"/>
              <a:gd name="T28" fmla="*/ 3 w 10"/>
              <a:gd name="T29" fmla="*/ 1 h 12"/>
              <a:gd name="T30" fmla="*/ 2 w 10"/>
              <a:gd name="T31" fmla="*/ 2 h 12"/>
              <a:gd name="T32" fmla="*/ 2 w 10"/>
              <a:gd name="T33" fmla="*/ 2 h 12"/>
              <a:gd name="T34" fmla="*/ 2 w 10"/>
              <a:gd name="T35" fmla="*/ 2 h 12"/>
              <a:gd name="T36" fmla="*/ 2 w 10"/>
              <a:gd name="T37" fmla="*/ 1 h 12"/>
              <a:gd name="T38" fmla="*/ 0 w 10"/>
              <a:gd name="T39" fmla="*/ 1 h 12"/>
              <a:gd name="T40" fmla="*/ 0 w 10"/>
              <a:gd name="T41" fmla="*/ 1 h 12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0"/>
              <a:gd name="T64" fmla="*/ 0 h 12"/>
              <a:gd name="T65" fmla="*/ 10 w 10"/>
              <a:gd name="T66" fmla="*/ 12 h 12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0" h="12">
                <a:moveTo>
                  <a:pt x="0" y="2"/>
                </a:moveTo>
                <a:lnTo>
                  <a:pt x="0" y="6"/>
                </a:lnTo>
                <a:lnTo>
                  <a:pt x="4" y="6"/>
                </a:lnTo>
                <a:lnTo>
                  <a:pt x="4" y="4"/>
                </a:lnTo>
                <a:lnTo>
                  <a:pt x="2" y="0"/>
                </a:lnTo>
                <a:lnTo>
                  <a:pt x="0" y="8"/>
                </a:lnTo>
                <a:lnTo>
                  <a:pt x="6" y="8"/>
                </a:lnTo>
                <a:lnTo>
                  <a:pt x="4" y="4"/>
                </a:lnTo>
                <a:lnTo>
                  <a:pt x="6" y="4"/>
                </a:lnTo>
                <a:lnTo>
                  <a:pt x="2" y="6"/>
                </a:lnTo>
                <a:lnTo>
                  <a:pt x="6" y="8"/>
                </a:lnTo>
                <a:lnTo>
                  <a:pt x="6" y="12"/>
                </a:lnTo>
                <a:lnTo>
                  <a:pt x="10" y="12"/>
                </a:lnTo>
                <a:lnTo>
                  <a:pt x="10" y="10"/>
                </a:lnTo>
                <a:lnTo>
                  <a:pt x="10" y="4"/>
                </a:lnTo>
                <a:lnTo>
                  <a:pt x="6" y="6"/>
                </a:lnTo>
                <a:lnTo>
                  <a:pt x="6" y="8"/>
                </a:lnTo>
                <a:lnTo>
                  <a:pt x="8" y="8"/>
                </a:lnTo>
                <a:lnTo>
                  <a:pt x="8" y="4"/>
                </a:lnTo>
                <a:lnTo>
                  <a:pt x="0" y="4"/>
                </a:lnTo>
                <a:lnTo>
                  <a:pt x="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6" name="Freeform 115"/>
          <xdr:cNvSpPr>
            <a:spLocks/>
          </xdr:cNvSpPr>
        </xdr:nvSpPr>
        <xdr:spPr bwMode="auto">
          <a:xfrm>
            <a:off x="254" y="2138"/>
            <a:ext cx="1" cy="1"/>
          </a:xfrm>
          <a:custGeom>
            <a:avLst/>
            <a:gdLst>
              <a:gd name="T0" fmla="*/ 1 w 8"/>
              <a:gd name="T1" fmla="*/ 0 h 11"/>
              <a:gd name="T2" fmla="*/ 1 w 8"/>
              <a:gd name="T3" fmla="*/ 0 h 11"/>
              <a:gd name="T4" fmla="*/ 0 w 8"/>
              <a:gd name="T5" fmla="*/ 0 h 11"/>
              <a:gd name="T6" fmla="*/ 0 w 8"/>
              <a:gd name="T7" fmla="*/ 0 h 11"/>
              <a:gd name="T8" fmla="*/ 1 w 8"/>
              <a:gd name="T9" fmla="*/ 0 h 11"/>
              <a:gd name="T10" fmla="*/ 0 w 8"/>
              <a:gd name="T11" fmla="*/ 0 h 11"/>
              <a:gd name="T12" fmla="*/ 0 w 8"/>
              <a:gd name="T13" fmla="*/ 1 h 11"/>
              <a:gd name="T14" fmla="*/ 0 w 8"/>
              <a:gd name="T15" fmla="*/ 1 h 11"/>
              <a:gd name="T16" fmla="*/ 0 w 8"/>
              <a:gd name="T17" fmla="*/ 0 h 11"/>
              <a:gd name="T18" fmla="*/ 1 w 8"/>
              <a:gd name="T19" fmla="*/ 0 h 11"/>
              <a:gd name="T20" fmla="*/ 0 w 8"/>
              <a:gd name="T21" fmla="*/ 1 h 11"/>
              <a:gd name="T22" fmla="*/ 1 w 8"/>
              <a:gd name="T23" fmla="*/ 1 h 11"/>
              <a:gd name="T24" fmla="*/ 1 w 8"/>
              <a:gd name="T25" fmla="*/ 1 h 11"/>
              <a:gd name="T26" fmla="*/ 1 w 8"/>
              <a:gd name="T27" fmla="*/ 1 h 11"/>
              <a:gd name="T28" fmla="*/ 1 w 8"/>
              <a:gd name="T29" fmla="*/ 1 h 11"/>
              <a:gd name="T30" fmla="*/ 1 w 8"/>
              <a:gd name="T31" fmla="*/ 0 h 11"/>
              <a:gd name="T32" fmla="*/ 1 w 8"/>
              <a:gd name="T33" fmla="*/ 1 h 11"/>
              <a:gd name="T34" fmla="*/ 1 w 8"/>
              <a:gd name="T35" fmla="*/ 1 h 11"/>
              <a:gd name="T36" fmla="*/ 1 w 8"/>
              <a:gd name="T37" fmla="*/ 1 h 11"/>
              <a:gd name="T38" fmla="*/ 1 w 8"/>
              <a:gd name="T39" fmla="*/ 0 h 11"/>
              <a:gd name="T40" fmla="*/ 1 w 8"/>
              <a:gd name="T41" fmla="*/ 0 h 11"/>
              <a:gd name="T42" fmla="*/ 1 w 8"/>
              <a:gd name="T43" fmla="*/ 0 h 11"/>
              <a:gd name="T44" fmla="*/ 1 w 8"/>
              <a:gd name="T45" fmla="*/ 0 h 11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8"/>
              <a:gd name="T70" fmla="*/ 0 h 11"/>
              <a:gd name="T71" fmla="*/ 8 w 8"/>
              <a:gd name="T72" fmla="*/ 11 h 11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8" h="11">
                <a:moveTo>
                  <a:pt x="6" y="2"/>
                </a:moveTo>
                <a:lnTo>
                  <a:pt x="6" y="0"/>
                </a:lnTo>
                <a:lnTo>
                  <a:pt x="2" y="0"/>
                </a:lnTo>
                <a:lnTo>
                  <a:pt x="2" y="2"/>
                </a:lnTo>
                <a:lnTo>
                  <a:pt x="4" y="0"/>
                </a:lnTo>
                <a:lnTo>
                  <a:pt x="0" y="0"/>
                </a:lnTo>
                <a:lnTo>
                  <a:pt x="0" y="6"/>
                </a:lnTo>
                <a:lnTo>
                  <a:pt x="2" y="6"/>
                </a:lnTo>
                <a:lnTo>
                  <a:pt x="2" y="4"/>
                </a:lnTo>
                <a:lnTo>
                  <a:pt x="4" y="4"/>
                </a:lnTo>
                <a:lnTo>
                  <a:pt x="0" y="6"/>
                </a:lnTo>
                <a:lnTo>
                  <a:pt x="4" y="7"/>
                </a:lnTo>
                <a:lnTo>
                  <a:pt x="4" y="11"/>
                </a:lnTo>
                <a:lnTo>
                  <a:pt x="8" y="11"/>
                </a:lnTo>
                <a:lnTo>
                  <a:pt x="8" y="9"/>
                </a:lnTo>
                <a:lnTo>
                  <a:pt x="8" y="4"/>
                </a:lnTo>
                <a:lnTo>
                  <a:pt x="4" y="6"/>
                </a:lnTo>
                <a:lnTo>
                  <a:pt x="4" y="7"/>
                </a:lnTo>
                <a:lnTo>
                  <a:pt x="6" y="7"/>
                </a:lnTo>
                <a:lnTo>
                  <a:pt x="6" y="2"/>
                </a:lnTo>
                <a:lnTo>
                  <a:pt x="4" y="2"/>
                </a:lnTo>
                <a:lnTo>
                  <a:pt x="4" y="4"/>
                </a:lnTo>
                <a:lnTo>
                  <a:pt x="6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7" name="Freeform 116"/>
          <xdr:cNvSpPr>
            <a:spLocks/>
          </xdr:cNvSpPr>
        </xdr:nvSpPr>
        <xdr:spPr bwMode="auto">
          <a:xfrm>
            <a:off x="266" y="2136"/>
            <a:ext cx="3" cy="3"/>
          </a:xfrm>
          <a:custGeom>
            <a:avLst/>
            <a:gdLst>
              <a:gd name="T0" fmla="*/ 1 w 10"/>
              <a:gd name="T1" fmla="*/ 1 h 11"/>
              <a:gd name="T2" fmla="*/ 2 w 10"/>
              <a:gd name="T3" fmla="*/ 1 h 11"/>
              <a:gd name="T4" fmla="*/ 2 w 10"/>
              <a:gd name="T5" fmla="*/ 0 h 11"/>
              <a:gd name="T6" fmla="*/ 1 w 10"/>
              <a:gd name="T7" fmla="*/ 0 h 11"/>
              <a:gd name="T8" fmla="*/ 0 w 10"/>
              <a:gd name="T9" fmla="*/ 1 h 11"/>
              <a:gd name="T10" fmla="*/ 1 w 10"/>
              <a:gd name="T11" fmla="*/ 1 h 11"/>
              <a:gd name="T12" fmla="*/ 1 w 10"/>
              <a:gd name="T13" fmla="*/ 2 h 11"/>
              <a:gd name="T14" fmla="*/ 1 w 10"/>
              <a:gd name="T15" fmla="*/ 2 h 11"/>
              <a:gd name="T16" fmla="*/ 1 w 10"/>
              <a:gd name="T17" fmla="*/ 2 h 11"/>
              <a:gd name="T18" fmla="*/ 2 w 10"/>
              <a:gd name="T19" fmla="*/ 2 h 11"/>
              <a:gd name="T20" fmla="*/ 1 w 10"/>
              <a:gd name="T21" fmla="*/ 2 h 11"/>
              <a:gd name="T22" fmla="*/ 2 w 10"/>
              <a:gd name="T23" fmla="*/ 2 h 11"/>
              <a:gd name="T24" fmla="*/ 2 w 10"/>
              <a:gd name="T25" fmla="*/ 2 h 11"/>
              <a:gd name="T26" fmla="*/ 2 w 10"/>
              <a:gd name="T27" fmla="*/ 3 h 11"/>
              <a:gd name="T28" fmla="*/ 3 w 10"/>
              <a:gd name="T29" fmla="*/ 3 h 11"/>
              <a:gd name="T30" fmla="*/ 3 w 10"/>
              <a:gd name="T31" fmla="*/ 2 h 11"/>
              <a:gd name="T32" fmla="*/ 3 w 10"/>
              <a:gd name="T33" fmla="*/ 2 h 11"/>
              <a:gd name="T34" fmla="*/ 2 w 10"/>
              <a:gd name="T35" fmla="*/ 2 h 11"/>
              <a:gd name="T36" fmla="*/ 2 w 10"/>
              <a:gd name="T37" fmla="*/ 2 h 11"/>
              <a:gd name="T38" fmla="*/ 2 w 10"/>
              <a:gd name="T39" fmla="*/ 2 h 11"/>
              <a:gd name="T40" fmla="*/ 2 w 10"/>
              <a:gd name="T41" fmla="*/ 1 h 11"/>
              <a:gd name="T42" fmla="*/ 2 w 10"/>
              <a:gd name="T43" fmla="*/ 1 h 11"/>
              <a:gd name="T44" fmla="*/ 2 w 10"/>
              <a:gd name="T45" fmla="*/ 0 h 11"/>
              <a:gd name="T46" fmla="*/ 1 w 10"/>
              <a:gd name="T47" fmla="*/ 1 h 11"/>
              <a:gd name="T48" fmla="*/ 1 w 10"/>
              <a:gd name="T49" fmla="*/ 1 h 11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0"/>
              <a:gd name="T76" fmla="*/ 0 h 11"/>
              <a:gd name="T77" fmla="*/ 10 w 10"/>
              <a:gd name="T78" fmla="*/ 11 h 11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0" h="11">
                <a:moveTo>
                  <a:pt x="4" y="4"/>
                </a:moveTo>
                <a:lnTo>
                  <a:pt x="6" y="4"/>
                </a:lnTo>
                <a:lnTo>
                  <a:pt x="6" y="0"/>
                </a:lnTo>
                <a:lnTo>
                  <a:pt x="4" y="0"/>
                </a:lnTo>
                <a:lnTo>
                  <a:pt x="0" y="2"/>
                </a:lnTo>
                <a:lnTo>
                  <a:pt x="2" y="4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6" y="6"/>
                </a:lnTo>
                <a:lnTo>
                  <a:pt x="2" y="8"/>
                </a:lnTo>
                <a:lnTo>
                  <a:pt x="6" y="9"/>
                </a:lnTo>
                <a:lnTo>
                  <a:pt x="6" y="8"/>
                </a:lnTo>
                <a:lnTo>
                  <a:pt x="6" y="11"/>
                </a:lnTo>
                <a:lnTo>
                  <a:pt x="10" y="11"/>
                </a:lnTo>
                <a:lnTo>
                  <a:pt x="10" y="9"/>
                </a:lnTo>
                <a:lnTo>
                  <a:pt x="10" y="6"/>
                </a:lnTo>
                <a:lnTo>
                  <a:pt x="6" y="8"/>
                </a:lnTo>
                <a:lnTo>
                  <a:pt x="6" y="9"/>
                </a:lnTo>
                <a:lnTo>
                  <a:pt x="8" y="9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4" y="2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8" name="Freeform 117"/>
          <xdr:cNvSpPr>
            <a:spLocks/>
          </xdr:cNvSpPr>
        </xdr:nvSpPr>
        <xdr:spPr bwMode="auto">
          <a:xfrm>
            <a:off x="270" y="2140"/>
            <a:ext cx="1" cy="3"/>
          </a:xfrm>
          <a:custGeom>
            <a:avLst/>
            <a:gdLst>
              <a:gd name="T0" fmla="*/ 1 w 8"/>
              <a:gd name="T1" fmla="*/ 1 h 12"/>
              <a:gd name="T2" fmla="*/ 1 w 8"/>
              <a:gd name="T3" fmla="*/ 0 h 12"/>
              <a:gd name="T4" fmla="*/ 0 w 8"/>
              <a:gd name="T5" fmla="*/ 0 h 12"/>
              <a:gd name="T6" fmla="*/ 0 w 8"/>
              <a:gd name="T7" fmla="*/ 1 h 12"/>
              <a:gd name="T8" fmla="*/ 0 w 8"/>
              <a:gd name="T9" fmla="*/ 1 h 12"/>
              <a:gd name="T10" fmla="*/ 1 w 8"/>
              <a:gd name="T11" fmla="*/ 1 h 12"/>
              <a:gd name="T12" fmla="*/ 1 w 8"/>
              <a:gd name="T13" fmla="*/ 2 h 12"/>
              <a:gd name="T14" fmla="*/ 1 w 8"/>
              <a:gd name="T15" fmla="*/ 1 h 12"/>
              <a:gd name="T16" fmla="*/ 0 w 8"/>
              <a:gd name="T17" fmla="*/ 1 h 12"/>
              <a:gd name="T18" fmla="*/ 0 w 8"/>
              <a:gd name="T19" fmla="*/ 3 h 12"/>
              <a:gd name="T20" fmla="*/ 1 w 8"/>
              <a:gd name="T21" fmla="*/ 3 h 12"/>
              <a:gd name="T22" fmla="*/ 1 w 8"/>
              <a:gd name="T23" fmla="*/ 3 h 12"/>
              <a:gd name="T24" fmla="*/ 1 w 8"/>
              <a:gd name="T25" fmla="*/ 3 h 12"/>
              <a:gd name="T26" fmla="*/ 1 w 8"/>
              <a:gd name="T27" fmla="*/ 3 h 12"/>
              <a:gd name="T28" fmla="*/ 1 w 8"/>
              <a:gd name="T29" fmla="*/ 2 h 12"/>
              <a:gd name="T30" fmla="*/ 1 w 8"/>
              <a:gd name="T31" fmla="*/ 2 h 12"/>
              <a:gd name="T32" fmla="*/ 1 w 8"/>
              <a:gd name="T33" fmla="*/ 2 h 12"/>
              <a:gd name="T34" fmla="*/ 1 w 8"/>
              <a:gd name="T35" fmla="*/ 2 h 12"/>
              <a:gd name="T36" fmla="*/ 1 w 8"/>
              <a:gd name="T37" fmla="*/ 1 h 12"/>
              <a:gd name="T38" fmla="*/ 1 w 8"/>
              <a:gd name="T39" fmla="*/ 0 h 12"/>
              <a:gd name="T40" fmla="*/ 0 w 8"/>
              <a:gd name="T41" fmla="*/ 0 h 12"/>
              <a:gd name="T42" fmla="*/ 1 w 8"/>
              <a:gd name="T43" fmla="*/ 1 h 12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"/>
              <a:gd name="T67" fmla="*/ 0 h 12"/>
              <a:gd name="T68" fmla="*/ 8 w 8"/>
              <a:gd name="T69" fmla="*/ 12 h 12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" h="1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2" y="4"/>
                </a:lnTo>
                <a:lnTo>
                  <a:pt x="4" y="4"/>
                </a:lnTo>
                <a:lnTo>
                  <a:pt x="4" y="6"/>
                </a:lnTo>
                <a:lnTo>
                  <a:pt x="6" y="4"/>
                </a:lnTo>
                <a:lnTo>
                  <a:pt x="2" y="4"/>
                </a:lnTo>
                <a:lnTo>
                  <a:pt x="2" y="10"/>
                </a:lnTo>
                <a:lnTo>
                  <a:pt x="4" y="10"/>
                </a:lnTo>
                <a:lnTo>
                  <a:pt x="4" y="12"/>
                </a:lnTo>
                <a:lnTo>
                  <a:pt x="8" y="12"/>
                </a:lnTo>
                <a:lnTo>
                  <a:pt x="8" y="10"/>
                </a:lnTo>
                <a:lnTo>
                  <a:pt x="8" y="6"/>
                </a:lnTo>
                <a:lnTo>
                  <a:pt x="6" y="6"/>
                </a:lnTo>
                <a:lnTo>
                  <a:pt x="6" y="8"/>
                </a:lnTo>
                <a:lnTo>
                  <a:pt x="8" y="6"/>
                </a:lnTo>
                <a:lnTo>
                  <a:pt x="8" y="4"/>
                </a:lnTo>
                <a:lnTo>
                  <a:pt x="4" y="0"/>
                </a:lnTo>
                <a:lnTo>
                  <a:pt x="2" y="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19" name="Freeform 118"/>
          <xdr:cNvSpPr>
            <a:spLocks/>
          </xdr:cNvSpPr>
        </xdr:nvSpPr>
        <xdr:spPr bwMode="auto">
          <a:xfrm>
            <a:off x="256" y="2140"/>
            <a:ext cx="3" cy="3"/>
          </a:xfrm>
          <a:custGeom>
            <a:avLst/>
            <a:gdLst>
              <a:gd name="T0" fmla="*/ 2 w 8"/>
              <a:gd name="T1" fmla="*/ 1 h 10"/>
              <a:gd name="T2" fmla="*/ 2 w 8"/>
              <a:gd name="T3" fmla="*/ 0 h 10"/>
              <a:gd name="T4" fmla="*/ 1 w 8"/>
              <a:gd name="T5" fmla="*/ 0 h 10"/>
              <a:gd name="T6" fmla="*/ 2 w 8"/>
              <a:gd name="T7" fmla="*/ 0 h 10"/>
              <a:gd name="T8" fmla="*/ 0 w 8"/>
              <a:gd name="T9" fmla="*/ 1 h 10"/>
              <a:gd name="T10" fmla="*/ 2 w 8"/>
              <a:gd name="T11" fmla="*/ 1 h 10"/>
              <a:gd name="T12" fmla="*/ 2 w 8"/>
              <a:gd name="T13" fmla="*/ 2 h 10"/>
              <a:gd name="T14" fmla="*/ 3 w 8"/>
              <a:gd name="T15" fmla="*/ 2 h 10"/>
              <a:gd name="T16" fmla="*/ 3 w 8"/>
              <a:gd name="T17" fmla="*/ 1 h 10"/>
              <a:gd name="T18" fmla="*/ 1 w 8"/>
              <a:gd name="T19" fmla="*/ 1 h 10"/>
              <a:gd name="T20" fmla="*/ 1 w 8"/>
              <a:gd name="T21" fmla="*/ 3 h 10"/>
              <a:gd name="T22" fmla="*/ 3 w 8"/>
              <a:gd name="T23" fmla="*/ 3 h 10"/>
              <a:gd name="T24" fmla="*/ 3 w 8"/>
              <a:gd name="T25" fmla="*/ 2 h 10"/>
              <a:gd name="T26" fmla="*/ 2 w 8"/>
              <a:gd name="T27" fmla="*/ 2 h 10"/>
              <a:gd name="T28" fmla="*/ 2 w 8"/>
              <a:gd name="T29" fmla="*/ 2 h 10"/>
              <a:gd name="T30" fmla="*/ 2 w 8"/>
              <a:gd name="T31" fmla="*/ 2 h 10"/>
              <a:gd name="T32" fmla="*/ 2 w 8"/>
              <a:gd name="T33" fmla="*/ 2 h 10"/>
              <a:gd name="T34" fmla="*/ 3 w 8"/>
              <a:gd name="T35" fmla="*/ 2 h 10"/>
              <a:gd name="T36" fmla="*/ 3 w 8"/>
              <a:gd name="T37" fmla="*/ 0 h 10"/>
              <a:gd name="T38" fmla="*/ 2 w 8"/>
              <a:gd name="T39" fmla="*/ 1 h 10"/>
              <a:gd name="T40" fmla="*/ 2 w 8"/>
              <a:gd name="T41" fmla="*/ 1 h 10"/>
              <a:gd name="T42" fmla="*/ 2 w 8"/>
              <a:gd name="T43" fmla="*/ 1 h 10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"/>
              <a:gd name="T67" fmla="*/ 0 h 10"/>
              <a:gd name="T68" fmla="*/ 8 w 8"/>
              <a:gd name="T69" fmla="*/ 10 h 10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" h="10">
                <a:moveTo>
                  <a:pt x="6" y="4"/>
                </a:moveTo>
                <a:lnTo>
                  <a:pt x="6" y="0"/>
                </a:lnTo>
                <a:lnTo>
                  <a:pt x="2" y="0"/>
                </a:lnTo>
                <a:lnTo>
                  <a:pt x="4" y="0"/>
                </a:lnTo>
                <a:lnTo>
                  <a:pt x="0" y="2"/>
                </a:lnTo>
                <a:lnTo>
                  <a:pt x="4" y="4"/>
                </a:lnTo>
                <a:lnTo>
                  <a:pt x="4" y="6"/>
                </a:lnTo>
                <a:lnTo>
                  <a:pt x="8" y="6"/>
                </a:lnTo>
                <a:lnTo>
                  <a:pt x="8" y="2"/>
                </a:lnTo>
                <a:lnTo>
                  <a:pt x="2" y="2"/>
                </a:lnTo>
                <a:lnTo>
                  <a:pt x="2" y="10"/>
                </a:lnTo>
                <a:lnTo>
                  <a:pt x="8" y="10"/>
                </a:lnTo>
                <a:lnTo>
                  <a:pt x="8" y="6"/>
                </a:lnTo>
                <a:lnTo>
                  <a:pt x="4" y="6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8" y="8"/>
                </a:lnTo>
                <a:lnTo>
                  <a:pt x="8" y="0"/>
                </a:lnTo>
                <a:lnTo>
                  <a:pt x="4" y="2"/>
                </a:lnTo>
                <a:lnTo>
                  <a:pt x="4" y="4"/>
                </a:lnTo>
                <a:lnTo>
                  <a:pt x="6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0" name="Freeform 119"/>
          <xdr:cNvSpPr>
            <a:spLocks/>
          </xdr:cNvSpPr>
        </xdr:nvSpPr>
        <xdr:spPr bwMode="auto">
          <a:xfrm>
            <a:off x="258" y="2147"/>
            <a:ext cx="2" cy="5"/>
          </a:xfrm>
          <a:custGeom>
            <a:avLst/>
            <a:gdLst>
              <a:gd name="T0" fmla="*/ 1 w 11"/>
              <a:gd name="T1" fmla="*/ 1 h 16"/>
              <a:gd name="T2" fmla="*/ 1 w 11"/>
              <a:gd name="T3" fmla="*/ 0 h 16"/>
              <a:gd name="T4" fmla="*/ 0 w 11"/>
              <a:gd name="T5" fmla="*/ 0 h 16"/>
              <a:gd name="T6" fmla="*/ 0 w 11"/>
              <a:gd name="T7" fmla="*/ 3 h 16"/>
              <a:gd name="T8" fmla="*/ 0 w 11"/>
              <a:gd name="T9" fmla="*/ 4 h 16"/>
              <a:gd name="T10" fmla="*/ 0 w 11"/>
              <a:gd name="T11" fmla="*/ 3 h 16"/>
              <a:gd name="T12" fmla="*/ 0 w 11"/>
              <a:gd name="T13" fmla="*/ 4 h 16"/>
              <a:gd name="T14" fmla="*/ 1 w 11"/>
              <a:gd name="T15" fmla="*/ 4 h 16"/>
              <a:gd name="T16" fmla="*/ 1 w 11"/>
              <a:gd name="T17" fmla="*/ 5 h 16"/>
              <a:gd name="T18" fmla="*/ 2 w 11"/>
              <a:gd name="T19" fmla="*/ 5 h 16"/>
              <a:gd name="T20" fmla="*/ 2 w 11"/>
              <a:gd name="T21" fmla="*/ 4 h 16"/>
              <a:gd name="T22" fmla="*/ 2 w 11"/>
              <a:gd name="T23" fmla="*/ 4 h 16"/>
              <a:gd name="T24" fmla="*/ 1 w 11"/>
              <a:gd name="T25" fmla="*/ 4 h 16"/>
              <a:gd name="T26" fmla="*/ 1 w 11"/>
              <a:gd name="T27" fmla="*/ 3 h 16"/>
              <a:gd name="T28" fmla="*/ 1 w 11"/>
              <a:gd name="T29" fmla="*/ 3 h 16"/>
              <a:gd name="T30" fmla="*/ 1 w 11"/>
              <a:gd name="T31" fmla="*/ 3 h 16"/>
              <a:gd name="T32" fmla="*/ 1 w 11"/>
              <a:gd name="T33" fmla="*/ 1 h 1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1"/>
              <a:gd name="T52" fmla="*/ 0 h 16"/>
              <a:gd name="T53" fmla="*/ 11 w 11"/>
              <a:gd name="T54" fmla="*/ 16 h 16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1" h="16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2" y="12"/>
                </a:lnTo>
                <a:lnTo>
                  <a:pt x="2" y="10"/>
                </a:lnTo>
                <a:lnTo>
                  <a:pt x="2" y="14"/>
                </a:lnTo>
                <a:lnTo>
                  <a:pt x="6" y="14"/>
                </a:lnTo>
                <a:lnTo>
                  <a:pt x="8" y="16"/>
                </a:lnTo>
                <a:lnTo>
                  <a:pt x="11" y="16"/>
                </a:lnTo>
                <a:lnTo>
                  <a:pt x="11" y="12"/>
                </a:lnTo>
                <a:lnTo>
                  <a:pt x="9" y="12"/>
                </a:lnTo>
                <a:lnTo>
                  <a:pt x="8" y="12"/>
                </a:lnTo>
                <a:lnTo>
                  <a:pt x="6" y="10"/>
                </a:lnTo>
                <a:lnTo>
                  <a:pt x="6" y="8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1" name="Freeform 120"/>
          <xdr:cNvSpPr>
            <a:spLocks/>
          </xdr:cNvSpPr>
        </xdr:nvSpPr>
        <xdr:spPr bwMode="auto">
          <a:xfrm>
            <a:off x="269" y="2147"/>
            <a:ext cx="2" cy="5"/>
          </a:xfrm>
          <a:custGeom>
            <a:avLst/>
            <a:gdLst>
              <a:gd name="T0" fmla="*/ 2 w 12"/>
              <a:gd name="T1" fmla="*/ 1 h 16"/>
              <a:gd name="T2" fmla="*/ 2 w 12"/>
              <a:gd name="T3" fmla="*/ 0 h 16"/>
              <a:gd name="T4" fmla="*/ 1 w 12"/>
              <a:gd name="T5" fmla="*/ 0 h 16"/>
              <a:gd name="T6" fmla="*/ 1 w 12"/>
              <a:gd name="T7" fmla="*/ 1 h 16"/>
              <a:gd name="T8" fmla="*/ 2 w 12"/>
              <a:gd name="T9" fmla="*/ 0 h 16"/>
              <a:gd name="T10" fmla="*/ 1 w 12"/>
              <a:gd name="T11" fmla="*/ 0 h 16"/>
              <a:gd name="T12" fmla="*/ 1 w 12"/>
              <a:gd name="T13" fmla="*/ 3 h 16"/>
              <a:gd name="T14" fmla="*/ 1 w 12"/>
              <a:gd name="T15" fmla="*/ 3 h 16"/>
              <a:gd name="T16" fmla="*/ 0 w 12"/>
              <a:gd name="T17" fmla="*/ 3 h 16"/>
              <a:gd name="T18" fmla="*/ 0 w 12"/>
              <a:gd name="T19" fmla="*/ 3 h 16"/>
              <a:gd name="T20" fmla="*/ 0 w 12"/>
              <a:gd name="T21" fmla="*/ 3 h 16"/>
              <a:gd name="T22" fmla="*/ 0 w 12"/>
              <a:gd name="T23" fmla="*/ 4 h 16"/>
              <a:gd name="T24" fmla="*/ 0 w 12"/>
              <a:gd name="T25" fmla="*/ 5 h 16"/>
              <a:gd name="T26" fmla="*/ 1 w 12"/>
              <a:gd name="T27" fmla="*/ 5 h 16"/>
              <a:gd name="T28" fmla="*/ 1 w 12"/>
              <a:gd name="T29" fmla="*/ 4 h 16"/>
              <a:gd name="T30" fmla="*/ 0 w 12"/>
              <a:gd name="T31" fmla="*/ 4 h 16"/>
              <a:gd name="T32" fmla="*/ 1 w 12"/>
              <a:gd name="T33" fmla="*/ 4 h 16"/>
              <a:gd name="T34" fmla="*/ 1 w 12"/>
              <a:gd name="T35" fmla="*/ 4 h 16"/>
              <a:gd name="T36" fmla="*/ 1 w 12"/>
              <a:gd name="T37" fmla="*/ 4 h 16"/>
              <a:gd name="T38" fmla="*/ 2 w 12"/>
              <a:gd name="T39" fmla="*/ 4 h 16"/>
              <a:gd name="T40" fmla="*/ 2 w 12"/>
              <a:gd name="T41" fmla="*/ 1 h 16"/>
              <a:gd name="T42" fmla="*/ 2 w 12"/>
              <a:gd name="T43" fmla="*/ 1 h 1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"/>
              <a:gd name="T67" fmla="*/ 0 h 16"/>
              <a:gd name="T68" fmla="*/ 12 w 12"/>
              <a:gd name="T69" fmla="*/ 16 h 16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" h="16">
                <a:moveTo>
                  <a:pt x="12" y="2"/>
                </a:moveTo>
                <a:lnTo>
                  <a:pt x="12" y="0"/>
                </a:lnTo>
                <a:lnTo>
                  <a:pt x="8" y="0"/>
                </a:lnTo>
                <a:lnTo>
                  <a:pt x="8" y="2"/>
                </a:lnTo>
                <a:lnTo>
                  <a:pt x="10" y="0"/>
                </a:lnTo>
                <a:lnTo>
                  <a:pt x="6" y="0"/>
                </a:lnTo>
                <a:lnTo>
                  <a:pt x="6" y="10"/>
                </a:lnTo>
                <a:lnTo>
                  <a:pt x="8" y="8"/>
                </a:lnTo>
                <a:lnTo>
                  <a:pt x="2" y="8"/>
                </a:lnTo>
                <a:lnTo>
                  <a:pt x="2" y="10"/>
                </a:lnTo>
                <a:lnTo>
                  <a:pt x="0" y="10"/>
                </a:lnTo>
                <a:lnTo>
                  <a:pt x="0" y="14"/>
                </a:lnTo>
                <a:lnTo>
                  <a:pt x="2" y="16"/>
                </a:lnTo>
                <a:lnTo>
                  <a:pt x="4" y="16"/>
                </a:lnTo>
                <a:lnTo>
                  <a:pt x="4" y="12"/>
                </a:lnTo>
                <a:lnTo>
                  <a:pt x="2" y="12"/>
                </a:lnTo>
                <a:lnTo>
                  <a:pt x="4" y="14"/>
                </a:lnTo>
                <a:lnTo>
                  <a:pt x="6" y="14"/>
                </a:lnTo>
                <a:lnTo>
                  <a:pt x="6" y="12"/>
                </a:lnTo>
                <a:lnTo>
                  <a:pt x="10" y="12"/>
                </a:lnTo>
                <a:lnTo>
                  <a:pt x="10" y="4"/>
                </a:lnTo>
                <a:lnTo>
                  <a:pt x="12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2" name="Freeform 121"/>
          <xdr:cNvSpPr>
            <a:spLocks/>
          </xdr:cNvSpPr>
        </xdr:nvSpPr>
        <xdr:spPr bwMode="auto">
          <a:xfrm>
            <a:off x="255" y="2135"/>
            <a:ext cx="11" cy="0"/>
          </a:xfrm>
          <a:custGeom>
            <a:avLst/>
            <a:gdLst>
              <a:gd name="T0" fmla="*/ 0 w 51"/>
              <a:gd name="T1" fmla="*/ 0 h 4"/>
              <a:gd name="T2" fmla="*/ 0 w 51"/>
              <a:gd name="T3" fmla="*/ 0 h 4"/>
              <a:gd name="T4" fmla="*/ 0 w 51"/>
              <a:gd name="T5" fmla="*/ 0 h 4"/>
              <a:gd name="T6" fmla="*/ 11 w 51"/>
              <a:gd name="T7" fmla="*/ 0 h 4"/>
              <a:gd name="T8" fmla="*/ 11 w 51"/>
              <a:gd name="T9" fmla="*/ 0 h 4"/>
              <a:gd name="T10" fmla="*/ 11 w 51"/>
              <a:gd name="T11" fmla="*/ 0 h 4"/>
              <a:gd name="T12" fmla="*/ 0 w 51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1"/>
              <a:gd name="T22" fmla="*/ 0 h 4"/>
              <a:gd name="T23" fmla="*/ 51 w 51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1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51" y="4"/>
                </a:lnTo>
                <a:lnTo>
                  <a:pt x="51" y="0"/>
                </a:lnTo>
                <a:lnTo>
                  <a:pt x="49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3" name="Freeform 122"/>
          <xdr:cNvSpPr>
            <a:spLocks/>
          </xdr:cNvSpPr>
        </xdr:nvSpPr>
        <xdr:spPr bwMode="auto">
          <a:xfrm>
            <a:off x="259" y="2152"/>
            <a:ext cx="11" cy="0"/>
          </a:xfrm>
          <a:custGeom>
            <a:avLst/>
            <a:gdLst>
              <a:gd name="T0" fmla="*/ 0 w 51"/>
              <a:gd name="T1" fmla="*/ 0 h 4"/>
              <a:gd name="T2" fmla="*/ 0 w 51"/>
              <a:gd name="T3" fmla="*/ 0 h 4"/>
              <a:gd name="T4" fmla="*/ 0 w 51"/>
              <a:gd name="T5" fmla="*/ 0 h 4"/>
              <a:gd name="T6" fmla="*/ 11 w 51"/>
              <a:gd name="T7" fmla="*/ 0 h 4"/>
              <a:gd name="T8" fmla="*/ 11 w 51"/>
              <a:gd name="T9" fmla="*/ 0 h 4"/>
              <a:gd name="T10" fmla="*/ 11 w 51"/>
              <a:gd name="T11" fmla="*/ 0 h 4"/>
              <a:gd name="T12" fmla="*/ 0 w 51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1"/>
              <a:gd name="T22" fmla="*/ 0 h 4"/>
              <a:gd name="T23" fmla="*/ 51 w 51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1" h="4">
                <a:moveTo>
                  <a:pt x="1" y="0"/>
                </a:moveTo>
                <a:lnTo>
                  <a:pt x="0" y="0"/>
                </a:lnTo>
                <a:lnTo>
                  <a:pt x="0" y="4"/>
                </a:lnTo>
                <a:lnTo>
                  <a:pt x="51" y="4"/>
                </a:lnTo>
                <a:lnTo>
                  <a:pt x="51" y="0"/>
                </a:lnTo>
                <a:lnTo>
                  <a:pt x="49" y="0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4" name="Freeform 123"/>
          <xdr:cNvSpPr>
            <a:spLocks/>
          </xdr:cNvSpPr>
        </xdr:nvSpPr>
        <xdr:spPr bwMode="auto">
          <a:xfrm>
            <a:off x="258" y="2142"/>
            <a:ext cx="1" cy="7"/>
          </a:xfrm>
          <a:custGeom>
            <a:avLst/>
            <a:gdLst>
              <a:gd name="T0" fmla="*/ 1 w 4"/>
              <a:gd name="T1" fmla="*/ 0 h 29"/>
              <a:gd name="T2" fmla="*/ 1 w 4"/>
              <a:gd name="T3" fmla="*/ 0 h 29"/>
              <a:gd name="T4" fmla="*/ 0 w 4"/>
              <a:gd name="T5" fmla="*/ 0 h 29"/>
              <a:gd name="T6" fmla="*/ 0 w 4"/>
              <a:gd name="T7" fmla="*/ 7 h 29"/>
              <a:gd name="T8" fmla="*/ 1 w 4"/>
              <a:gd name="T9" fmla="*/ 7 h 29"/>
              <a:gd name="T10" fmla="*/ 1 w 4"/>
              <a:gd name="T11" fmla="*/ 7 h 29"/>
              <a:gd name="T12" fmla="*/ 1 w 4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9"/>
              <a:gd name="T23" fmla="*/ 4 w 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5" name="Freeform 124"/>
          <xdr:cNvSpPr>
            <a:spLocks/>
          </xdr:cNvSpPr>
        </xdr:nvSpPr>
        <xdr:spPr bwMode="auto">
          <a:xfrm>
            <a:off x="270" y="2142"/>
            <a:ext cx="1" cy="7"/>
          </a:xfrm>
          <a:custGeom>
            <a:avLst/>
            <a:gdLst>
              <a:gd name="T0" fmla="*/ 1 w 4"/>
              <a:gd name="T1" fmla="*/ 0 h 29"/>
              <a:gd name="T2" fmla="*/ 1 w 4"/>
              <a:gd name="T3" fmla="*/ 0 h 29"/>
              <a:gd name="T4" fmla="*/ 0 w 4"/>
              <a:gd name="T5" fmla="*/ 0 h 29"/>
              <a:gd name="T6" fmla="*/ 0 w 4"/>
              <a:gd name="T7" fmla="*/ 7 h 29"/>
              <a:gd name="T8" fmla="*/ 1 w 4"/>
              <a:gd name="T9" fmla="*/ 7 h 29"/>
              <a:gd name="T10" fmla="*/ 1 w 4"/>
              <a:gd name="T11" fmla="*/ 7 h 29"/>
              <a:gd name="T12" fmla="*/ 1 w 4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9"/>
              <a:gd name="T23" fmla="*/ 4 w 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6" name="Freeform 125"/>
          <xdr:cNvSpPr>
            <a:spLocks/>
          </xdr:cNvSpPr>
        </xdr:nvSpPr>
        <xdr:spPr bwMode="auto">
          <a:xfrm>
            <a:off x="255" y="2135"/>
            <a:ext cx="0" cy="3"/>
          </a:xfrm>
          <a:custGeom>
            <a:avLst/>
            <a:gdLst>
              <a:gd name="T0" fmla="*/ 0 w 4"/>
              <a:gd name="T1" fmla="*/ 1 h 10"/>
              <a:gd name="T2" fmla="*/ 0 w 4"/>
              <a:gd name="T3" fmla="*/ 0 h 10"/>
              <a:gd name="T4" fmla="*/ 0 w 4"/>
              <a:gd name="T5" fmla="*/ 0 h 10"/>
              <a:gd name="T6" fmla="*/ 0 w 4"/>
              <a:gd name="T7" fmla="*/ 3 h 10"/>
              <a:gd name="T8" fmla="*/ 0 w 4"/>
              <a:gd name="T9" fmla="*/ 3 h 10"/>
              <a:gd name="T10" fmla="*/ 0 w 4"/>
              <a:gd name="T11" fmla="*/ 2 h 10"/>
              <a:gd name="T12" fmla="*/ 0 w 4"/>
              <a:gd name="T13" fmla="*/ 1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0"/>
              <a:gd name="T23" fmla="*/ 0 w 4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0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0"/>
                </a:lnTo>
                <a:lnTo>
                  <a:pt x="4" y="10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7" name="Freeform 126"/>
          <xdr:cNvSpPr>
            <a:spLocks/>
          </xdr:cNvSpPr>
        </xdr:nvSpPr>
        <xdr:spPr bwMode="auto">
          <a:xfrm>
            <a:off x="266" y="2135"/>
            <a:ext cx="2" cy="3"/>
          </a:xfrm>
          <a:custGeom>
            <a:avLst/>
            <a:gdLst>
              <a:gd name="T0" fmla="*/ 2 w 4"/>
              <a:gd name="T1" fmla="*/ 1 h 8"/>
              <a:gd name="T2" fmla="*/ 2 w 4"/>
              <a:gd name="T3" fmla="*/ 0 h 8"/>
              <a:gd name="T4" fmla="*/ 0 w 4"/>
              <a:gd name="T5" fmla="*/ 0 h 8"/>
              <a:gd name="T6" fmla="*/ 0 w 4"/>
              <a:gd name="T7" fmla="*/ 3 h 8"/>
              <a:gd name="T8" fmla="*/ 2 w 4"/>
              <a:gd name="T9" fmla="*/ 3 h 8"/>
              <a:gd name="T10" fmla="*/ 2 w 4"/>
              <a:gd name="T11" fmla="*/ 2 h 8"/>
              <a:gd name="T12" fmla="*/ 2 w 4"/>
              <a:gd name="T13" fmla="*/ 1 h 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8"/>
              <a:gd name="T23" fmla="*/ 4 w 4"/>
              <a:gd name="T24" fmla="*/ 8 h 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8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4" y="8"/>
                </a:lnTo>
                <a:lnTo>
                  <a:pt x="4" y="6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8" name="Freeform 127"/>
          <xdr:cNvSpPr>
            <a:spLocks/>
          </xdr:cNvSpPr>
        </xdr:nvSpPr>
        <xdr:spPr bwMode="auto">
          <a:xfrm>
            <a:off x="255" y="2139"/>
            <a:ext cx="3" cy="3"/>
          </a:xfrm>
          <a:custGeom>
            <a:avLst/>
            <a:gdLst>
              <a:gd name="T0" fmla="*/ 1 w 14"/>
              <a:gd name="T1" fmla="*/ 0 h 14"/>
              <a:gd name="T2" fmla="*/ 0 w 14"/>
              <a:gd name="T3" fmla="*/ 0 h 14"/>
              <a:gd name="T4" fmla="*/ 0 w 14"/>
              <a:gd name="T5" fmla="*/ 1 h 14"/>
              <a:gd name="T6" fmla="*/ 2 w 14"/>
              <a:gd name="T7" fmla="*/ 3 h 14"/>
              <a:gd name="T8" fmla="*/ 3 w 14"/>
              <a:gd name="T9" fmla="*/ 3 h 14"/>
              <a:gd name="T10" fmla="*/ 3 w 14"/>
              <a:gd name="T11" fmla="*/ 2 h 14"/>
              <a:gd name="T12" fmla="*/ 1 w 14"/>
              <a:gd name="T13" fmla="*/ 0 h 1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4"/>
              <a:gd name="T22" fmla="*/ 0 h 14"/>
              <a:gd name="T23" fmla="*/ 14 w 14"/>
              <a:gd name="T24" fmla="*/ 14 h 1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4" h="14">
                <a:moveTo>
                  <a:pt x="4" y="0"/>
                </a:moveTo>
                <a:lnTo>
                  <a:pt x="0" y="0"/>
                </a:lnTo>
                <a:lnTo>
                  <a:pt x="0" y="4"/>
                </a:lnTo>
                <a:lnTo>
                  <a:pt x="10" y="14"/>
                </a:lnTo>
                <a:lnTo>
                  <a:pt x="14" y="14"/>
                </a:lnTo>
                <a:lnTo>
                  <a:pt x="14" y="10"/>
                </a:lnTo>
                <a:lnTo>
                  <a:pt x="4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29" name="Freeform 128"/>
          <xdr:cNvSpPr>
            <a:spLocks/>
          </xdr:cNvSpPr>
        </xdr:nvSpPr>
        <xdr:spPr bwMode="auto">
          <a:xfrm>
            <a:off x="268" y="2138"/>
            <a:ext cx="3" cy="4"/>
          </a:xfrm>
          <a:custGeom>
            <a:avLst/>
            <a:gdLst>
              <a:gd name="T0" fmla="*/ 1 w 16"/>
              <a:gd name="T1" fmla="*/ 0 h 17"/>
              <a:gd name="T2" fmla="*/ 0 w 16"/>
              <a:gd name="T3" fmla="*/ 0 h 17"/>
              <a:gd name="T4" fmla="*/ 0 w 16"/>
              <a:gd name="T5" fmla="*/ 1 h 17"/>
              <a:gd name="T6" fmla="*/ 2 w 16"/>
              <a:gd name="T7" fmla="*/ 4 h 17"/>
              <a:gd name="T8" fmla="*/ 3 w 16"/>
              <a:gd name="T9" fmla="*/ 4 h 17"/>
              <a:gd name="T10" fmla="*/ 3 w 16"/>
              <a:gd name="T11" fmla="*/ 3 h 17"/>
              <a:gd name="T12" fmla="*/ 1 w 16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7"/>
              <a:gd name="T23" fmla="*/ 16 w 16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7">
                <a:moveTo>
                  <a:pt x="4" y="0"/>
                </a:moveTo>
                <a:lnTo>
                  <a:pt x="0" y="0"/>
                </a:lnTo>
                <a:lnTo>
                  <a:pt x="0" y="3"/>
                </a:lnTo>
                <a:lnTo>
                  <a:pt x="12" y="17"/>
                </a:lnTo>
                <a:lnTo>
                  <a:pt x="16" y="17"/>
                </a:lnTo>
                <a:lnTo>
                  <a:pt x="16" y="13"/>
                </a:lnTo>
                <a:lnTo>
                  <a:pt x="4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0" name="Freeform 129"/>
          <xdr:cNvSpPr>
            <a:spLocks/>
          </xdr:cNvSpPr>
        </xdr:nvSpPr>
        <xdr:spPr bwMode="auto">
          <a:xfrm>
            <a:off x="259" y="2145"/>
            <a:ext cx="4" cy="2"/>
          </a:xfrm>
          <a:custGeom>
            <a:avLst/>
            <a:gdLst>
              <a:gd name="T0" fmla="*/ 4 w 17"/>
              <a:gd name="T1" fmla="*/ 1 h 11"/>
              <a:gd name="T2" fmla="*/ 4 w 17"/>
              <a:gd name="T3" fmla="*/ 1 h 11"/>
              <a:gd name="T4" fmla="*/ 4 w 17"/>
              <a:gd name="T5" fmla="*/ 0 h 11"/>
              <a:gd name="T6" fmla="*/ 1 w 17"/>
              <a:gd name="T7" fmla="*/ 0 h 11"/>
              <a:gd name="T8" fmla="*/ 1 w 17"/>
              <a:gd name="T9" fmla="*/ 1 h 11"/>
              <a:gd name="T10" fmla="*/ 2 w 17"/>
              <a:gd name="T11" fmla="*/ 0 h 11"/>
              <a:gd name="T12" fmla="*/ 0 w 17"/>
              <a:gd name="T13" fmla="*/ 0 h 11"/>
              <a:gd name="T14" fmla="*/ 0 w 17"/>
              <a:gd name="T15" fmla="*/ 1 h 11"/>
              <a:gd name="T16" fmla="*/ 0 w 17"/>
              <a:gd name="T17" fmla="*/ 1 h 11"/>
              <a:gd name="T18" fmla="*/ 0 w 17"/>
              <a:gd name="T19" fmla="*/ 2 h 11"/>
              <a:gd name="T20" fmla="*/ 0 w 17"/>
              <a:gd name="T21" fmla="*/ 2 h 11"/>
              <a:gd name="T22" fmla="*/ 1 w 17"/>
              <a:gd name="T23" fmla="*/ 2 h 11"/>
              <a:gd name="T24" fmla="*/ 1 w 17"/>
              <a:gd name="T25" fmla="*/ 2 h 11"/>
              <a:gd name="T26" fmla="*/ 1 w 17"/>
              <a:gd name="T27" fmla="*/ 1 h 11"/>
              <a:gd name="T28" fmla="*/ 1 w 17"/>
              <a:gd name="T29" fmla="*/ 1 h 11"/>
              <a:gd name="T30" fmla="*/ 1 w 17"/>
              <a:gd name="T31" fmla="*/ 1 h 11"/>
              <a:gd name="T32" fmla="*/ 2 w 17"/>
              <a:gd name="T33" fmla="*/ 1 h 11"/>
              <a:gd name="T34" fmla="*/ 2 w 17"/>
              <a:gd name="T35" fmla="*/ 1 h 11"/>
              <a:gd name="T36" fmla="*/ 4 w 17"/>
              <a:gd name="T37" fmla="*/ 1 h 11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17"/>
              <a:gd name="T58" fmla="*/ 0 h 11"/>
              <a:gd name="T59" fmla="*/ 17 w 17"/>
              <a:gd name="T60" fmla="*/ 11 h 11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17" h="11">
                <a:moveTo>
                  <a:pt x="15" y="4"/>
                </a:moveTo>
                <a:lnTo>
                  <a:pt x="17" y="4"/>
                </a:lnTo>
                <a:lnTo>
                  <a:pt x="17" y="0"/>
                </a:lnTo>
                <a:lnTo>
                  <a:pt x="5" y="0"/>
                </a:lnTo>
                <a:lnTo>
                  <a:pt x="5" y="4"/>
                </a:lnTo>
                <a:lnTo>
                  <a:pt x="7" y="2"/>
                </a:lnTo>
                <a:lnTo>
                  <a:pt x="1" y="2"/>
                </a:lnTo>
                <a:lnTo>
                  <a:pt x="1" y="6"/>
                </a:lnTo>
                <a:lnTo>
                  <a:pt x="0" y="8"/>
                </a:lnTo>
                <a:lnTo>
                  <a:pt x="1" y="10"/>
                </a:lnTo>
                <a:lnTo>
                  <a:pt x="1" y="11"/>
                </a:lnTo>
                <a:lnTo>
                  <a:pt x="5" y="11"/>
                </a:lnTo>
                <a:lnTo>
                  <a:pt x="5" y="10"/>
                </a:lnTo>
                <a:lnTo>
                  <a:pt x="5" y="6"/>
                </a:lnTo>
                <a:lnTo>
                  <a:pt x="3" y="8"/>
                </a:lnTo>
                <a:lnTo>
                  <a:pt x="5" y="6"/>
                </a:lnTo>
                <a:lnTo>
                  <a:pt x="9" y="6"/>
                </a:lnTo>
                <a:lnTo>
                  <a:pt x="9" y="4"/>
                </a:lnTo>
                <a:lnTo>
                  <a:pt x="15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1" name="Freeform 130"/>
          <xdr:cNvSpPr>
            <a:spLocks/>
          </xdr:cNvSpPr>
        </xdr:nvSpPr>
        <xdr:spPr bwMode="auto">
          <a:xfrm>
            <a:off x="261" y="2145"/>
            <a:ext cx="10" cy="1"/>
          </a:xfrm>
          <a:custGeom>
            <a:avLst/>
            <a:gdLst>
              <a:gd name="T0" fmla="*/ 0 w 46"/>
              <a:gd name="T1" fmla="*/ 0 h 4"/>
              <a:gd name="T2" fmla="*/ 0 w 46"/>
              <a:gd name="T3" fmla="*/ 0 h 4"/>
              <a:gd name="T4" fmla="*/ 0 w 46"/>
              <a:gd name="T5" fmla="*/ 1 h 4"/>
              <a:gd name="T6" fmla="*/ 10 w 46"/>
              <a:gd name="T7" fmla="*/ 1 h 4"/>
              <a:gd name="T8" fmla="*/ 10 w 46"/>
              <a:gd name="T9" fmla="*/ 0 h 4"/>
              <a:gd name="T10" fmla="*/ 10 w 46"/>
              <a:gd name="T11" fmla="*/ 0 h 4"/>
              <a:gd name="T12" fmla="*/ 0 w 46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6"/>
              <a:gd name="T22" fmla="*/ 0 h 4"/>
              <a:gd name="T23" fmla="*/ 46 w 46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6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6" y="4"/>
                </a:lnTo>
                <a:lnTo>
                  <a:pt x="46" y="0"/>
                </a:lnTo>
                <a:lnTo>
                  <a:pt x="44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2" name="Freeform 131"/>
          <xdr:cNvSpPr>
            <a:spLocks/>
          </xdr:cNvSpPr>
        </xdr:nvSpPr>
        <xdr:spPr bwMode="auto">
          <a:xfrm>
            <a:off x="259" y="2147"/>
            <a:ext cx="1" cy="5"/>
          </a:xfrm>
          <a:custGeom>
            <a:avLst/>
            <a:gdLst>
              <a:gd name="T0" fmla="*/ 1 w 4"/>
              <a:gd name="T1" fmla="*/ 0 h 19"/>
              <a:gd name="T2" fmla="*/ 1 w 4"/>
              <a:gd name="T3" fmla="*/ 0 h 19"/>
              <a:gd name="T4" fmla="*/ 0 w 4"/>
              <a:gd name="T5" fmla="*/ 0 h 19"/>
              <a:gd name="T6" fmla="*/ 0 w 4"/>
              <a:gd name="T7" fmla="*/ 5 h 19"/>
              <a:gd name="T8" fmla="*/ 1 w 4"/>
              <a:gd name="T9" fmla="*/ 5 h 19"/>
              <a:gd name="T10" fmla="*/ 1 w 4"/>
              <a:gd name="T11" fmla="*/ 4 h 19"/>
              <a:gd name="T12" fmla="*/ 1 w 4"/>
              <a:gd name="T13" fmla="*/ 0 h 1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9"/>
              <a:gd name="T23" fmla="*/ 4 w 4"/>
              <a:gd name="T24" fmla="*/ 19 h 1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9">
                <a:moveTo>
                  <a:pt x="4" y="1"/>
                </a:moveTo>
                <a:lnTo>
                  <a:pt x="4" y="0"/>
                </a:lnTo>
                <a:lnTo>
                  <a:pt x="0" y="0"/>
                </a:lnTo>
                <a:lnTo>
                  <a:pt x="0" y="19"/>
                </a:lnTo>
                <a:lnTo>
                  <a:pt x="4" y="19"/>
                </a:lnTo>
                <a:lnTo>
                  <a:pt x="4" y="17"/>
                </a:lnTo>
                <a:lnTo>
                  <a:pt x="4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3" name="Oval 132"/>
          <xdr:cNvSpPr>
            <a:spLocks noChangeArrowheads="1"/>
          </xdr:cNvSpPr>
        </xdr:nvSpPr>
        <xdr:spPr bwMode="auto">
          <a:xfrm>
            <a:off x="316" y="2153"/>
            <a:ext cx="6" cy="8"/>
          </a:xfrm>
          <a:prstGeom prst="ellipse">
            <a:avLst/>
          </a:prstGeom>
          <a:solidFill>
            <a:srgbClr val="C0C0C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4" name="Freeform 133"/>
          <xdr:cNvSpPr>
            <a:spLocks/>
          </xdr:cNvSpPr>
        </xdr:nvSpPr>
        <xdr:spPr bwMode="auto">
          <a:xfrm>
            <a:off x="315" y="2152"/>
            <a:ext cx="7" cy="9"/>
          </a:xfrm>
          <a:custGeom>
            <a:avLst/>
            <a:gdLst>
              <a:gd name="T0" fmla="*/ 0 w 34"/>
              <a:gd name="T1" fmla="*/ 6 h 41"/>
              <a:gd name="T2" fmla="*/ 0 w 34"/>
              <a:gd name="T3" fmla="*/ 7 h 41"/>
              <a:gd name="T4" fmla="*/ 1 w 34"/>
              <a:gd name="T5" fmla="*/ 8 h 41"/>
              <a:gd name="T6" fmla="*/ 1 w 34"/>
              <a:gd name="T7" fmla="*/ 9 h 41"/>
              <a:gd name="T8" fmla="*/ 2 w 34"/>
              <a:gd name="T9" fmla="*/ 9 h 41"/>
              <a:gd name="T10" fmla="*/ 4 w 34"/>
              <a:gd name="T11" fmla="*/ 9 h 41"/>
              <a:gd name="T12" fmla="*/ 5 w 34"/>
              <a:gd name="T13" fmla="*/ 8 h 41"/>
              <a:gd name="T14" fmla="*/ 6 w 34"/>
              <a:gd name="T15" fmla="*/ 8 h 41"/>
              <a:gd name="T16" fmla="*/ 6 w 34"/>
              <a:gd name="T17" fmla="*/ 7 h 41"/>
              <a:gd name="T18" fmla="*/ 7 w 34"/>
              <a:gd name="T19" fmla="*/ 5 h 41"/>
              <a:gd name="T20" fmla="*/ 7 w 34"/>
              <a:gd name="T21" fmla="*/ 3 h 41"/>
              <a:gd name="T22" fmla="*/ 7 w 34"/>
              <a:gd name="T23" fmla="*/ 2 h 41"/>
              <a:gd name="T24" fmla="*/ 5 w 34"/>
              <a:gd name="T25" fmla="*/ 1 h 41"/>
              <a:gd name="T26" fmla="*/ 5 w 34"/>
              <a:gd name="T27" fmla="*/ 0 h 41"/>
              <a:gd name="T28" fmla="*/ 2 w 34"/>
              <a:gd name="T29" fmla="*/ 0 h 41"/>
              <a:gd name="T30" fmla="*/ 1 w 34"/>
              <a:gd name="T31" fmla="*/ 0 h 41"/>
              <a:gd name="T32" fmla="*/ 1 w 34"/>
              <a:gd name="T33" fmla="*/ 1 h 41"/>
              <a:gd name="T34" fmla="*/ 0 w 34"/>
              <a:gd name="T35" fmla="*/ 1 h 41"/>
              <a:gd name="T36" fmla="*/ 0 w 34"/>
              <a:gd name="T37" fmla="*/ 3 h 41"/>
              <a:gd name="T38" fmla="*/ 1 w 34"/>
              <a:gd name="T39" fmla="*/ 4 h 41"/>
              <a:gd name="T40" fmla="*/ 1 w 34"/>
              <a:gd name="T41" fmla="*/ 2 h 41"/>
              <a:gd name="T42" fmla="*/ 2 w 34"/>
              <a:gd name="T43" fmla="*/ 2 h 41"/>
              <a:gd name="T44" fmla="*/ 2 w 34"/>
              <a:gd name="T45" fmla="*/ 1 h 41"/>
              <a:gd name="T46" fmla="*/ 2 w 34"/>
              <a:gd name="T47" fmla="*/ 1 h 41"/>
              <a:gd name="T48" fmla="*/ 4 w 34"/>
              <a:gd name="T49" fmla="*/ 1 h 41"/>
              <a:gd name="T50" fmla="*/ 5 w 34"/>
              <a:gd name="T51" fmla="*/ 2 h 41"/>
              <a:gd name="T52" fmla="*/ 5 w 34"/>
              <a:gd name="T53" fmla="*/ 3 h 41"/>
              <a:gd name="T54" fmla="*/ 6 w 34"/>
              <a:gd name="T55" fmla="*/ 3 h 41"/>
              <a:gd name="T56" fmla="*/ 6 w 34"/>
              <a:gd name="T57" fmla="*/ 5 h 41"/>
              <a:gd name="T58" fmla="*/ 6 w 34"/>
              <a:gd name="T59" fmla="*/ 6 h 41"/>
              <a:gd name="T60" fmla="*/ 5 w 34"/>
              <a:gd name="T61" fmla="*/ 7 h 41"/>
              <a:gd name="T62" fmla="*/ 5 w 34"/>
              <a:gd name="T63" fmla="*/ 7 h 41"/>
              <a:gd name="T64" fmla="*/ 4 w 34"/>
              <a:gd name="T65" fmla="*/ 8 h 41"/>
              <a:gd name="T66" fmla="*/ 3 w 34"/>
              <a:gd name="T67" fmla="*/ 8 h 41"/>
              <a:gd name="T68" fmla="*/ 2 w 34"/>
              <a:gd name="T69" fmla="*/ 8 h 41"/>
              <a:gd name="T70" fmla="*/ 2 w 34"/>
              <a:gd name="T71" fmla="*/ 7 h 41"/>
              <a:gd name="T72" fmla="*/ 1 w 34"/>
              <a:gd name="T73" fmla="*/ 6 h 41"/>
              <a:gd name="T74" fmla="*/ 1 w 34"/>
              <a:gd name="T75" fmla="*/ 4 h 41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34"/>
              <a:gd name="T115" fmla="*/ 0 h 41"/>
              <a:gd name="T116" fmla="*/ 34 w 34"/>
              <a:gd name="T117" fmla="*/ 41 h 41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34" h="41">
                <a:moveTo>
                  <a:pt x="0" y="19"/>
                </a:moveTo>
                <a:lnTo>
                  <a:pt x="0" y="27"/>
                </a:lnTo>
                <a:lnTo>
                  <a:pt x="2" y="29"/>
                </a:lnTo>
                <a:lnTo>
                  <a:pt x="2" y="31"/>
                </a:lnTo>
                <a:lnTo>
                  <a:pt x="4" y="33"/>
                </a:lnTo>
                <a:lnTo>
                  <a:pt x="4" y="37"/>
                </a:lnTo>
                <a:lnTo>
                  <a:pt x="6" y="37"/>
                </a:lnTo>
                <a:lnTo>
                  <a:pt x="6" y="39"/>
                </a:lnTo>
                <a:lnTo>
                  <a:pt x="10" y="39"/>
                </a:lnTo>
                <a:lnTo>
                  <a:pt x="10" y="41"/>
                </a:lnTo>
                <a:lnTo>
                  <a:pt x="18" y="41"/>
                </a:lnTo>
                <a:lnTo>
                  <a:pt x="20" y="39"/>
                </a:lnTo>
                <a:lnTo>
                  <a:pt x="22" y="39"/>
                </a:lnTo>
                <a:lnTo>
                  <a:pt x="24" y="37"/>
                </a:lnTo>
                <a:lnTo>
                  <a:pt x="28" y="37"/>
                </a:lnTo>
                <a:lnTo>
                  <a:pt x="28" y="35"/>
                </a:lnTo>
                <a:lnTo>
                  <a:pt x="30" y="35"/>
                </a:lnTo>
                <a:lnTo>
                  <a:pt x="30" y="31"/>
                </a:lnTo>
                <a:lnTo>
                  <a:pt x="32" y="31"/>
                </a:lnTo>
                <a:lnTo>
                  <a:pt x="32" y="25"/>
                </a:lnTo>
                <a:lnTo>
                  <a:pt x="34" y="25"/>
                </a:lnTo>
                <a:lnTo>
                  <a:pt x="34" y="15"/>
                </a:lnTo>
                <a:lnTo>
                  <a:pt x="32" y="14"/>
                </a:lnTo>
                <a:lnTo>
                  <a:pt x="32" y="8"/>
                </a:lnTo>
                <a:lnTo>
                  <a:pt x="30" y="8"/>
                </a:lnTo>
                <a:lnTo>
                  <a:pt x="26" y="4"/>
                </a:lnTo>
                <a:lnTo>
                  <a:pt x="26" y="2"/>
                </a:lnTo>
                <a:lnTo>
                  <a:pt x="24" y="2"/>
                </a:lnTo>
                <a:lnTo>
                  <a:pt x="24" y="0"/>
                </a:lnTo>
                <a:lnTo>
                  <a:pt x="8" y="0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4" y="4"/>
                </a:lnTo>
                <a:lnTo>
                  <a:pt x="4" y="6"/>
                </a:lnTo>
                <a:lnTo>
                  <a:pt x="2" y="6"/>
                </a:lnTo>
                <a:lnTo>
                  <a:pt x="2" y="10"/>
                </a:lnTo>
                <a:lnTo>
                  <a:pt x="0" y="12"/>
                </a:lnTo>
                <a:lnTo>
                  <a:pt x="0" y="19"/>
                </a:lnTo>
                <a:lnTo>
                  <a:pt x="4" y="19"/>
                </a:lnTo>
                <a:lnTo>
                  <a:pt x="4" y="12"/>
                </a:lnTo>
                <a:lnTo>
                  <a:pt x="6" y="10"/>
                </a:lnTo>
                <a:lnTo>
                  <a:pt x="8" y="10"/>
                </a:lnTo>
                <a:lnTo>
                  <a:pt x="8" y="8"/>
                </a:lnTo>
                <a:lnTo>
                  <a:pt x="10" y="8"/>
                </a:lnTo>
                <a:lnTo>
                  <a:pt x="10" y="6"/>
                </a:lnTo>
                <a:lnTo>
                  <a:pt x="12" y="6"/>
                </a:lnTo>
                <a:lnTo>
                  <a:pt x="12" y="4"/>
                </a:lnTo>
                <a:lnTo>
                  <a:pt x="20" y="4"/>
                </a:lnTo>
                <a:lnTo>
                  <a:pt x="20" y="6"/>
                </a:lnTo>
                <a:lnTo>
                  <a:pt x="22" y="6"/>
                </a:lnTo>
                <a:lnTo>
                  <a:pt x="22" y="8"/>
                </a:lnTo>
                <a:lnTo>
                  <a:pt x="26" y="8"/>
                </a:lnTo>
                <a:lnTo>
                  <a:pt x="26" y="12"/>
                </a:lnTo>
                <a:lnTo>
                  <a:pt x="28" y="12"/>
                </a:lnTo>
                <a:lnTo>
                  <a:pt x="28" y="14"/>
                </a:lnTo>
                <a:lnTo>
                  <a:pt x="30" y="15"/>
                </a:lnTo>
                <a:lnTo>
                  <a:pt x="30" y="21"/>
                </a:lnTo>
                <a:lnTo>
                  <a:pt x="28" y="21"/>
                </a:lnTo>
                <a:lnTo>
                  <a:pt x="28" y="27"/>
                </a:lnTo>
                <a:lnTo>
                  <a:pt x="26" y="27"/>
                </a:lnTo>
                <a:lnTo>
                  <a:pt x="26" y="31"/>
                </a:lnTo>
                <a:lnTo>
                  <a:pt x="24" y="31"/>
                </a:lnTo>
                <a:lnTo>
                  <a:pt x="24" y="33"/>
                </a:lnTo>
                <a:lnTo>
                  <a:pt x="22" y="35"/>
                </a:lnTo>
                <a:lnTo>
                  <a:pt x="20" y="35"/>
                </a:lnTo>
                <a:lnTo>
                  <a:pt x="18" y="37"/>
                </a:lnTo>
                <a:lnTo>
                  <a:pt x="14" y="37"/>
                </a:lnTo>
                <a:lnTo>
                  <a:pt x="14" y="35"/>
                </a:lnTo>
                <a:lnTo>
                  <a:pt x="10" y="35"/>
                </a:lnTo>
                <a:lnTo>
                  <a:pt x="10" y="33"/>
                </a:lnTo>
                <a:lnTo>
                  <a:pt x="8" y="33"/>
                </a:lnTo>
                <a:lnTo>
                  <a:pt x="6" y="31"/>
                </a:lnTo>
                <a:lnTo>
                  <a:pt x="6" y="29"/>
                </a:lnTo>
                <a:lnTo>
                  <a:pt x="4" y="27"/>
                </a:lnTo>
                <a:lnTo>
                  <a:pt x="4" y="19"/>
                </a:lnTo>
                <a:lnTo>
                  <a:pt x="0" y="1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5" name="Rectangle 134"/>
          <xdr:cNvSpPr>
            <a:spLocks noChangeArrowheads="1"/>
          </xdr:cNvSpPr>
        </xdr:nvSpPr>
        <xdr:spPr bwMode="auto">
          <a:xfrm>
            <a:off x="312" y="2156"/>
            <a:ext cx="4" cy="3"/>
          </a:xfrm>
          <a:prstGeom prst="rect">
            <a:avLst/>
          </a:prstGeom>
          <a:solidFill>
            <a:srgbClr val="C0C0C0"/>
          </a:solidFill>
          <a:ln w="9525">
            <a:solidFill>
              <a:srgbClr val="0238C0"/>
            </a:solidFill>
            <a:miter lim="800000"/>
            <a:headEnd/>
            <a:tailEnd/>
          </a:ln>
        </xdr:spPr>
      </xdr:sp>
      <xdr:sp macro="" textlink="">
        <xdr:nvSpPr>
          <xdr:cNvPr id="136" name="Freeform 135"/>
          <xdr:cNvSpPr>
            <a:spLocks/>
          </xdr:cNvSpPr>
        </xdr:nvSpPr>
        <xdr:spPr bwMode="auto">
          <a:xfrm>
            <a:off x="312" y="2156"/>
            <a:ext cx="4" cy="3"/>
          </a:xfrm>
          <a:custGeom>
            <a:avLst/>
            <a:gdLst>
              <a:gd name="T0" fmla="*/ 0 w 17"/>
              <a:gd name="T1" fmla="*/ 0 h 13"/>
              <a:gd name="T2" fmla="*/ 0 w 17"/>
              <a:gd name="T3" fmla="*/ 0 h 13"/>
              <a:gd name="T4" fmla="*/ 0 w 17"/>
              <a:gd name="T5" fmla="*/ 3 h 13"/>
              <a:gd name="T6" fmla="*/ 4 w 17"/>
              <a:gd name="T7" fmla="*/ 3 h 13"/>
              <a:gd name="T8" fmla="*/ 4 w 17"/>
              <a:gd name="T9" fmla="*/ 0 h 13"/>
              <a:gd name="T10" fmla="*/ 4 w 17"/>
              <a:gd name="T11" fmla="*/ 0 h 13"/>
              <a:gd name="T12" fmla="*/ 0 w 17"/>
              <a:gd name="T13" fmla="*/ 0 h 13"/>
              <a:gd name="T14" fmla="*/ 0 w 17"/>
              <a:gd name="T15" fmla="*/ 1 h 13"/>
              <a:gd name="T16" fmla="*/ 4 w 17"/>
              <a:gd name="T17" fmla="*/ 1 h 13"/>
              <a:gd name="T18" fmla="*/ 3 w 17"/>
              <a:gd name="T19" fmla="*/ 0 h 13"/>
              <a:gd name="T20" fmla="*/ 3 w 17"/>
              <a:gd name="T21" fmla="*/ 3 h 13"/>
              <a:gd name="T22" fmla="*/ 4 w 17"/>
              <a:gd name="T23" fmla="*/ 2 h 13"/>
              <a:gd name="T24" fmla="*/ 0 w 17"/>
              <a:gd name="T25" fmla="*/ 2 h 13"/>
              <a:gd name="T26" fmla="*/ 1 w 17"/>
              <a:gd name="T27" fmla="*/ 3 h 13"/>
              <a:gd name="T28" fmla="*/ 1 w 17"/>
              <a:gd name="T29" fmla="*/ 0 h 13"/>
              <a:gd name="T30" fmla="*/ 0 w 17"/>
              <a:gd name="T31" fmla="*/ 1 h 13"/>
              <a:gd name="T32" fmla="*/ 0 w 17"/>
              <a:gd name="T33" fmla="*/ 0 h 13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7"/>
              <a:gd name="T52" fmla="*/ 0 h 13"/>
              <a:gd name="T53" fmla="*/ 17 w 17"/>
              <a:gd name="T54" fmla="*/ 13 h 13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7" h="13">
                <a:moveTo>
                  <a:pt x="2" y="0"/>
                </a:moveTo>
                <a:lnTo>
                  <a:pt x="0" y="0"/>
                </a:lnTo>
                <a:lnTo>
                  <a:pt x="0" y="13"/>
                </a:lnTo>
                <a:lnTo>
                  <a:pt x="17" y="13"/>
                </a:lnTo>
                <a:lnTo>
                  <a:pt x="17" y="0"/>
                </a:lnTo>
                <a:lnTo>
                  <a:pt x="15" y="0"/>
                </a:lnTo>
                <a:lnTo>
                  <a:pt x="2" y="0"/>
                </a:lnTo>
                <a:lnTo>
                  <a:pt x="2" y="3"/>
                </a:lnTo>
                <a:lnTo>
                  <a:pt x="15" y="3"/>
                </a:lnTo>
                <a:lnTo>
                  <a:pt x="13" y="1"/>
                </a:lnTo>
                <a:lnTo>
                  <a:pt x="13" y="11"/>
                </a:lnTo>
                <a:lnTo>
                  <a:pt x="15" y="9"/>
                </a:lnTo>
                <a:lnTo>
                  <a:pt x="2" y="9"/>
                </a:lnTo>
                <a:lnTo>
                  <a:pt x="4" y="11"/>
                </a:lnTo>
                <a:lnTo>
                  <a:pt x="4" y="1"/>
                </a:lnTo>
                <a:lnTo>
                  <a:pt x="2" y="3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7" name="Line 136"/>
          <xdr:cNvSpPr>
            <a:spLocks noChangeShapeType="1"/>
          </xdr:cNvSpPr>
        </xdr:nvSpPr>
        <xdr:spPr bwMode="auto">
          <a:xfrm flipH="1">
            <a:off x="318" y="2156"/>
            <a:ext cx="2" cy="3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8" name="Line 137"/>
          <xdr:cNvSpPr>
            <a:spLocks noChangeShapeType="1"/>
          </xdr:cNvSpPr>
        </xdr:nvSpPr>
        <xdr:spPr bwMode="auto">
          <a:xfrm flipH="1">
            <a:off x="320" y="2156"/>
            <a:ext cx="0" cy="1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39" name="Line 138"/>
          <xdr:cNvSpPr>
            <a:spLocks noChangeShapeType="1"/>
          </xdr:cNvSpPr>
        </xdr:nvSpPr>
        <xdr:spPr bwMode="auto">
          <a:xfrm flipH="1">
            <a:off x="318" y="2157"/>
            <a:ext cx="0" cy="3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0" name="Line 139"/>
          <xdr:cNvSpPr>
            <a:spLocks noChangeShapeType="1"/>
          </xdr:cNvSpPr>
        </xdr:nvSpPr>
        <xdr:spPr bwMode="auto">
          <a:xfrm flipH="1">
            <a:off x="318" y="2154"/>
            <a:ext cx="0" cy="3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1" name="Line 140"/>
          <xdr:cNvSpPr>
            <a:spLocks noChangeShapeType="1"/>
          </xdr:cNvSpPr>
        </xdr:nvSpPr>
        <xdr:spPr bwMode="auto">
          <a:xfrm flipH="1">
            <a:off x="317" y="2157"/>
            <a:ext cx="0" cy="2"/>
          </a:xfrm>
          <a:prstGeom prst="line">
            <a:avLst/>
          </a:prstGeom>
          <a:noFill/>
          <a:ln w="0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2" name="Freeform 141"/>
          <xdr:cNvSpPr>
            <a:spLocks/>
          </xdr:cNvSpPr>
        </xdr:nvSpPr>
        <xdr:spPr bwMode="auto">
          <a:xfrm>
            <a:off x="316" y="2133"/>
            <a:ext cx="1" cy="3"/>
          </a:xfrm>
          <a:custGeom>
            <a:avLst/>
            <a:gdLst>
              <a:gd name="T0" fmla="*/ 1 w 10"/>
              <a:gd name="T1" fmla="*/ 2 h 10"/>
              <a:gd name="T2" fmla="*/ 1 w 10"/>
              <a:gd name="T3" fmla="*/ 3 h 10"/>
              <a:gd name="T4" fmla="*/ 1 w 10"/>
              <a:gd name="T5" fmla="*/ 3 h 10"/>
              <a:gd name="T6" fmla="*/ 1 w 10"/>
              <a:gd name="T7" fmla="*/ 1 h 10"/>
              <a:gd name="T8" fmla="*/ 1 w 10"/>
              <a:gd name="T9" fmla="*/ 1 h 10"/>
              <a:gd name="T10" fmla="*/ 1 w 10"/>
              <a:gd name="T11" fmla="*/ 1 h 10"/>
              <a:gd name="T12" fmla="*/ 1 w 10"/>
              <a:gd name="T13" fmla="*/ 1 h 10"/>
              <a:gd name="T14" fmla="*/ 0 w 10"/>
              <a:gd name="T15" fmla="*/ 0 h 10"/>
              <a:gd name="T16" fmla="*/ 0 w 10"/>
              <a:gd name="T17" fmla="*/ 2 h 10"/>
              <a:gd name="T18" fmla="*/ 1 w 10"/>
              <a:gd name="T19" fmla="*/ 2 h 10"/>
              <a:gd name="T20" fmla="*/ 1 w 10"/>
              <a:gd name="T21" fmla="*/ 0 h 10"/>
              <a:gd name="T22" fmla="*/ 0 w 10"/>
              <a:gd name="T23" fmla="*/ 0 h 10"/>
              <a:gd name="T24" fmla="*/ 0 w 10"/>
              <a:gd name="T25" fmla="*/ 1 h 10"/>
              <a:gd name="T26" fmla="*/ 0 w 10"/>
              <a:gd name="T27" fmla="*/ 1 h 10"/>
              <a:gd name="T28" fmla="*/ 0 w 10"/>
              <a:gd name="T29" fmla="*/ 1 h 10"/>
              <a:gd name="T30" fmla="*/ 0 w 10"/>
              <a:gd name="T31" fmla="*/ 2 h 10"/>
              <a:gd name="T32" fmla="*/ 0 w 10"/>
              <a:gd name="T33" fmla="*/ 2 h 10"/>
              <a:gd name="T34" fmla="*/ 0 w 10"/>
              <a:gd name="T35" fmla="*/ 1 h 10"/>
              <a:gd name="T36" fmla="*/ 0 w 10"/>
              <a:gd name="T37" fmla="*/ 1 h 10"/>
              <a:gd name="T38" fmla="*/ 0 w 10"/>
              <a:gd name="T39" fmla="*/ 2 h 10"/>
              <a:gd name="T40" fmla="*/ 1 w 10"/>
              <a:gd name="T41" fmla="*/ 2 h 10"/>
              <a:gd name="T42" fmla="*/ 1 w 10"/>
              <a:gd name="T43" fmla="*/ 1 h 10"/>
              <a:gd name="T44" fmla="*/ 1 w 10"/>
              <a:gd name="T45" fmla="*/ 1 h 10"/>
              <a:gd name="T46" fmla="*/ 0 w 10"/>
              <a:gd name="T47" fmla="*/ 2 h 10"/>
              <a:gd name="T48" fmla="*/ 0 w 10"/>
              <a:gd name="T49" fmla="*/ 2 h 10"/>
              <a:gd name="T50" fmla="*/ 0 w 10"/>
              <a:gd name="T51" fmla="*/ 2 h 10"/>
              <a:gd name="T52" fmla="*/ 1 w 10"/>
              <a:gd name="T53" fmla="*/ 2 h 10"/>
              <a:gd name="T54" fmla="*/ 1 w 10"/>
              <a:gd name="T55" fmla="*/ 2 h 10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10"/>
              <a:gd name="T85" fmla="*/ 0 h 10"/>
              <a:gd name="T86" fmla="*/ 10 w 10"/>
              <a:gd name="T87" fmla="*/ 10 h 10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10" h="10">
                <a:moveTo>
                  <a:pt x="6" y="6"/>
                </a:moveTo>
                <a:lnTo>
                  <a:pt x="6" y="10"/>
                </a:lnTo>
                <a:lnTo>
                  <a:pt x="10" y="10"/>
                </a:lnTo>
                <a:lnTo>
                  <a:pt x="10" y="4"/>
                </a:lnTo>
                <a:lnTo>
                  <a:pt x="8" y="4"/>
                </a:lnTo>
                <a:lnTo>
                  <a:pt x="8" y="2"/>
                </a:lnTo>
                <a:lnTo>
                  <a:pt x="6" y="2"/>
                </a:lnTo>
                <a:lnTo>
                  <a:pt x="4" y="0"/>
                </a:lnTo>
                <a:lnTo>
                  <a:pt x="2" y="6"/>
                </a:lnTo>
                <a:lnTo>
                  <a:pt x="6" y="6"/>
                </a:lnTo>
                <a:lnTo>
                  <a:pt x="6" y="0"/>
                </a:lnTo>
                <a:lnTo>
                  <a:pt x="0" y="0"/>
                </a:lnTo>
                <a:lnTo>
                  <a:pt x="0" y="4"/>
                </a:lnTo>
                <a:lnTo>
                  <a:pt x="2" y="2"/>
                </a:lnTo>
                <a:lnTo>
                  <a:pt x="0" y="2"/>
                </a:lnTo>
                <a:lnTo>
                  <a:pt x="0" y="6"/>
                </a:lnTo>
                <a:lnTo>
                  <a:pt x="2" y="6"/>
                </a:lnTo>
                <a:lnTo>
                  <a:pt x="4" y="4"/>
                </a:lnTo>
                <a:lnTo>
                  <a:pt x="2" y="4"/>
                </a:lnTo>
                <a:lnTo>
                  <a:pt x="2" y="6"/>
                </a:lnTo>
                <a:lnTo>
                  <a:pt x="8" y="6"/>
                </a:lnTo>
                <a:lnTo>
                  <a:pt x="8" y="2"/>
                </a:lnTo>
                <a:lnTo>
                  <a:pt x="6" y="2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3" name="Freeform 142"/>
          <xdr:cNvSpPr>
            <a:spLocks/>
          </xdr:cNvSpPr>
        </xdr:nvSpPr>
        <xdr:spPr bwMode="auto">
          <a:xfrm>
            <a:off x="303" y="2133"/>
            <a:ext cx="4" cy="3"/>
          </a:xfrm>
          <a:custGeom>
            <a:avLst/>
            <a:gdLst>
              <a:gd name="T0" fmla="*/ 3 w 12"/>
              <a:gd name="T1" fmla="*/ 2 h 10"/>
              <a:gd name="T2" fmla="*/ 4 w 12"/>
              <a:gd name="T3" fmla="*/ 2 h 10"/>
              <a:gd name="T4" fmla="*/ 4 w 12"/>
              <a:gd name="T5" fmla="*/ 1 h 10"/>
              <a:gd name="T6" fmla="*/ 3 w 12"/>
              <a:gd name="T7" fmla="*/ 1 h 10"/>
              <a:gd name="T8" fmla="*/ 3 w 12"/>
              <a:gd name="T9" fmla="*/ 0 h 10"/>
              <a:gd name="T10" fmla="*/ 1 w 12"/>
              <a:gd name="T11" fmla="*/ 0 h 10"/>
              <a:gd name="T12" fmla="*/ 1 w 12"/>
              <a:gd name="T13" fmla="*/ 1 h 10"/>
              <a:gd name="T14" fmla="*/ 2 w 12"/>
              <a:gd name="T15" fmla="*/ 1 h 10"/>
              <a:gd name="T16" fmla="*/ 3 w 12"/>
              <a:gd name="T17" fmla="*/ 2 h 10"/>
              <a:gd name="T18" fmla="*/ 3 w 12"/>
              <a:gd name="T19" fmla="*/ 1 h 10"/>
              <a:gd name="T20" fmla="*/ 2 w 12"/>
              <a:gd name="T21" fmla="*/ 0 h 10"/>
              <a:gd name="T22" fmla="*/ 1 w 12"/>
              <a:gd name="T23" fmla="*/ 1 h 10"/>
              <a:gd name="T24" fmla="*/ 0 w 12"/>
              <a:gd name="T25" fmla="*/ 1 h 10"/>
              <a:gd name="T26" fmla="*/ 0 w 12"/>
              <a:gd name="T27" fmla="*/ 3 h 10"/>
              <a:gd name="T28" fmla="*/ 2 w 12"/>
              <a:gd name="T29" fmla="*/ 3 h 10"/>
              <a:gd name="T30" fmla="*/ 2 w 12"/>
              <a:gd name="T31" fmla="*/ 2 h 10"/>
              <a:gd name="T32" fmla="*/ 1 w 12"/>
              <a:gd name="T33" fmla="*/ 2 h 10"/>
              <a:gd name="T34" fmla="*/ 3 w 12"/>
              <a:gd name="T35" fmla="*/ 2 h 10"/>
              <a:gd name="T36" fmla="*/ 2 w 12"/>
              <a:gd name="T37" fmla="*/ 1 h 10"/>
              <a:gd name="T38" fmla="*/ 1 w 12"/>
              <a:gd name="T39" fmla="*/ 1 h 10"/>
              <a:gd name="T40" fmla="*/ 1 w 12"/>
              <a:gd name="T41" fmla="*/ 1 h 10"/>
              <a:gd name="T42" fmla="*/ 1 w 12"/>
              <a:gd name="T43" fmla="*/ 2 h 10"/>
              <a:gd name="T44" fmla="*/ 2 w 12"/>
              <a:gd name="T45" fmla="*/ 2 h 10"/>
              <a:gd name="T46" fmla="*/ 3 w 12"/>
              <a:gd name="T47" fmla="*/ 1 h 10"/>
              <a:gd name="T48" fmla="*/ 2 w 12"/>
              <a:gd name="T49" fmla="*/ 1 h 10"/>
              <a:gd name="T50" fmla="*/ 2 w 12"/>
              <a:gd name="T51" fmla="*/ 2 h 10"/>
              <a:gd name="T52" fmla="*/ 3 w 12"/>
              <a:gd name="T53" fmla="*/ 2 h 10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2"/>
              <a:gd name="T82" fmla="*/ 0 h 10"/>
              <a:gd name="T83" fmla="*/ 12 w 12"/>
              <a:gd name="T84" fmla="*/ 10 h 10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2" h="10">
                <a:moveTo>
                  <a:pt x="10" y="6"/>
                </a:moveTo>
                <a:lnTo>
                  <a:pt x="12" y="6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4" y="0"/>
                </a:lnTo>
                <a:lnTo>
                  <a:pt x="4" y="4"/>
                </a:lnTo>
                <a:lnTo>
                  <a:pt x="6" y="2"/>
                </a:lnTo>
                <a:lnTo>
                  <a:pt x="8" y="6"/>
                </a:lnTo>
                <a:lnTo>
                  <a:pt x="8" y="4"/>
                </a:lnTo>
                <a:lnTo>
                  <a:pt x="6" y="0"/>
                </a:lnTo>
                <a:lnTo>
                  <a:pt x="4" y="2"/>
                </a:lnTo>
                <a:lnTo>
                  <a:pt x="0" y="2"/>
                </a:lnTo>
                <a:lnTo>
                  <a:pt x="0" y="10"/>
                </a:lnTo>
                <a:lnTo>
                  <a:pt x="6" y="10"/>
                </a:lnTo>
                <a:lnTo>
                  <a:pt x="6" y="6"/>
                </a:lnTo>
                <a:lnTo>
                  <a:pt x="4" y="6"/>
                </a:lnTo>
                <a:lnTo>
                  <a:pt x="8" y="6"/>
                </a:lnTo>
                <a:lnTo>
                  <a:pt x="6" y="4"/>
                </a:lnTo>
                <a:lnTo>
                  <a:pt x="4" y="4"/>
                </a:lnTo>
                <a:lnTo>
                  <a:pt x="4" y="2"/>
                </a:lnTo>
                <a:lnTo>
                  <a:pt x="4" y="6"/>
                </a:lnTo>
                <a:lnTo>
                  <a:pt x="6" y="6"/>
                </a:lnTo>
                <a:lnTo>
                  <a:pt x="8" y="4"/>
                </a:lnTo>
                <a:lnTo>
                  <a:pt x="6" y="4"/>
                </a:lnTo>
                <a:lnTo>
                  <a:pt x="6" y="6"/>
                </a:lnTo>
                <a:lnTo>
                  <a:pt x="10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4" name="Freeform 143"/>
          <xdr:cNvSpPr>
            <a:spLocks/>
          </xdr:cNvSpPr>
        </xdr:nvSpPr>
        <xdr:spPr bwMode="auto">
          <a:xfrm>
            <a:off x="316" y="2136"/>
            <a:ext cx="1" cy="3"/>
          </a:xfrm>
          <a:custGeom>
            <a:avLst/>
            <a:gdLst>
              <a:gd name="T0" fmla="*/ 1 w 8"/>
              <a:gd name="T1" fmla="*/ 1 h 11"/>
              <a:gd name="T2" fmla="*/ 1 w 8"/>
              <a:gd name="T3" fmla="*/ 0 h 11"/>
              <a:gd name="T4" fmla="*/ 1 w 8"/>
              <a:gd name="T5" fmla="*/ 0 h 11"/>
              <a:gd name="T6" fmla="*/ 1 w 8"/>
              <a:gd name="T7" fmla="*/ 1 h 11"/>
              <a:gd name="T8" fmla="*/ 1 w 8"/>
              <a:gd name="T9" fmla="*/ 0 h 11"/>
              <a:gd name="T10" fmla="*/ 0 w 8"/>
              <a:gd name="T11" fmla="*/ 0 h 11"/>
              <a:gd name="T12" fmla="*/ 0 w 8"/>
              <a:gd name="T13" fmla="*/ 2 h 11"/>
              <a:gd name="T14" fmla="*/ 1 w 8"/>
              <a:gd name="T15" fmla="*/ 2 h 11"/>
              <a:gd name="T16" fmla="*/ 1 w 8"/>
              <a:gd name="T17" fmla="*/ 1 h 11"/>
              <a:gd name="T18" fmla="*/ 0 w 8"/>
              <a:gd name="T19" fmla="*/ 1 h 11"/>
              <a:gd name="T20" fmla="*/ 0 w 8"/>
              <a:gd name="T21" fmla="*/ 2 h 11"/>
              <a:gd name="T22" fmla="*/ 0 w 8"/>
              <a:gd name="T23" fmla="*/ 2 h 11"/>
              <a:gd name="T24" fmla="*/ 0 w 8"/>
              <a:gd name="T25" fmla="*/ 3 h 11"/>
              <a:gd name="T26" fmla="*/ 1 w 8"/>
              <a:gd name="T27" fmla="*/ 3 h 11"/>
              <a:gd name="T28" fmla="*/ 1 w 8"/>
              <a:gd name="T29" fmla="*/ 2 h 11"/>
              <a:gd name="T30" fmla="*/ 1 w 8"/>
              <a:gd name="T31" fmla="*/ 2 h 11"/>
              <a:gd name="T32" fmla="*/ 1 w 8"/>
              <a:gd name="T33" fmla="*/ 2 h 11"/>
              <a:gd name="T34" fmla="*/ 1 w 8"/>
              <a:gd name="T35" fmla="*/ 2 h 11"/>
              <a:gd name="T36" fmla="*/ 1 w 8"/>
              <a:gd name="T37" fmla="*/ 2 h 11"/>
              <a:gd name="T38" fmla="*/ 1 w 8"/>
              <a:gd name="T39" fmla="*/ 2 h 11"/>
              <a:gd name="T40" fmla="*/ 1 w 8"/>
              <a:gd name="T41" fmla="*/ 2 h 11"/>
              <a:gd name="T42" fmla="*/ 1 w 8"/>
              <a:gd name="T43" fmla="*/ 1 h 11"/>
              <a:gd name="T44" fmla="*/ 1 w 8"/>
              <a:gd name="T45" fmla="*/ 1 h 11"/>
              <a:gd name="T46" fmla="*/ 1 w 8"/>
              <a:gd name="T47" fmla="*/ 1 h 11"/>
              <a:gd name="T48" fmla="*/ 1 w 8"/>
              <a:gd name="T49" fmla="*/ 1 h 11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8"/>
              <a:gd name="T76" fmla="*/ 0 h 11"/>
              <a:gd name="T77" fmla="*/ 8 w 8"/>
              <a:gd name="T78" fmla="*/ 11 h 11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8" h="11">
                <a:moveTo>
                  <a:pt x="8" y="2"/>
                </a:moveTo>
                <a:lnTo>
                  <a:pt x="8" y="0"/>
                </a:lnTo>
                <a:lnTo>
                  <a:pt x="4" y="0"/>
                </a:lnTo>
                <a:lnTo>
                  <a:pt x="4" y="2"/>
                </a:lnTo>
                <a:lnTo>
                  <a:pt x="6" y="0"/>
                </a:lnTo>
                <a:lnTo>
                  <a:pt x="2" y="0"/>
                </a:lnTo>
                <a:lnTo>
                  <a:pt x="2" y="6"/>
                </a:lnTo>
                <a:lnTo>
                  <a:pt x="4" y="6"/>
                </a:lnTo>
                <a:lnTo>
                  <a:pt x="6" y="4"/>
                </a:lnTo>
                <a:lnTo>
                  <a:pt x="0" y="4"/>
                </a:lnTo>
                <a:lnTo>
                  <a:pt x="0" y="9"/>
                </a:lnTo>
                <a:lnTo>
                  <a:pt x="2" y="9"/>
                </a:lnTo>
                <a:lnTo>
                  <a:pt x="2" y="11"/>
                </a:lnTo>
                <a:lnTo>
                  <a:pt x="6" y="11"/>
                </a:lnTo>
                <a:lnTo>
                  <a:pt x="6" y="8"/>
                </a:lnTo>
                <a:lnTo>
                  <a:pt x="6" y="9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8" y="6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8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5" name="Freeform 144"/>
          <xdr:cNvSpPr>
            <a:spLocks/>
          </xdr:cNvSpPr>
        </xdr:nvSpPr>
        <xdr:spPr bwMode="auto">
          <a:xfrm>
            <a:off x="303" y="2136"/>
            <a:ext cx="3" cy="3"/>
          </a:xfrm>
          <a:custGeom>
            <a:avLst/>
            <a:gdLst>
              <a:gd name="T0" fmla="*/ 3 w 10"/>
              <a:gd name="T1" fmla="*/ 1 h 9"/>
              <a:gd name="T2" fmla="*/ 3 w 10"/>
              <a:gd name="T3" fmla="*/ 0 h 9"/>
              <a:gd name="T4" fmla="*/ 2 w 10"/>
              <a:gd name="T5" fmla="*/ 0 h 9"/>
              <a:gd name="T6" fmla="*/ 2 w 10"/>
              <a:gd name="T7" fmla="*/ 1 h 9"/>
              <a:gd name="T8" fmla="*/ 2 w 10"/>
              <a:gd name="T9" fmla="*/ 0 h 9"/>
              <a:gd name="T10" fmla="*/ 1 w 10"/>
              <a:gd name="T11" fmla="*/ 0 h 9"/>
              <a:gd name="T12" fmla="*/ 1 w 10"/>
              <a:gd name="T13" fmla="*/ 2 h 9"/>
              <a:gd name="T14" fmla="*/ 1 w 10"/>
              <a:gd name="T15" fmla="*/ 2 h 9"/>
              <a:gd name="T16" fmla="*/ 1 w 10"/>
              <a:gd name="T17" fmla="*/ 3 h 9"/>
              <a:gd name="T18" fmla="*/ 2 w 10"/>
              <a:gd name="T19" fmla="*/ 3 h 9"/>
              <a:gd name="T20" fmla="*/ 2 w 10"/>
              <a:gd name="T21" fmla="*/ 1 h 9"/>
              <a:gd name="T22" fmla="*/ 1 w 10"/>
              <a:gd name="T23" fmla="*/ 1 h 9"/>
              <a:gd name="T24" fmla="*/ 1 w 10"/>
              <a:gd name="T25" fmla="*/ 1 h 9"/>
              <a:gd name="T26" fmla="*/ 0 w 10"/>
              <a:gd name="T27" fmla="*/ 1 h 9"/>
              <a:gd name="T28" fmla="*/ 0 w 10"/>
              <a:gd name="T29" fmla="*/ 3 h 9"/>
              <a:gd name="T30" fmla="*/ 2 w 10"/>
              <a:gd name="T31" fmla="*/ 3 h 9"/>
              <a:gd name="T32" fmla="*/ 2 w 10"/>
              <a:gd name="T33" fmla="*/ 2 h 9"/>
              <a:gd name="T34" fmla="*/ 1 w 10"/>
              <a:gd name="T35" fmla="*/ 2 h 9"/>
              <a:gd name="T36" fmla="*/ 1 w 10"/>
              <a:gd name="T37" fmla="*/ 3 h 9"/>
              <a:gd name="T38" fmla="*/ 2 w 10"/>
              <a:gd name="T39" fmla="*/ 3 h 9"/>
              <a:gd name="T40" fmla="*/ 2 w 10"/>
              <a:gd name="T41" fmla="*/ 2 h 9"/>
              <a:gd name="T42" fmla="*/ 1 w 10"/>
              <a:gd name="T43" fmla="*/ 2 h 9"/>
              <a:gd name="T44" fmla="*/ 2 w 10"/>
              <a:gd name="T45" fmla="*/ 1 h 9"/>
              <a:gd name="T46" fmla="*/ 2 w 10"/>
              <a:gd name="T47" fmla="*/ 2 h 9"/>
              <a:gd name="T48" fmla="*/ 2 w 10"/>
              <a:gd name="T49" fmla="*/ 1 h 9"/>
              <a:gd name="T50" fmla="*/ 2 w 10"/>
              <a:gd name="T51" fmla="*/ 1 h 9"/>
              <a:gd name="T52" fmla="*/ 2 w 10"/>
              <a:gd name="T53" fmla="*/ 1 h 9"/>
              <a:gd name="T54" fmla="*/ 2 w 10"/>
              <a:gd name="T55" fmla="*/ 1 h 9"/>
              <a:gd name="T56" fmla="*/ 3 w 10"/>
              <a:gd name="T57" fmla="*/ 1 h 9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0"/>
              <a:gd name="T88" fmla="*/ 0 h 9"/>
              <a:gd name="T89" fmla="*/ 10 w 10"/>
              <a:gd name="T90" fmla="*/ 9 h 9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0" h="9">
                <a:moveTo>
                  <a:pt x="10" y="2"/>
                </a:moveTo>
                <a:lnTo>
                  <a:pt x="10" y="0"/>
                </a:lnTo>
                <a:lnTo>
                  <a:pt x="6" y="0"/>
                </a:lnTo>
                <a:lnTo>
                  <a:pt x="6" y="2"/>
                </a:lnTo>
                <a:lnTo>
                  <a:pt x="8" y="0"/>
                </a:lnTo>
                <a:lnTo>
                  <a:pt x="2" y="0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8" y="8"/>
                </a:lnTo>
                <a:lnTo>
                  <a:pt x="8" y="2"/>
                </a:lnTo>
                <a:lnTo>
                  <a:pt x="2" y="2"/>
                </a:lnTo>
                <a:lnTo>
                  <a:pt x="2" y="4"/>
                </a:lnTo>
                <a:lnTo>
                  <a:pt x="0" y="4"/>
                </a:lnTo>
                <a:lnTo>
                  <a:pt x="0" y="9"/>
                </a:lnTo>
                <a:lnTo>
                  <a:pt x="6" y="9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6"/>
                </a:lnTo>
                <a:lnTo>
                  <a:pt x="4" y="6"/>
                </a:lnTo>
                <a:lnTo>
                  <a:pt x="8" y="4"/>
                </a:lnTo>
                <a:lnTo>
                  <a:pt x="8" y="6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8" y="4"/>
                </a:lnTo>
                <a:lnTo>
                  <a:pt x="1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6" name="Freeform 145"/>
          <xdr:cNvSpPr>
            <a:spLocks/>
          </xdr:cNvSpPr>
        </xdr:nvSpPr>
        <xdr:spPr bwMode="auto">
          <a:xfrm>
            <a:off x="300" y="2140"/>
            <a:ext cx="2" cy="3"/>
          </a:xfrm>
          <a:custGeom>
            <a:avLst/>
            <a:gdLst>
              <a:gd name="T0" fmla="*/ 2 w 10"/>
              <a:gd name="T1" fmla="*/ 1 h 12"/>
              <a:gd name="T2" fmla="*/ 2 w 10"/>
              <a:gd name="T3" fmla="*/ 1 h 12"/>
              <a:gd name="T4" fmla="*/ 2 w 10"/>
              <a:gd name="T5" fmla="*/ 0 h 12"/>
              <a:gd name="T6" fmla="*/ 2 w 10"/>
              <a:gd name="T7" fmla="*/ 0 h 12"/>
              <a:gd name="T8" fmla="*/ 0 w 10"/>
              <a:gd name="T9" fmla="*/ 1 h 12"/>
              <a:gd name="T10" fmla="*/ 0 w 10"/>
              <a:gd name="T11" fmla="*/ 1 h 12"/>
              <a:gd name="T12" fmla="*/ 1 w 10"/>
              <a:gd name="T13" fmla="*/ 1 h 12"/>
              <a:gd name="T14" fmla="*/ 0 w 10"/>
              <a:gd name="T15" fmla="*/ 1 h 12"/>
              <a:gd name="T16" fmla="*/ 0 w 10"/>
              <a:gd name="T17" fmla="*/ 3 h 12"/>
              <a:gd name="T18" fmla="*/ 0 w 10"/>
              <a:gd name="T19" fmla="*/ 3 h 12"/>
              <a:gd name="T20" fmla="*/ 0 w 10"/>
              <a:gd name="T21" fmla="*/ 3 h 12"/>
              <a:gd name="T22" fmla="*/ 1 w 10"/>
              <a:gd name="T23" fmla="*/ 3 h 12"/>
              <a:gd name="T24" fmla="*/ 1 w 10"/>
              <a:gd name="T25" fmla="*/ 3 h 12"/>
              <a:gd name="T26" fmla="*/ 1 w 10"/>
              <a:gd name="T27" fmla="*/ 2 h 12"/>
              <a:gd name="T28" fmla="*/ 1 w 10"/>
              <a:gd name="T29" fmla="*/ 2 h 12"/>
              <a:gd name="T30" fmla="*/ 1 w 10"/>
              <a:gd name="T31" fmla="*/ 2 h 12"/>
              <a:gd name="T32" fmla="*/ 1 w 10"/>
              <a:gd name="T33" fmla="*/ 0 h 12"/>
              <a:gd name="T34" fmla="*/ 1 w 10"/>
              <a:gd name="T35" fmla="*/ 1 h 12"/>
              <a:gd name="T36" fmla="*/ 2 w 10"/>
              <a:gd name="T37" fmla="*/ 1 h 12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10"/>
              <a:gd name="T58" fmla="*/ 0 h 12"/>
              <a:gd name="T59" fmla="*/ 10 w 10"/>
              <a:gd name="T60" fmla="*/ 12 h 12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10" h="12">
                <a:moveTo>
                  <a:pt x="8" y="4"/>
                </a:moveTo>
                <a:lnTo>
                  <a:pt x="10" y="4"/>
                </a:lnTo>
                <a:lnTo>
                  <a:pt x="10" y="0"/>
                </a:lnTo>
                <a:lnTo>
                  <a:pt x="8" y="0"/>
                </a:lnTo>
                <a:lnTo>
                  <a:pt x="0" y="2"/>
                </a:lnTo>
                <a:lnTo>
                  <a:pt x="2" y="4"/>
                </a:lnTo>
                <a:lnTo>
                  <a:pt x="4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6" y="10"/>
                </a:lnTo>
                <a:lnTo>
                  <a:pt x="6" y="6"/>
                </a:lnTo>
                <a:lnTo>
                  <a:pt x="4" y="6"/>
                </a:lnTo>
                <a:lnTo>
                  <a:pt x="6" y="6"/>
                </a:lnTo>
                <a:lnTo>
                  <a:pt x="6" y="0"/>
                </a:lnTo>
                <a:lnTo>
                  <a:pt x="4" y="2"/>
                </a:lnTo>
                <a:lnTo>
                  <a:pt x="8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7" name="Freeform 146"/>
          <xdr:cNvSpPr>
            <a:spLocks/>
          </xdr:cNvSpPr>
        </xdr:nvSpPr>
        <xdr:spPr bwMode="auto">
          <a:xfrm>
            <a:off x="313" y="2140"/>
            <a:ext cx="2" cy="3"/>
          </a:xfrm>
          <a:custGeom>
            <a:avLst/>
            <a:gdLst>
              <a:gd name="T0" fmla="*/ 1 w 8"/>
              <a:gd name="T1" fmla="*/ 1 h 12"/>
              <a:gd name="T2" fmla="*/ 1 w 8"/>
              <a:gd name="T3" fmla="*/ 2 h 12"/>
              <a:gd name="T4" fmla="*/ 2 w 8"/>
              <a:gd name="T5" fmla="*/ 2 h 12"/>
              <a:gd name="T6" fmla="*/ 2 w 8"/>
              <a:gd name="T7" fmla="*/ 0 h 12"/>
              <a:gd name="T8" fmla="*/ 1 w 8"/>
              <a:gd name="T9" fmla="*/ 0 h 12"/>
              <a:gd name="T10" fmla="*/ 1 w 8"/>
              <a:gd name="T11" fmla="*/ 1 h 12"/>
              <a:gd name="T12" fmla="*/ 0 w 8"/>
              <a:gd name="T13" fmla="*/ 1 h 12"/>
              <a:gd name="T14" fmla="*/ 0 w 8"/>
              <a:gd name="T15" fmla="*/ 2 h 12"/>
              <a:gd name="T16" fmla="*/ 1 w 8"/>
              <a:gd name="T17" fmla="*/ 2 h 12"/>
              <a:gd name="T18" fmla="*/ 1 w 8"/>
              <a:gd name="T19" fmla="*/ 2 h 12"/>
              <a:gd name="T20" fmla="*/ 1 w 8"/>
              <a:gd name="T21" fmla="*/ 1 h 12"/>
              <a:gd name="T22" fmla="*/ 0 w 8"/>
              <a:gd name="T23" fmla="*/ 1 h 12"/>
              <a:gd name="T24" fmla="*/ 0 w 8"/>
              <a:gd name="T25" fmla="*/ 3 h 12"/>
              <a:gd name="T26" fmla="*/ 1 w 8"/>
              <a:gd name="T27" fmla="*/ 3 h 12"/>
              <a:gd name="T28" fmla="*/ 1 w 8"/>
              <a:gd name="T29" fmla="*/ 3 h 12"/>
              <a:gd name="T30" fmla="*/ 1 w 8"/>
              <a:gd name="T31" fmla="*/ 3 h 12"/>
              <a:gd name="T32" fmla="*/ 1 w 8"/>
              <a:gd name="T33" fmla="*/ 3 h 12"/>
              <a:gd name="T34" fmla="*/ 1 w 8"/>
              <a:gd name="T35" fmla="*/ 2 h 12"/>
              <a:gd name="T36" fmla="*/ 1 w 8"/>
              <a:gd name="T37" fmla="*/ 2 h 12"/>
              <a:gd name="T38" fmla="*/ 1 w 8"/>
              <a:gd name="T39" fmla="*/ 2 h 12"/>
              <a:gd name="T40" fmla="*/ 1 w 8"/>
              <a:gd name="T41" fmla="*/ 2 h 12"/>
              <a:gd name="T42" fmla="*/ 1 w 8"/>
              <a:gd name="T43" fmla="*/ 1 h 12"/>
              <a:gd name="T44" fmla="*/ 1 w 8"/>
              <a:gd name="T45" fmla="*/ 1 h 12"/>
              <a:gd name="T46" fmla="*/ 1 w 8"/>
              <a:gd name="T47" fmla="*/ 2 h 12"/>
              <a:gd name="T48" fmla="*/ 1 w 8"/>
              <a:gd name="T49" fmla="*/ 2 h 12"/>
              <a:gd name="T50" fmla="*/ 1 w 8"/>
              <a:gd name="T51" fmla="*/ 1 h 12"/>
              <a:gd name="T52" fmla="*/ 1 w 8"/>
              <a:gd name="T53" fmla="*/ 1 h 12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8"/>
              <a:gd name="T82" fmla="*/ 0 h 12"/>
              <a:gd name="T83" fmla="*/ 8 w 8"/>
              <a:gd name="T84" fmla="*/ 12 h 12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8" h="12">
                <a:moveTo>
                  <a:pt x="4" y="4"/>
                </a:moveTo>
                <a:lnTo>
                  <a:pt x="4" y="6"/>
                </a:lnTo>
                <a:lnTo>
                  <a:pt x="8" y="6"/>
                </a:lnTo>
                <a:lnTo>
                  <a:pt x="8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4" y="8"/>
                </a:lnTo>
                <a:lnTo>
                  <a:pt x="2" y="6"/>
                </a:lnTo>
                <a:lnTo>
                  <a:pt x="4" y="4"/>
                </a:lnTo>
                <a:lnTo>
                  <a:pt x="0" y="4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6" y="10"/>
                </a:lnTo>
                <a:lnTo>
                  <a:pt x="6" y="6"/>
                </a:lnTo>
                <a:lnTo>
                  <a:pt x="4" y="6"/>
                </a:lnTo>
                <a:lnTo>
                  <a:pt x="4" y="8"/>
                </a:lnTo>
                <a:lnTo>
                  <a:pt x="6" y="6"/>
                </a:lnTo>
                <a:lnTo>
                  <a:pt x="6" y="4"/>
                </a:lnTo>
                <a:lnTo>
                  <a:pt x="4" y="4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8" name="Freeform 147"/>
          <xdr:cNvSpPr>
            <a:spLocks/>
          </xdr:cNvSpPr>
        </xdr:nvSpPr>
        <xdr:spPr bwMode="auto">
          <a:xfrm>
            <a:off x="312" y="2147"/>
            <a:ext cx="3" cy="5"/>
          </a:xfrm>
          <a:custGeom>
            <a:avLst/>
            <a:gdLst>
              <a:gd name="T0" fmla="*/ 3 w 11"/>
              <a:gd name="T1" fmla="*/ 1 h 14"/>
              <a:gd name="T2" fmla="*/ 3 w 11"/>
              <a:gd name="T3" fmla="*/ 0 h 14"/>
              <a:gd name="T4" fmla="*/ 2 w 11"/>
              <a:gd name="T5" fmla="*/ 0 h 14"/>
              <a:gd name="T6" fmla="*/ 2 w 11"/>
              <a:gd name="T7" fmla="*/ 1 h 14"/>
              <a:gd name="T8" fmla="*/ 2 w 11"/>
              <a:gd name="T9" fmla="*/ 0 h 14"/>
              <a:gd name="T10" fmla="*/ 1 w 11"/>
              <a:gd name="T11" fmla="*/ 0 h 14"/>
              <a:gd name="T12" fmla="*/ 1 w 11"/>
              <a:gd name="T13" fmla="*/ 4 h 14"/>
              <a:gd name="T14" fmla="*/ 2 w 11"/>
              <a:gd name="T15" fmla="*/ 3 h 14"/>
              <a:gd name="T16" fmla="*/ 0 w 11"/>
              <a:gd name="T17" fmla="*/ 3 h 14"/>
              <a:gd name="T18" fmla="*/ 0 w 11"/>
              <a:gd name="T19" fmla="*/ 5 h 14"/>
              <a:gd name="T20" fmla="*/ 1 w 11"/>
              <a:gd name="T21" fmla="*/ 5 h 14"/>
              <a:gd name="T22" fmla="*/ 1 w 11"/>
              <a:gd name="T23" fmla="*/ 4 h 14"/>
              <a:gd name="T24" fmla="*/ 2 w 11"/>
              <a:gd name="T25" fmla="*/ 4 h 14"/>
              <a:gd name="T26" fmla="*/ 2 w 11"/>
              <a:gd name="T27" fmla="*/ 1 h 14"/>
              <a:gd name="T28" fmla="*/ 3 w 11"/>
              <a:gd name="T29" fmla="*/ 1 h 1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14"/>
              <a:gd name="T47" fmla="*/ 11 w 11"/>
              <a:gd name="T48" fmla="*/ 14 h 1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14">
                <a:moveTo>
                  <a:pt x="11" y="2"/>
                </a:moveTo>
                <a:lnTo>
                  <a:pt x="11" y="0"/>
                </a:lnTo>
                <a:lnTo>
                  <a:pt x="7" y="0"/>
                </a:lnTo>
                <a:lnTo>
                  <a:pt x="7" y="2"/>
                </a:lnTo>
                <a:lnTo>
                  <a:pt x="9" y="0"/>
                </a:lnTo>
                <a:lnTo>
                  <a:pt x="5" y="0"/>
                </a:lnTo>
                <a:lnTo>
                  <a:pt x="5" y="10"/>
                </a:lnTo>
                <a:lnTo>
                  <a:pt x="7" y="8"/>
                </a:lnTo>
                <a:lnTo>
                  <a:pt x="0" y="8"/>
                </a:lnTo>
                <a:lnTo>
                  <a:pt x="0" y="14"/>
                </a:lnTo>
                <a:lnTo>
                  <a:pt x="3" y="14"/>
                </a:lnTo>
                <a:lnTo>
                  <a:pt x="3" y="12"/>
                </a:lnTo>
                <a:lnTo>
                  <a:pt x="9" y="12"/>
                </a:lnTo>
                <a:lnTo>
                  <a:pt x="9" y="4"/>
                </a:lnTo>
                <a:lnTo>
                  <a:pt x="11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49" name="Freeform 148"/>
          <xdr:cNvSpPr>
            <a:spLocks/>
          </xdr:cNvSpPr>
        </xdr:nvSpPr>
        <xdr:spPr bwMode="auto">
          <a:xfrm>
            <a:off x="301" y="2147"/>
            <a:ext cx="2" cy="5"/>
          </a:xfrm>
          <a:custGeom>
            <a:avLst/>
            <a:gdLst>
              <a:gd name="T0" fmla="*/ 1 w 12"/>
              <a:gd name="T1" fmla="*/ 1 h 14"/>
              <a:gd name="T2" fmla="*/ 1 w 12"/>
              <a:gd name="T3" fmla="*/ 0 h 14"/>
              <a:gd name="T4" fmla="*/ 0 w 12"/>
              <a:gd name="T5" fmla="*/ 0 h 14"/>
              <a:gd name="T6" fmla="*/ 0 w 12"/>
              <a:gd name="T7" fmla="*/ 3 h 14"/>
              <a:gd name="T8" fmla="*/ 0 w 12"/>
              <a:gd name="T9" fmla="*/ 4 h 14"/>
              <a:gd name="T10" fmla="*/ 0 w 12"/>
              <a:gd name="T11" fmla="*/ 4 h 14"/>
              <a:gd name="T12" fmla="*/ 1 w 12"/>
              <a:gd name="T13" fmla="*/ 4 h 14"/>
              <a:gd name="T14" fmla="*/ 1 w 12"/>
              <a:gd name="T15" fmla="*/ 4 h 14"/>
              <a:gd name="T16" fmla="*/ 1 w 12"/>
              <a:gd name="T17" fmla="*/ 5 h 14"/>
              <a:gd name="T18" fmla="*/ 2 w 12"/>
              <a:gd name="T19" fmla="*/ 5 h 14"/>
              <a:gd name="T20" fmla="*/ 2 w 12"/>
              <a:gd name="T21" fmla="*/ 4 h 14"/>
              <a:gd name="T22" fmla="*/ 2 w 12"/>
              <a:gd name="T23" fmla="*/ 4 h 14"/>
              <a:gd name="T24" fmla="*/ 2 w 12"/>
              <a:gd name="T25" fmla="*/ 3 h 14"/>
              <a:gd name="T26" fmla="*/ 1 w 12"/>
              <a:gd name="T27" fmla="*/ 3 h 14"/>
              <a:gd name="T28" fmla="*/ 1 w 12"/>
              <a:gd name="T29" fmla="*/ 4 h 14"/>
              <a:gd name="T30" fmla="*/ 1 w 12"/>
              <a:gd name="T31" fmla="*/ 3 h 14"/>
              <a:gd name="T32" fmla="*/ 1 w 12"/>
              <a:gd name="T33" fmla="*/ 3 h 14"/>
              <a:gd name="T34" fmla="*/ 1 w 12"/>
              <a:gd name="T35" fmla="*/ 1 h 14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2"/>
              <a:gd name="T55" fmla="*/ 0 h 14"/>
              <a:gd name="T56" fmla="*/ 12 w 12"/>
              <a:gd name="T57" fmla="*/ 14 h 14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2" h="1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8"/>
                </a:lnTo>
                <a:lnTo>
                  <a:pt x="2" y="12"/>
                </a:lnTo>
                <a:lnTo>
                  <a:pt x="2" y="10"/>
                </a:lnTo>
                <a:lnTo>
                  <a:pt x="4" y="12"/>
                </a:lnTo>
                <a:lnTo>
                  <a:pt x="6" y="12"/>
                </a:lnTo>
                <a:lnTo>
                  <a:pt x="6" y="14"/>
                </a:lnTo>
                <a:lnTo>
                  <a:pt x="12" y="14"/>
                </a:lnTo>
                <a:lnTo>
                  <a:pt x="12" y="10"/>
                </a:lnTo>
                <a:lnTo>
                  <a:pt x="10" y="10"/>
                </a:lnTo>
                <a:lnTo>
                  <a:pt x="10" y="8"/>
                </a:lnTo>
                <a:lnTo>
                  <a:pt x="4" y="8"/>
                </a:lnTo>
                <a:lnTo>
                  <a:pt x="6" y="10"/>
                </a:lnTo>
                <a:lnTo>
                  <a:pt x="6" y="8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0" name="Freeform 149"/>
          <xdr:cNvSpPr>
            <a:spLocks/>
          </xdr:cNvSpPr>
        </xdr:nvSpPr>
        <xdr:spPr bwMode="auto">
          <a:xfrm>
            <a:off x="306" y="2135"/>
            <a:ext cx="10" cy="0"/>
          </a:xfrm>
          <a:custGeom>
            <a:avLst/>
            <a:gdLst>
              <a:gd name="T0" fmla="*/ 10 w 51"/>
              <a:gd name="T1" fmla="*/ 0 h 4"/>
              <a:gd name="T2" fmla="*/ 10 w 51"/>
              <a:gd name="T3" fmla="*/ 0 h 4"/>
              <a:gd name="T4" fmla="*/ 10 w 51"/>
              <a:gd name="T5" fmla="*/ 0 h 4"/>
              <a:gd name="T6" fmla="*/ 0 w 51"/>
              <a:gd name="T7" fmla="*/ 0 h 4"/>
              <a:gd name="T8" fmla="*/ 0 w 51"/>
              <a:gd name="T9" fmla="*/ 0 h 4"/>
              <a:gd name="T10" fmla="*/ 0 w 51"/>
              <a:gd name="T11" fmla="*/ 0 h 4"/>
              <a:gd name="T12" fmla="*/ 10 w 51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1"/>
              <a:gd name="T22" fmla="*/ 0 h 4"/>
              <a:gd name="T23" fmla="*/ 51 w 51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1" h="4">
                <a:moveTo>
                  <a:pt x="49" y="4"/>
                </a:moveTo>
                <a:lnTo>
                  <a:pt x="51" y="4"/>
                </a:lnTo>
                <a:lnTo>
                  <a:pt x="51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49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1" name="Freeform 150"/>
          <xdr:cNvSpPr>
            <a:spLocks/>
          </xdr:cNvSpPr>
        </xdr:nvSpPr>
        <xdr:spPr bwMode="auto">
          <a:xfrm>
            <a:off x="302" y="2150"/>
            <a:ext cx="11" cy="2"/>
          </a:xfrm>
          <a:custGeom>
            <a:avLst/>
            <a:gdLst>
              <a:gd name="T0" fmla="*/ 11 w 51"/>
              <a:gd name="T1" fmla="*/ 2 h 4"/>
              <a:gd name="T2" fmla="*/ 11 w 51"/>
              <a:gd name="T3" fmla="*/ 2 h 4"/>
              <a:gd name="T4" fmla="*/ 11 w 51"/>
              <a:gd name="T5" fmla="*/ 0 h 4"/>
              <a:gd name="T6" fmla="*/ 0 w 51"/>
              <a:gd name="T7" fmla="*/ 0 h 4"/>
              <a:gd name="T8" fmla="*/ 0 w 51"/>
              <a:gd name="T9" fmla="*/ 2 h 4"/>
              <a:gd name="T10" fmla="*/ 0 w 51"/>
              <a:gd name="T11" fmla="*/ 2 h 4"/>
              <a:gd name="T12" fmla="*/ 11 w 51"/>
              <a:gd name="T13" fmla="*/ 2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1"/>
              <a:gd name="T22" fmla="*/ 0 h 4"/>
              <a:gd name="T23" fmla="*/ 51 w 51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1" h="4">
                <a:moveTo>
                  <a:pt x="50" y="4"/>
                </a:moveTo>
                <a:lnTo>
                  <a:pt x="51" y="4"/>
                </a:lnTo>
                <a:lnTo>
                  <a:pt x="51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50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2" name="Freeform 151"/>
          <xdr:cNvSpPr>
            <a:spLocks/>
          </xdr:cNvSpPr>
        </xdr:nvSpPr>
        <xdr:spPr bwMode="auto">
          <a:xfrm>
            <a:off x="313" y="2142"/>
            <a:ext cx="2" cy="7"/>
          </a:xfrm>
          <a:custGeom>
            <a:avLst/>
            <a:gdLst>
              <a:gd name="T0" fmla="*/ 2 w 4"/>
              <a:gd name="T1" fmla="*/ 1 h 27"/>
              <a:gd name="T2" fmla="*/ 2 w 4"/>
              <a:gd name="T3" fmla="*/ 0 h 27"/>
              <a:gd name="T4" fmla="*/ 0 w 4"/>
              <a:gd name="T5" fmla="*/ 0 h 27"/>
              <a:gd name="T6" fmla="*/ 0 w 4"/>
              <a:gd name="T7" fmla="*/ 7 h 27"/>
              <a:gd name="T8" fmla="*/ 2 w 4"/>
              <a:gd name="T9" fmla="*/ 7 h 27"/>
              <a:gd name="T10" fmla="*/ 2 w 4"/>
              <a:gd name="T11" fmla="*/ 6 h 27"/>
              <a:gd name="T12" fmla="*/ 2 w 4"/>
              <a:gd name="T13" fmla="*/ 1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7"/>
              <a:gd name="T23" fmla="*/ 4 w 4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7"/>
                </a:lnTo>
                <a:lnTo>
                  <a:pt x="4" y="27"/>
                </a:lnTo>
                <a:lnTo>
                  <a:pt x="4" y="25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3" name="Freeform 152"/>
          <xdr:cNvSpPr>
            <a:spLocks/>
          </xdr:cNvSpPr>
        </xdr:nvSpPr>
        <xdr:spPr bwMode="auto">
          <a:xfrm>
            <a:off x="301" y="2142"/>
            <a:ext cx="1" cy="7"/>
          </a:xfrm>
          <a:custGeom>
            <a:avLst/>
            <a:gdLst>
              <a:gd name="T0" fmla="*/ 1 w 4"/>
              <a:gd name="T1" fmla="*/ 0 h 29"/>
              <a:gd name="T2" fmla="*/ 1 w 4"/>
              <a:gd name="T3" fmla="*/ 0 h 29"/>
              <a:gd name="T4" fmla="*/ 0 w 4"/>
              <a:gd name="T5" fmla="*/ 0 h 29"/>
              <a:gd name="T6" fmla="*/ 0 w 4"/>
              <a:gd name="T7" fmla="*/ 7 h 29"/>
              <a:gd name="T8" fmla="*/ 1 w 4"/>
              <a:gd name="T9" fmla="*/ 7 h 29"/>
              <a:gd name="T10" fmla="*/ 1 w 4"/>
              <a:gd name="T11" fmla="*/ 7 h 29"/>
              <a:gd name="T12" fmla="*/ 1 w 4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9"/>
              <a:gd name="T23" fmla="*/ 4 w 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4" name="Freeform 153"/>
          <xdr:cNvSpPr>
            <a:spLocks/>
          </xdr:cNvSpPr>
        </xdr:nvSpPr>
        <xdr:spPr bwMode="auto">
          <a:xfrm>
            <a:off x="317" y="2135"/>
            <a:ext cx="0" cy="3"/>
          </a:xfrm>
          <a:custGeom>
            <a:avLst/>
            <a:gdLst>
              <a:gd name="T0" fmla="*/ 0 w 4"/>
              <a:gd name="T1" fmla="*/ 1 h 10"/>
              <a:gd name="T2" fmla="*/ 0 w 4"/>
              <a:gd name="T3" fmla="*/ 0 h 10"/>
              <a:gd name="T4" fmla="*/ 0 w 4"/>
              <a:gd name="T5" fmla="*/ 0 h 10"/>
              <a:gd name="T6" fmla="*/ 0 w 4"/>
              <a:gd name="T7" fmla="*/ 3 h 10"/>
              <a:gd name="T8" fmla="*/ 0 w 4"/>
              <a:gd name="T9" fmla="*/ 3 h 10"/>
              <a:gd name="T10" fmla="*/ 0 w 4"/>
              <a:gd name="T11" fmla="*/ 2 h 10"/>
              <a:gd name="T12" fmla="*/ 0 w 4"/>
              <a:gd name="T13" fmla="*/ 1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0"/>
              <a:gd name="T23" fmla="*/ 0 w 4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0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0"/>
                </a:lnTo>
                <a:lnTo>
                  <a:pt x="4" y="10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5" name="Freeform 154"/>
          <xdr:cNvSpPr>
            <a:spLocks/>
          </xdr:cNvSpPr>
        </xdr:nvSpPr>
        <xdr:spPr bwMode="auto">
          <a:xfrm>
            <a:off x="305" y="2135"/>
            <a:ext cx="1" cy="3"/>
          </a:xfrm>
          <a:custGeom>
            <a:avLst/>
            <a:gdLst>
              <a:gd name="T0" fmla="*/ 1 w 4"/>
              <a:gd name="T1" fmla="*/ 1 h 10"/>
              <a:gd name="T2" fmla="*/ 1 w 4"/>
              <a:gd name="T3" fmla="*/ 0 h 10"/>
              <a:gd name="T4" fmla="*/ 0 w 4"/>
              <a:gd name="T5" fmla="*/ 0 h 10"/>
              <a:gd name="T6" fmla="*/ 0 w 4"/>
              <a:gd name="T7" fmla="*/ 3 h 10"/>
              <a:gd name="T8" fmla="*/ 1 w 4"/>
              <a:gd name="T9" fmla="*/ 3 h 10"/>
              <a:gd name="T10" fmla="*/ 1 w 4"/>
              <a:gd name="T11" fmla="*/ 2 h 10"/>
              <a:gd name="T12" fmla="*/ 1 w 4"/>
              <a:gd name="T13" fmla="*/ 1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0"/>
              <a:gd name="T23" fmla="*/ 4 w 4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0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0"/>
                </a:lnTo>
                <a:lnTo>
                  <a:pt x="4" y="10"/>
                </a:lnTo>
                <a:lnTo>
                  <a:pt x="4" y="8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6" name="Freeform 155"/>
          <xdr:cNvSpPr>
            <a:spLocks/>
          </xdr:cNvSpPr>
        </xdr:nvSpPr>
        <xdr:spPr bwMode="auto">
          <a:xfrm>
            <a:off x="315" y="2139"/>
            <a:ext cx="2" cy="3"/>
          </a:xfrm>
          <a:custGeom>
            <a:avLst/>
            <a:gdLst>
              <a:gd name="T0" fmla="*/ 2 w 14"/>
              <a:gd name="T1" fmla="*/ 1 h 15"/>
              <a:gd name="T2" fmla="*/ 2 w 14"/>
              <a:gd name="T3" fmla="*/ 0 h 15"/>
              <a:gd name="T4" fmla="*/ 1 w 14"/>
              <a:gd name="T5" fmla="*/ 0 h 15"/>
              <a:gd name="T6" fmla="*/ 0 w 14"/>
              <a:gd name="T7" fmla="*/ 2 h 15"/>
              <a:gd name="T8" fmla="*/ 0 w 14"/>
              <a:gd name="T9" fmla="*/ 3 h 15"/>
              <a:gd name="T10" fmla="*/ 1 w 14"/>
              <a:gd name="T11" fmla="*/ 3 h 15"/>
              <a:gd name="T12" fmla="*/ 2 w 14"/>
              <a:gd name="T13" fmla="*/ 1 h 1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4"/>
              <a:gd name="T22" fmla="*/ 0 h 15"/>
              <a:gd name="T23" fmla="*/ 14 w 14"/>
              <a:gd name="T24" fmla="*/ 15 h 1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4" h="15">
                <a:moveTo>
                  <a:pt x="14" y="3"/>
                </a:moveTo>
                <a:lnTo>
                  <a:pt x="14" y="0"/>
                </a:lnTo>
                <a:lnTo>
                  <a:pt x="10" y="0"/>
                </a:lnTo>
                <a:lnTo>
                  <a:pt x="0" y="11"/>
                </a:lnTo>
                <a:lnTo>
                  <a:pt x="0" y="15"/>
                </a:lnTo>
                <a:lnTo>
                  <a:pt x="4" y="15"/>
                </a:lnTo>
                <a:lnTo>
                  <a:pt x="14" y="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7" name="Freeform 156"/>
          <xdr:cNvSpPr>
            <a:spLocks/>
          </xdr:cNvSpPr>
        </xdr:nvSpPr>
        <xdr:spPr bwMode="auto">
          <a:xfrm>
            <a:off x="301" y="2138"/>
            <a:ext cx="4" cy="4"/>
          </a:xfrm>
          <a:custGeom>
            <a:avLst/>
            <a:gdLst>
              <a:gd name="T0" fmla="*/ 4 w 16"/>
              <a:gd name="T1" fmla="*/ 1 h 15"/>
              <a:gd name="T2" fmla="*/ 4 w 16"/>
              <a:gd name="T3" fmla="*/ 0 h 15"/>
              <a:gd name="T4" fmla="*/ 3 w 16"/>
              <a:gd name="T5" fmla="*/ 0 h 15"/>
              <a:gd name="T6" fmla="*/ 0 w 16"/>
              <a:gd name="T7" fmla="*/ 3 h 15"/>
              <a:gd name="T8" fmla="*/ 0 w 16"/>
              <a:gd name="T9" fmla="*/ 4 h 15"/>
              <a:gd name="T10" fmla="*/ 1 w 16"/>
              <a:gd name="T11" fmla="*/ 4 h 15"/>
              <a:gd name="T12" fmla="*/ 4 w 16"/>
              <a:gd name="T13" fmla="*/ 1 h 1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5"/>
              <a:gd name="T23" fmla="*/ 16 w 16"/>
              <a:gd name="T24" fmla="*/ 15 h 1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5">
                <a:moveTo>
                  <a:pt x="16" y="3"/>
                </a:moveTo>
                <a:lnTo>
                  <a:pt x="16" y="0"/>
                </a:lnTo>
                <a:lnTo>
                  <a:pt x="12" y="0"/>
                </a:lnTo>
                <a:lnTo>
                  <a:pt x="0" y="11"/>
                </a:lnTo>
                <a:lnTo>
                  <a:pt x="0" y="15"/>
                </a:lnTo>
                <a:lnTo>
                  <a:pt x="4" y="15"/>
                </a:lnTo>
                <a:lnTo>
                  <a:pt x="16" y="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8" name="Freeform 157"/>
          <xdr:cNvSpPr>
            <a:spLocks/>
          </xdr:cNvSpPr>
        </xdr:nvSpPr>
        <xdr:spPr bwMode="auto">
          <a:xfrm>
            <a:off x="310" y="2145"/>
            <a:ext cx="3" cy="2"/>
          </a:xfrm>
          <a:custGeom>
            <a:avLst/>
            <a:gdLst>
              <a:gd name="T0" fmla="*/ 0 w 14"/>
              <a:gd name="T1" fmla="*/ 0 h 13"/>
              <a:gd name="T2" fmla="*/ 0 w 14"/>
              <a:gd name="T3" fmla="*/ 0 h 13"/>
              <a:gd name="T4" fmla="*/ 0 w 14"/>
              <a:gd name="T5" fmla="*/ 1 h 13"/>
              <a:gd name="T6" fmla="*/ 1 w 14"/>
              <a:gd name="T7" fmla="*/ 1 h 13"/>
              <a:gd name="T8" fmla="*/ 1 w 14"/>
              <a:gd name="T9" fmla="*/ 1 h 13"/>
              <a:gd name="T10" fmla="*/ 2 w 14"/>
              <a:gd name="T11" fmla="*/ 1 h 13"/>
              <a:gd name="T12" fmla="*/ 1 w 14"/>
              <a:gd name="T13" fmla="*/ 1 h 13"/>
              <a:gd name="T14" fmla="*/ 1 w 14"/>
              <a:gd name="T15" fmla="*/ 2 h 13"/>
              <a:gd name="T16" fmla="*/ 2 w 14"/>
              <a:gd name="T17" fmla="*/ 2 h 13"/>
              <a:gd name="T18" fmla="*/ 2 w 14"/>
              <a:gd name="T19" fmla="*/ 2 h 13"/>
              <a:gd name="T20" fmla="*/ 3 w 14"/>
              <a:gd name="T21" fmla="*/ 2 h 13"/>
              <a:gd name="T22" fmla="*/ 3 w 14"/>
              <a:gd name="T23" fmla="*/ 2 h 13"/>
              <a:gd name="T24" fmla="*/ 3 w 14"/>
              <a:gd name="T25" fmla="*/ 2 h 13"/>
              <a:gd name="T26" fmla="*/ 3 w 14"/>
              <a:gd name="T27" fmla="*/ 1 h 13"/>
              <a:gd name="T28" fmla="*/ 2 w 14"/>
              <a:gd name="T29" fmla="*/ 1 h 13"/>
              <a:gd name="T30" fmla="*/ 2 w 14"/>
              <a:gd name="T31" fmla="*/ 1 h 13"/>
              <a:gd name="T32" fmla="*/ 2 w 14"/>
              <a:gd name="T33" fmla="*/ 0 h 13"/>
              <a:gd name="T34" fmla="*/ 2 w 14"/>
              <a:gd name="T35" fmla="*/ 0 h 13"/>
              <a:gd name="T36" fmla="*/ 1 w 14"/>
              <a:gd name="T37" fmla="*/ 0 h 13"/>
              <a:gd name="T38" fmla="*/ 0 w 14"/>
              <a:gd name="T39" fmla="*/ 0 h 13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"/>
              <a:gd name="T61" fmla="*/ 0 h 13"/>
              <a:gd name="T62" fmla="*/ 14 w 14"/>
              <a:gd name="T63" fmla="*/ 13 h 13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" h="13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6" y="4"/>
                </a:lnTo>
                <a:lnTo>
                  <a:pt x="6" y="6"/>
                </a:lnTo>
                <a:lnTo>
                  <a:pt x="8" y="6"/>
                </a:lnTo>
                <a:lnTo>
                  <a:pt x="6" y="4"/>
                </a:lnTo>
                <a:lnTo>
                  <a:pt x="6" y="10"/>
                </a:lnTo>
                <a:lnTo>
                  <a:pt x="8" y="10"/>
                </a:lnTo>
                <a:lnTo>
                  <a:pt x="10" y="13"/>
                </a:lnTo>
                <a:lnTo>
                  <a:pt x="14" y="13"/>
                </a:lnTo>
                <a:lnTo>
                  <a:pt x="14" y="10"/>
                </a:lnTo>
                <a:lnTo>
                  <a:pt x="12" y="10"/>
                </a:lnTo>
                <a:lnTo>
                  <a:pt x="12" y="6"/>
                </a:lnTo>
                <a:lnTo>
                  <a:pt x="10" y="6"/>
                </a:lnTo>
                <a:lnTo>
                  <a:pt x="10" y="4"/>
                </a:lnTo>
                <a:lnTo>
                  <a:pt x="8" y="2"/>
                </a:lnTo>
                <a:lnTo>
                  <a:pt x="10" y="2"/>
                </a:lnTo>
                <a:lnTo>
                  <a:pt x="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59" name="Freeform 158"/>
          <xdr:cNvSpPr>
            <a:spLocks/>
          </xdr:cNvSpPr>
        </xdr:nvSpPr>
        <xdr:spPr bwMode="auto">
          <a:xfrm>
            <a:off x="301" y="2145"/>
            <a:ext cx="10" cy="0"/>
          </a:xfrm>
          <a:custGeom>
            <a:avLst/>
            <a:gdLst>
              <a:gd name="T0" fmla="*/ 10 w 46"/>
              <a:gd name="T1" fmla="*/ 0 h 4"/>
              <a:gd name="T2" fmla="*/ 10 w 46"/>
              <a:gd name="T3" fmla="*/ 0 h 4"/>
              <a:gd name="T4" fmla="*/ 10 w 46"/>
              <a:gd name="T5" fmla="*/ 0 h 4"/>
              <a:gd name="T6" fmla="*/ 0 w 46"/>
              <a:gd name="T7" fmla="*/ 0 h 4"/>
              <a:gd name="T8" fmla="*/ 0 w 46"/>
              <a:gd name="T9" fmla="*/ 0 h 4"/>
              <a:gd name="T10" fmla="*/ 0 w 46"/>
              <a:gd name="T11" fmla="*/ 0 h 4"/>
              <a:gd name="T12" fmla="*/ 10 w 46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6"/>
              <a:gd name="T22" fmla="*/ 0 h 4"/>
              <a:gd name="T23" fmla="*/ 46 w 46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6" h="4">
                <a:moveTo>
                  <a:pt x="44" y="4"/>
                </a:moveTo>
                <a:lnTo>
                  <a:pt x="46" y="4"/>
                </a:lnTo>
                <a:lnTo>
                  <a:pt x="46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4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0" name="Freeform 159"/>
          <xdr:cNvSpPr>
            <a:spLocks/>
          </xdr:cNvSpPr>
        </xdr:nvSpPr>
        <xdr:spPr bwMode="auto">
          <a:xfrm>
            <a:off x="312" y="2146"/>
            <a:ext cx="1" cy="6"/>
          </a:xfrm>
          <a:custGeom>
            <a:avLst/>
            <a:gdLst>
              <a:gd name="T0" fmla="*/ 1 w 4"/>
              <a:gd name="T1" fmla="*/ 1 h 21"/>
              <a:gd name="T2" fmla="*/ 1 w 4"/>
              <a:gd name="T3" fmla="*/ 0 h 21"/>
              <a:gd name="T4" fmla="*/ 0 w 4"/>
              <a:gd name="T5" fmla="*/ 0 h 21"/>
              <a:gd name="T6" fmla="*/ 0 w 4"/>
              <a:gd name="T7" fmla="*/ 6 h 21"/>
              <a:gd name="T8" fmla="*/ 1 w 4"/>
              <a:gd name="T9" fmla="*/ 6 h 21"/>
              <a:gd name="T10" fmla="*/ 1 w 4"/>
              <a:gd name="T11" fmla="*/ 5 h 21"/>
              <a:gd name="T12" fmla="*/ 1 w 4"/>
              <a:gd name="T13" fmla="*/ 1 h 2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1"/>
              <a:gd name="T23" fmla="*/ 4 w 4"/>
              <a:gd name="T24" fmla="*/ 21 h 2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1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1"/>
                </a:lnTo>
                <a:lnTo>
                  <a:pt x="4" y="21"/>
                </a:lnTo>
                <a:lnTo>
                  <a:pt x="4" y="19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1" name="Freeform 160"/>
          <xdr:cNvSpPr>
            <a:spLocks/>
          </xdr:cNvSpPr>
        </xdr:nvSpPr>
        <xdr:spPr bwMode="auto">
          <a:xfrm>
            <a:off x="285" y="2219"/>
            <a:ext cx="1" cy="36"/>
          </a:xfrm>
          <a:custGeom>
            <a:avLst/>
            <a:gdLst>
              <a:gd name="T0" fmla="*/ 1 w 3"/>
              <a:gd name="T1" fmla="*/ 0 h 152"/>
              <a:gd name="T2" fmla="*/ 1 w 3"/>
              <a:gd name="T3" fmla="*/ 0 h 152"/>
              <a:gd name="T4" fmla="*/ 0 w 3"/>
              <a:gd name="T5" fmla="*/ 0 h 152"/>
              <a:gd name="T6" fmla="*/ 0 w 3"/>
              <a:gd name="T7" fmla="*/ 36 h 152"/>
              <a:gd name="T8" fmla="*/ 1 w 3"/>
              <a:gd name="T9" fmla="*/ 36 h 152"/>
              <a:gd name="T10" fmla="*/ 1 w 3"/>
              <a:gd name="T11" fmla="*/ 36 h 152"/>
              <a:gd name="T12" fmla="*/ 1 w 3"/>
              <a:gd name="T13" fmla="*/ 0 h 15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"/>
              <a:gd name="T22" fmla="*/ 0 h 152"/>
              <a:gd name="T23" fmla="*/ 3 w 3"/>
              <a:gd name="T24" fmla="*/ 152 h 15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" h="152">
                <a:moveTo>
                  <a:pt x="3" y="2"/>
                </a:moveTo>
                <a:lnTo>
                  <a:pt x="3" y="0"/>
                </a:lnTo>
                <a:lnTo>
                  <a:pt x="0" y="0"/>
                </a:lnTo>
                <a:lnTo>
                  <a:pt x="0" y="152"/>
                </a:lnTo>
                <a:lnTo>
                  <a:pt x="3" y="152"/>
                </a:lnTo>
                <a:lnTo>
                  <a:pt x="3" y="150"/>
                </a:lnTo>
                <a:lnTo>
                  <a:pt x="3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2" name="Freeform 161"/>
          <xdr:cNvSpPr>
            <a:spLocks/>
          </xdr:cNvSpPr>
        </xdr:nvSpPr>
        <xdr:spPr bwMode="auto">
          <a:xfrm>
            <a:off x="286" y="2219"/>
            <a:ext cx="1" cy="36"/>
          </a:xfrm>
          <a:custGeom>
            <a:avLst/>
            <a:gdLst>
              <a:gd name="T0" fmla="*/ 1 w 4"/>
              <a:gd name="T1" fmla="*/ 0 h 156"/>
              <a:gd name="T2" fmla="*/ 1 w 4"/>
              <a:gd name="T3" fmla="*/ 0 h 156"/>
              <a:gd name="T4" fmla="*/ 0 w 4"/>
              <a:gd name="T5" fmla="*/ 0 h 156"/>
              <a:gd name="T6" fmla="*/ 0 w 4"/>
              <a:gd name="T7" fmla="*/ 36 h 156"/>
              <a:gd name="T8" fmla="*/ 1 w 4"/>
              <a:gd name="T9" fmla="*/ 36 h 156"/>
              <a:gd name="T10" fmla="*/ 1 w 4"/>
              <a:gd name="T11" fmla="*/ 36 h 156"/>
              <a:gd name="T12" fmla="*/ 1 w 4"/>
              <a:gd name="T13" fmla="*/ 0 h 15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56"/>
              <a:gd name="T23" fmla="*/ 4 w 4"/>
              <a:gd name="T24" fmla="*/ 156 h 15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56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56"/>
                </a:lnTo>
                <a:lnTo>
                  <a:pt x="4" y="156"/>
                </a:lnTo>
                <a:lnTo>
                  <a:pt x="4" y="154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3" name="Freeform 162"/>
          <xdr:cNvSpPr>
            <a:spLocks/>
          </xdr:cNvSpPr>
        </xdr:nvSpPr>
        <xdr:spPr bwMode="auto">
          <a:xfrm>
            <a:off x="235" y="2213"/>
            <a:ext cx="3" cy="8"/>
          </a:xfrm>
          <a:custGeom>
            <a:avLst/>
            <a:gdLst>
              <a:gd name="T0" fmla="*/ 3 w 12"/>
              <a:gd name="T1" fmla="*/ 1 h 35"/>
              <a:gd name="T2" fmla="*/ 3 w 12"/>
              <a:gd name="T3" fmla="*/ 0 h 35"/>
              <a:gd name="T4" fmla="*/ 3 w 12"/>
              <a:gd name="T5" fmla="*/ 0 h 35"/>
              <a:gd name="T6" fmla="*/ 3 w 12"/>
              <a:gd name="T7" fmla="*/ 0 h 35"/>
              <a:gd name="T8" fmla="*/ 1 w 12"/>
              <a:gd name="T9" fmla="*/ 0 h 35"/>
              <a:gd name="T10" fmla="*/ 1 w 12"/>
              <a:gd name="T11" fmla="*/ 0 h 35"/>
              <a:gd name="T12" fmla="*/ 0 w 12"/>
              <a:gd name="T13" fmla="*/ 0 h 35"/>
              <a:gd name="T14" fmla="*/ 0 w 12"/>
              <a:gd name="T15" fmla="*/ 8 h 35"/>
              <a:gd name="T16" fmla="*/ 1 w 12"/>
              <a:gd name="T17" fmla="*/ 8 h 35"/>
              <a:gd name="T18" fmla="*/ 1 w 12"/>
              <a:gd name="T19" fmla="*/ 8 h 35"/>
              <a:gd name="T20" fmla="*/ 3 w 12"/>
              <a:gd name="T21" fmla="*/ 8 h 35"/>
              <a:gd name="T22" fmla="*/ 3 w 12"/>
              <a:gd name="T23" fmla="*/ 8 h 35"/>
              <a:gd name="T24" fmla="*/ 3 w 12"/>
              <a:gd name="T25" fmla="*/ 8 h 35"/>
              <a:gd name="T26" fmla="*/ 3 w 12"/>
              <a:gd name="T27" fmla="*/ 7 h 35"/>
              <a:gd name="T28" fmla="*/ 3 w 12"/>
              <a:gd name="T29" fmla="*/ 1 h 35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35"/>
              <a:gd name="T47" fmla="*/ 12 w 12"/>
              <a:gd name="T48" fmla="*/ 35 h 35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35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3"/>
                </a:lnTo>
                <a:lnTo>
                  <a:pt x="2" y="33"/>
                </a:lnTo>
                <a:lnTo>
                  <a:pt x="2" y="35"/>
                </a:lnTo>
                <a:lnTo>
                  <a:pt x="10" y="35"/>
                </a:lnTo>
                <a:lnTo>
                  <a:pt x="10" y="33"/>
                </a:lnTo>
                <a:lnTo>
                  <a:pt x="12" y="33"/>
                </a:lnTo>
                <a:lnTo>
                  <a:pt x="12" y="29"/>
                </a:lnTo>
                <a:lnTo>
                  <a:pt x="12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4" name="Freeform 163"/>
          <xdr:cNvSpPr>
            <a:spLocks/>
          </xdr:cNvSpPr>
        </xdr:nvSpPr>
        <xdr:spPr bwMode="auto">
          <a:xfrm>
            <a:off x="251" y="2153"/>
            <a:ext cx="66" cy="1"/>
          </a:xfrm>
          <a:custGeom>
            <a:avLst/>
            <a:gdLst>
              <a:gd name="T0" fmla="*/ 0 w 317"/>
              <a:gd name="T1" fmla="*/ 0 h 4"/>
              <a:gd name="T2" fmla="*/ 0 w 317"/>
              <a:gd name="T3" fmla="*/ 0 h 4"/>
              <a:gd name="T4" fmla="*/ 0 w 317"/>
              <a:gd name="T5" fmla="*/ 1 h 4"/>
              <a:gd name="T6" fmla="*/ 66 w 317"/>
              <a:gd name="T7" fmla="*/ 1 h 4"/>
              <a:gd name="T8" fmla="*/ 66 w 317"/>
              <a:gd name="T9" fmla="*/ 0 h 4"/>
              <a:gd name="T10" fmla="*/ 66 w 317"/>
              <a:gd name="T11" fmla="*/ 0 h 4"/>
              <a:gd name="T12" fmla="*/ 0 w 317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17"/>
              <a:gd name="T22" fmla="*/ 0 h 4"/>
              <a:gd name="T23" fmla="*/ 317 w 317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17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17" y="4"/>
                </a:lnTo>
                <a:lnTo>
                  <a:pt x="317" y="0"/>
                </a:lnTo>
                <a:lnTo>
                  <a:pt x="315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5" name="Rectangle 164"/>
          <xdr:cNvSpPr>
            <a:spLocks noChangeArrowheads="1"/>
          </xdr:cNvSpPr>
        </xdr:nvSpPr>
        <xdr:spPr bwMode="auto">
          <a:xfrm>
            <a:off x="237" y="2196"/>
            <a:ext cx="100" cy="6"/>
          </a:xfrm>
          <a:prstGeom prst="rect">
            <a:avLst/>
          </a:prstGeom>
          <a:solidFill>
            <a:srgbClr val="C0C0C0"/>
          </a:solidFill>
          <a:ln w="9525">
            <a:solidFill>
              <a:srgbClr val="0238C0"/>
            </a:solidFill>
            <a:miter lim="800000"/>
            <a:headEnd/>
            <a:tailEnd/>
          </a:ln>
        </xdr:spPr>
      </xdr:sp>
      <xdr:sp macro="" textlink="">
        <xdr:nvSpPr>
          <xdr:cNvPr id="166" name="Freeform 165"/>
          <xdr:cNvSpPr>
            <a:spLocks/>
          </xdr:cNvSpPr>
        </xdr:nvSpPr>
        <xdr:spPr bwMode="auto">
          <a:xfrm>
            <a:off x="237" y="2196"/>
            <a:ext cx="100" cy="6"/>
          </a:xfrm>
          <a:custGeom>
            <a:avLst/>
            <a:gdLst>
              <a:gd name="T0" fmla="*/ 0 w 487"/>
              <a:gd name="T1" fmla="*/ 0 h 25"/>
              <a:gd name="T2" fmla="*/ 0 w 487"/>
              <a:gd name="T3" fmla="*/ 0 h 25"/>
              <a:gd name="T4" fmla="*/ 0 w 487"/>
              <a:gd name="T5" fmla="*/ 6 h 25"/>
              <a:gd name="T6" fmla="*/ 100 w 487"/>
              <a:gd name="T7" fmla="*/ 6 h 25"/>
              <a:gd name="T8" fmla="*/ 100 w 487"/>
              <a:gd name="T9" fmla="*/ 0 h 25"/>
              <a:gd name="T10" fmla="*/ 100 w 487"/>
              <a:gd name="T11" fmla="*/ 0 h 25"/>
              <a:gd name="T12" fmla="*/ 0 w 487"/>
              <a:gd name="T13" fmla="*/ 0 h 25"/>
              <a:gd name="T14" fmla="*/ 0 w 487"/>
              <a:gd name="T15" fmla="*/ 1 h 25"/>
              <a:gd name="T16" fmla="*/ 100 w 487"/>
              <a:gd name="T17" fmla="*/ 1 h 25"/>
              <a:gd name="T18" fmla="*/ 99 w 487"/>
              <a:gd name="T19" fmla="*/ 0 h 25"/>
              <a:gd name="T20" fmla="*/ 99 w 487"/>
              <a:gd name="T21" fmla="*/ 6 h 25"/>
              <a:gd name="T22" fmla="*/ 100 w 487"/>
              <a:gd name="T23" fmla="*/ 5 h 25"/>
              <a:gd name="T24" fmla="*/ 0 w 487"/>
              <a:gd name="T25" fmla="*/ 5 h 25"/>
              <a:gd name="T26" fmla="*/ 1 w 487"/>
              <a:gd name="T27" fmla="*/ 6 h 25"/>
              <a:gd name="T28" fmla="*/ 1 w 487"/>
              <a:gd name="T29" fmla="*/ 0 h 25"/>
              <a:gd name="T30" fmla="*/ 0 w 487"/>
              <a:gd name="T31" fmla="*/ 1 h 25"/>
              <a:gd name="T32" fmla="*/ 0 w 487"/>
              <a:gd name="T33" fmla="*/ 0 h 25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487"/>
              <a:gd name="T52" fmla="*/ 0 h 25"/>
              <a:gd name="T53" fmla="*/ 487 w 487"/>
              <a:gd name="T54" fmla="*/ 25 h 25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487" h="25">
                <a:moveTo>
                  <a:pt x="2" y="0"/>
                </a:moveTo>
                <a:lnTo>
                  <a:pt x="0" y="0"/>
                </a:lnTo>
                <a:lnTo>
                  <a:pt x="0" y="25"/>
                </a:lnTo>
                <a:lnTo>
                  <a:pt x="487" y="25"/>
                </a:lnTo>
                <a:lnTo>
                  <a:pt x="487" y="0"/>
                </a:lnTo>
                <a:lnTo>
                  <a:pt x="485" y="0"/>
                </a:lnTo>
                <a:lnTo>
                  <a:pt x="2" y="0"/>
                </a:lnTo>
                <a:lnTo>
                  <a:pt x="2" y="4"/>
                </a:lnTo>
                <a:lnTo>
                  <a:pt x="485" y="4"/>
                </a:lnTo>
                <a:lnTo>
                  <a:pt x="483" y="2"/>
                </a:lnTo>
                <a:lnTo>
                  <a:pt x="483" y="23"/>
                </a:lnTo>
                <a:lnTo>
                  <a:pt x="485" y="21"/>
                </a:lnTo>
                <a:lnTo>
                  <a:pt x="2" y="21"/>
                </a:lnTo>
                <a:lnTo>
                  <a:pt x="4" y="23"/>
                </a:lnTo>
                <a:lnTo>
                  <a:pt x="4" y="2"/>
                </a:lnTo>
                <a:lnTo>
                  <a:pt x="2" y="4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7" name="Freeform 166"/>
          <xdr:cNvSpPr>
            <a:spLocks/>
          </xdr:cNvSpPr>
        </xdr:nvSpPr>
        <xdr:spPr bwMode="auto">
          <a:xfrm>
            <a:off x="239" y="2168"/>
            <a:ext cx="15" cy="30"/>
          </a:xfrm>
          <a:custGeom>
            <a:avLst/>
            <a:gdLst>
              <a:gd name="T0" fmla="*/ 15 w 67"/>
              <a:gd name="T1" fmla="*/ 0 h 123"/>
              <a:gd name="T2" fmla="*/ 15 w 67"/>
              <a:gd name="T3" fmla="*/ 0 h 123"/>
              <a:gd name="T4" fmla="*/ 14 w 67"/>
              <a:gd name="T5" fmla="*/ 0 h 123"/>
              <a:gd name="T6" fmla="*/ 14 w 67"/>
              <a:gd name="T7" fmla="*/ 0 h 123"/>
              <a:gd name="T8" fmla="*/ 0 w 67"/>
              <a:gd name="T9" fmla="*/ 30 h 123"/>
              <a:gd name="T10" fmla="*/ 0 w 67"/>
              <a:gd name="T11" fmla="*/ 30 h 123"/>
              <a:gd name="T12" fmla="*/ 1 w 67"/>
              <a:gd name="T13" fmla="*/ 30 h 123"/>
              <a:gd name="T14" fmla="*/ 1 w 67"/>
              <a:gd name="T15" fmla="*/ 30 h 123"/>
              <a:gd name="T16" fmla="*/ 15 w 67"/>
              <a:gd name="T17" fmla="*/ 0 h 123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67"/>
              <a:gd name="T28" fmla="*/ 0 h 123"/>
              <a:gd name="T29" fmla="*/ 67 w 67"/>
              <a:gd name="T30" fmla="*/ 123 h 123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67" h="123">
                <a:moveTo>
                  <a:pt x="67" y="2"/>
                </a:moveTo>
                <a:lnTo>
                  <a:pt x="67" y="0"/>
                </a:lnTo>
                <a:lnTo>
                  <a:pt x="63" y="0"/>
                </a:lnTo>
                <a:lnTo>
                  <a:pt x="63" y="2"/>
                </a:lnTo>
                <a:lnTo>
                  <a:pt x="0" y="121"/>
                </a:lnTo>
                <a:lnTo>
                  <a:pt x="0" y="123"/>
                </a:lnTo>
                <a:lnTo>
                  <a:pt x="4" y="123"/>
                </a:lnTo>
                <a:lnTo>
                  <a:pt x="4" y="121"/>
                </a:lnTo>
                <a:lnTo>
                  <a:pt x="67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8" name="Freeform 167"/>
          <xdr:cNvSpPr>
            <a:spLocks/>
          </xdr:cNvSpPr>
        </xdr:nvSpPr>
        <xdr:spPr bwMode="auto">
          <a:xfrm>
            <a:off x="254" y="2175"/>
            <a:ext cx="4" cy="2"/>
          </a:xfrm>
          <a:custGeom>
            <a:avLst/>
            <a:gdLst>
              <a:gd name="T0" fmla="*/ 0 w 18"/>
              <a:gd name="T1" fmla="*/ 0 h 4"/>
              <a:gd name="T2" fmla="*/ 0 w 18"/>
              <a:gd name="T3" fmla="*/ 0 h 4"/>
              <a:gd name="T4" fmla="*/ 0 w 18"/>
              <a:gd name="T5" fmla="*/ 2 h 4"/>
              <a:gd name="T6" fmla="*/ 4 w 18"/>
              <a:gd name="T7" fmla="*/ 2 h 4"/>
              <a:gd name="T8" fmla="*/ 4 w 18"/>
              <a:gd name="T9" fmla="*/ 0 h 4"/>
              <a:gd name="T10" fmla="*/ 4 w 18"/>
              <a:gd name="T11" fmla="*/ 0 h 4"/>
              <a:gd name="T12" fmla="*/ 0 w 1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8"/>
              <a:gd name="T22" fmla="*/ 0 h 4"/>
              <a:gd name="T23" fmla="*/ 18 w 18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8" y="4"/>
                </a:lnTo>
                <a:lnTo>
                  <a:pt x="18" y="0"/>
                </a:lnTo>
                <a:lnTo>
                  <a:pt x="1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69" name="Freeform 168"/>
          <xdr:cNvSpPr>
            <a:spLocks/>
          </xdr:cNvSpPr>
        </xdr:nvSpPr>
        <xdr:spPr bwMode="auto">
          <a:xfrm>
            <a:off x="261" y="2175"/>
            <a:ext cx="9" cy="2"/>
          </a:xfrm>
          <a:custGeom>
            <a:avLst/>
            <a:gdLst>
              <a:gd name="T0" fmla="*/ 0 w 42"/>
              <a:gd name="T1" fmla="*/ 0 h 4"/>
              <a:gd name="T2" fmla="*/ 0 w 42"/>
              <a:gd name="T3" fmla="*/ 0 h 4"/>
              <a:gd name="T4" fmla="*/ 0 w 42"/>
              <a:gd name="T5" fmla="*/ 2 h 4"/>
              <a:gd name="T6" fmla="*/ 9 w 42"/>
              <a:gd name="T7" fmla="*/ 2 h 4"/>
              <a:gd name="T8" fmla="*/ 9 w 42"/>
              <a:gd name="T9" fmla="*/ 0 h 4"/>
              <a:gd name="T10" fmla="*/ 9 w 42"/>
              <a:gd name="T11" fmla="*/ 0 h 4"/>
              <a:gd name="T12" fmla="*/ 0 w 4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2"/>
              <a:gd name="T22" fmla="*/ 0 h 4"/>
              <a:gd name="T23" fmla="*/ 42 w 42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2" y="4"/>
                </a:lnTo>
                <a:lnTo>
                  <a:pt x="42" y="0"/>
                </a:lnTo>
                <a:lnTo>
                  <a:pt x="40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0" name="Freeform 169"/>
          <xdr:cNvSpPr>
            <a:spLocks/>
          </xdr:cNvSpPr>
        </xdr:nvSpPr>
        <xdr:spPr bwMode="auto">
          <a:xfrm>
            <a:off x="247" y="2186"/>
            <a:ext cx="2" cy="10"/>
          </a:xfrm>
          <a:custGeom>
            <a:avLst/>
            <a:gdLst>
              <a:gd name="T0" fmla="*/ 2 w 12"/>
              <a:gd name="T1" fmla="*/ 1 h 45"/>
              <a:gd name="T2" fmla="*/ 2 w 12"/>
              <a:gd name="T3" fmla="*/ 0 h 45"/>
              <a:gd name="T4" fmla="*/ 1 w 12"/>
              <a:gd name="T5" fmla="*/ 0 h 45"/>
              <a:gd name="T6" fmla="*/ 2 w 12"/>
              <a:gd name="T7" fmla="*/ 0 h 45"/>
              <a:gd name="T8" fmla="*/ 1 w 12"/>
              <a:gd name="T9" fmla="*/ 0 h 45"/>
              <a:gd name="T10" fmla="*/ 1 w 12"/>
              <a:gd name="T11" fmla="*/ 1 h 45"/>
              <a:gd name="T12" fmla="*/ 1 w 12"/>
              <a:gd name="T13" fmla="*/ 1 h 45"/>
              <a:gd name="T14" fmla="*/ 1 w 12"/>
              <a:gd name="T15" fmla="*/ 7 h 45"/>
              <a:gd name="T16" fmla="*/ 0 w 12"/>
              <a:gd name="T17" fmla="*/ 7 h 45"/>
              <a:gd name="T18" fmla="*/ 0 w 12"/>
              <a:gd name="T19" fmla="*/ 8 h 45"/>
              <a:gd name="T20" fmla="*/ 0 w 12"/>
              <a:gd name="T21" fmla="*/ 8 h 45"/>
              <a:gd name="T22" fmla="*/ 0 w 12"/>
              <a:gd name="T23" fmla="*/ 10 h 45"/>
              <a:gd name="T24" fmla="*/ 0 w 12"/>
              <a:gd name="T25" fmla="*/ 10 h 45"/>
              <a:gd name="T26" fmla="*/ 0 w 12"/>
              <a:gd name="T27" fmla="*/ 10 h 45"/>
              <a:gd name="T28" fmla="*/ 1 w 12"/>
              <a:gd name="T29" fmla="*/ 10 h 45"/>
              <a:gd name="T30" fmla="*/ 1 w 12"/>
              <a:gd name="T31" fmla="*/ 9 h 45"/>
              <a:gd name="T32" fmla="*/ 1 w 12"/>
              <a:gd name="T33" fmla="*/ 10 h 45"/>
              <a:gd name="T34" fmla="*/ 1 w 12"/>
              <a:gd name="T35" fmla="*/ 9 h 45"/>
              <a:gd name="T36" fmla="*/ 1 w 12"/>
              <a:gd name="T37" fmla="*/ 9 h 45"/>
              <a:gd name="T38" fmla="*/ 1 w 12"/>
              <a:gd name="T39" fmla="*/ 9 h 45"/>
              <a:gd name="T40" fmla="*/ 1 w 12"/>
              <a:gd name="T41" fmla="*/ 8 h 45"/>
              <a:gd name="T42" fmla="*/ 1 w 12"/>
              <a:gd name="T43" fmla="*/ 8 h 45"/>
              <a:gd name="T44" fmla="*/ 1 w 12"/>
              <a:gd name="T45" fmla="*/ 2 h 45"/>
              <a:gd name="T46" fmla="*/ 2 w 12"/>
              <a:gd name="T47" fmla="*/ 2 h 45"/>
              <a:gd name="T48" fmla="*/ 2 w 12"/>
              <a:gd name="T49" fmla="*/ 1 h 45"/>
              <a:gd name="T50" fmla="*/ 2 w 12"/>
              <a:gd name="T51" fmla="*/ 1 h 45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12"/>
              <a:gd name="T79" fmla="*/ 0 h 45"/>
              <a:gd name="T80" fmla="*/ 12 w 12"/>
              <a:gd name="T81" fmla="*/ 45 h 45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12" h="45">
                <a:moveTo>
                  <a:pt x="12" y="4"/>
                </a:moveTo>
                <a:lnTo>
                  <a:pt x="12" y="0"/>
                </a:lnTo>
                <a:lnTo>
                  <a:pt x="8" y="0"/>
                </a:lnTo>
                <a:lnTo>
                  <a:pt x="10" y="0"/>
                </a:lnTo>
                <a:lnTo>
                  <a:pt x="6" y="0"/>
                </a:lnTo>
                <a:lnTo>
                  <a:pt x="6" y="6"/>
                </a:lnTo>
                <a:lnTo>
                  <a:pt x="4" y="6"/>
                </a:lnTo>
                <a:lnTo>
                  <a:pt x="4" y="31"/>
                </a:lnTo>
                <a:lnTo>
                  <a:pt x="2" y="31"/>
                </a:lnTo>
                <a:lnTo>
                  <a:pt x="2" y="35"/>
                </a:lnTo>
                <a:lnTo>
                  <a:pt x="0" y="35"/>
                </a:lnTo>
                <a:lnTo>
                  <a:pt x="0" y="43"/>
                </a:lnTo>
                <a:lnTo>
                  <a:pt x="2" y="43"/>
                </a:lnTo>
                <a:lnTo>
                  <a:pt x="2" y="45"/>
                </a:lnTo>
                <a:lnTo>
                  <a:pt x="6" y="45"/>
                </a:lnTo>
                <a:lnTo>
                  <a:pt x="6" y="41"/>
                </a:lnTo>
                <a:lnTo>
                  <a:pt x="6" y="43"/>
                </a:lnTo>
                <a:lnTo>
                  <a:pt x="6" y="39"/>
                </a:lnTo>
                <a:lnTo>
                  <a:pt x="4" y="39"/>
                </a:lnTo>
                <a:lnTo>
                  <a:pt x="6" y="39"/>
                </a:lnTo>
                <a:lnTo>
                  <a:pt x="6" y="35"/>
                </a:lnTo>
                <a:lnTo>
                  <a:pt x="8" y="35"/>
                </a:lnTo>
                <a:lnTo>
                  <a:pt x="8" y="10"/>
                </a:lnTo>
                <a:lnTo>
                  <a:pt x="10" y="10"/>
                </a:lnTo>
                <a:lnTo>
                  <a:pt x="10" y="4"/>
                </a:lnTo>
                <a:lnTo>
                  <a:pt x="12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1" name="Freeform 170"/>
          <xdr:cNvSpPr>
            <a:spLocks/>
          </xdr:cNvSpPr>
        </xdr:nvSpPr>
        <xdr:spPr bwMode="auto">
          <a:xfrm>
            <a:off x="249" y="2177"/>
            <a:ext cx="4" cy="9"/>
          </a:xfrm>
          <a:custGeom>
            <a:avLst/>
            <a:gdLst>
              <a:gd name="T0" fmla="*/ 0 w 18"/>
              <a:gd name="T1" fmla="*/ 9 h 39"/>
              <a:gd name="T2" fmla="*/ 0 w 18"/>
              <a:gd name="T3" fmla="*/ 9 h 39"/>
              <a:gd name="T4" fmla="*/ 1 w 18"/>
              <a:gd name="T5" fmla="*/ 9 h 39"/>
              <a:gd name="T6" fmla="*/ 1 w 18"/>
              <a:gd name="T7" fmla="*/ 9 h 39"/>
              <a:gd name="T8" fmla="*/ 4 w 18"/>
              <a:gd name="T9" fmla="*/ 0 h 39"/>
              <a:gd name="T10" fmla="*/ 4 w 18"/>
              <a:gd name="T11" fmla="*/ 0 h 39"/>
              <a:gd name="T12" fmla="*/ 3 w 18"/>
              <a:gd name="T13" fmla="*/ 0 h 39"/>
              <a:gd name="T14" fmla="*/ 3 w 18"/>
              <a:gd name="T15" fmla="*/ 0 h 39"/>
              <a:gd name="T16" fmla="*/ 0 w 18"/>
              <a:gd name="T17" fmla="*/ 9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8"/>
              <a:gd name="T28" fmla="*/ 0 h 39"/>
              <a:gd name="T29" fmla="*/ 18 w 18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8" h="39">
                <a:moveTo>
                  <a:pt x="0" y="37"/>
                </a:moveTo>
                <a:lnTo>
                  <a:pt x="0" y="39"/>
                </a:lnTo>
                <a:lnTo>
                  <a:pt x="4" y="39"/>
                </a:lnTo>
                <a:lnTo>
                  <a:pt x="4" y="37"/>
                </a:lnTo>
                <a:lnTo>
                  <a:pt x="18" y="2"/>
                </a:lnTo>
                <a:lnTo>
                  <a:pt x="18" y="0"/>
                </a:lnTo>
                <a:lnTo>
                  <a:pt x="14" y="0"/>
                </a:lnTo>
                <a:lnTo>
                  <a:pt x="14" y="2"/>
                </a:lnTo>
                <a:lnTo>
                  <a:pt x="0" y="37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2" name="Freeform 171"/>
          <xdr:cNvSpPr>
            <a:spLocks/>
          </xdr:cNvSpPr>
        </xdr:nvSpPr>
        <xdr:spPr bwMode="auto">
          <a:xfrm>
            <a:off x="253" y="2170"/>
            <a:ext cx="1" cy="5"/>
          </a:xfrm>
          <a:custGeom>
            <a:avLst/>
            <a:gdLst>
              <a:gd name="T0" fmla="*/ 1 w 4"/>
              <a:gd name="T1" fmla="*/ 0 h 25"/>
              <a:gd name="T2" fmla="*/ 1 w 4"/>
              <a:gd name="T3" fmla="*/ 0 h 25"/>
              <a:gd name="T4" fmla="*/ 0 w 4"/>
              <a:gd name="T5" fmla="*/ 0 h 25"/>
              <a:gd name="T6" fmla="*/ 0 w 4"/>
              <a:gd name="T7" fmla="*/ 5 h 25"/>
              <a:gd name="T8" fmla="*/ 1 w 4"/>
              <a:gd name="T9" fmla="*/ 5 h 25"/>
              <a:gd name="T10" fmla="*/ 1 w 4"/>
              <a:gd name="T11" fmla="*/ 5 h 25"/>
              <a:gd name="T12" fmla="*/ 1 w 4"/>
              <a:gd name="T13" fmla="*/ 0 h 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5"/>
              <a:gd name="T23" fmla="*/ 4 w 4"/>
              <a:gd name="T24" fmla="*/ 25 h 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5"/>
                </a:lnTo>
                <a:lnTo>
                  <a:pt x="4" y="25"/>
                </a:lnTo>
                <a:lnTo>
                  <a:pt x="4" y="23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3" name="Freeform 172"/>
          <xdr:cNvSpPr>
            <a:spLocks/>
          </xdr:cNvSpPr>
        </xdr:nvSpPr>
        <xdr:spPr bwMode="auto">
          <a:xfrm>
            <a:off x="256" y="2191"/>
            <a:ext cx="2" cy="5"/>
          </a:xfrm>
          <a:custGeom>
            <a:avLst/>
            <a:gdLst>
              <a:gd name="T0" fmla="*/ 2 w 4"/>
              <a:gd name="T1" fmla="*/ 0 h 24"/>
              <a:gd name="T2" fmla="*/ 2 w 4"/>
              <a:gd name="T3" fmla="*/ 0 h 24"/>
              <a:gd name="T4" fmla="*/ 0 w 4"/>
              <a:gd name="T5" fmla="*/ 0 h 24"/>
              <a:gd name="T6" fmla="*/ 0 w 4"/>
              <a:gd name="T7" fmla="*/ 5 h 24"/>
              <a:gd name="T8" fmla="*/ 2 w 4"/>
              <a:gd name="T9" fmla="*/ 5 h 24"/>
              <a:gd name="T10" fmla="*/ 2 w 4"/>
              <a:gd name="T11" fmla="*/ 5 h 24"/>
              <a:gd name="T12" fmla="*/ 2 w 4"/>
              <a:gd name="T13" fmla="*/ 0 h 2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4"/>
              <a:gd name="T23" fmla="*/ 4 w 4"/>
              <a:gd name="T24" fmla="*/ 24 h 2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4"/>
                </a:lnTo>
                <a:lnTo>
                  <a:pt x="4" y="24"/>
                </a:lnTo>
                <a:lnTo>
                  <a:pt x="4" y="22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4" name="Freeform 173"/>
          <xdr:cNvSpPr>
            <a:spLocks/>
          </xdr:cNvSpPr>
        </xdr:nvSpPr>
        <xdr:spPr bwMode="auto">
          <a:xfrm>
            <a:off x="251" y="2173"/>
            <a:ext cx="8" cy="25"/>
          </a:xfrm>
          <a:custGeom>
            <a:avLst/>
            <a:gdLst>
              <a:gd name="T0" fmla="*/ 8 w 39"/>
              <a:gd name="T1" fmla="*/ 0 h 109"/>
              <a:gd name="T2" fmla="*/ 8 w 39"/>
              <a:gd name="T3" fmla="*/ 0 h 109"/>
              <a:gd name="T4" fmla="*/ 7 w 39"/>
              <a:gd name="T5" fmla="*/ 0 h 109"/>
              <a:gd name="T6" fmla="*/ 7 w 39"/>
              <a:gd name="T7" fmla="*/ 0 h 109"/>
              <a:gd name="T8" fmla="*/ 0 w 39"/>
              <a:gd name="T9" fmla="*/ 25 h 109"/>
              <a:gd name="T10" fmla="*/ 0 w 39"/>
              <a:gd name="T11" fmla="*/ 25 h 109"/>
              <a:gd name="T12" fmla="*/ 1 w 39"/>
              <a:gd name="T13" fmla="*/ 25 h 109"/>
              <a:gd name="T14" fmla="*/ 1 w 39"/>
              <a:gd name="T15" fmla="*/ 25 h 109"/>
              <a:gd name="T16" fmla="*/ 8 w 39"/>
              <a:gd name="T17" fmla="*/ 0 h 10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9"/>
              <a:gd name="T28" fmla="*/ 0 h 109"/>
              <a:gd name="T29" fmla="*/ 39 w 39"/>
              <a:gd name="T30" fmla="*/ 109 h 10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9" h="109">
                <a:moveTo>
                  <a:pt x="39" y="2"/>
                </a:moveTo>
                <a:lnTo>
                  <a:pt x="39" y="0"/>
                </a:lnTo>
                <a:lnTo>
                  <a:pt x="36" y="0"/>
                </a:lnTo>
                <a:lnTo>
                  <a:pt x="36" y="2"/>
                </a:lnTo>
                <a:lnTo>
                  <a:pt x="0" y="107"/>
                </a:lnTo>
                <a:lnTo>
                  <a:pt x="0" y="109"/>
                </a:lnTo>
                <a:lnTo>
                  <a:pt x="4" y="109"/>
                </a:lnTo>
                <a:lnTo>
                  <a:pt x="4" y="107"/>
                </a:lnTo>
                <a:lnTo>
                  <a:pt x="39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5" name="Freeform 174"/>
          <xdr:cNvSpPr>
            <a:spLocks/>
          </xdr:cNvSpPr>
        </xdr:nvSpPr>
        <xdr:spPr bwMode="auto">
          <a:xfrm>
            <a:off x="253" y="2173"/>
            <a:ext cx="7" cy="25"/>
          </a:xfrm>
          <a:custGeom>
            <a:avLst/>
            <a:gdLst>
              <a:gd name="T0" fmla="*/ 7 w 39"/>
              <a:gd name="T1" fmla="*/ 0 h 109"/>
              <a:gd name="T2" fmla="*/ 7 w 39"/>
              <a:gd name="T3" fmla="*/ 0 h 109"/>
              <a:gd name="T4" fmla="*/ 6 w 39"/>
              <a:gd name="T5" fmla="*/ 0 h 109"/>
              <a:gd name="T6" fmla="*/ 6 w 39"/>
              <a:gd name="T7" fmla="*/ 0 h 109"/>
              <a:gd name="T8" fmla="*/ 0 w 39"/>
              <a:gd name="T9" fmla="*/ 25 h 109"/>
              <a:gd name="T10" fmla="*/ 0 w 39"/>
              <a:gd name="T11" fmla="*/ 25 h 109"/>
              <a:gd name="T12" fmla="*/ 1 w 39"/>
              <a:gd name="T13" fmla="*/ 25 h 109"/>
              <a:gd name="T14" fmla="*/ 1 w 39"/>
              <a:gd name="T15" fmla="*/ 25 h 109"/>
              <a:gd name="T16" fmla="*/ 7 w 39"/>
              <a:gd name="T17" fmla="*/ 0 h 10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9"/>
              <a:gd name="T28" fmla="*/ 0 h 109"/>
              <a:gd name="T29" fmla="*/ 39 w 39"/>
              <a:gd name="T30" fmla="*/ 109 h 10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9" h="109">
                <a:moveTo>
                  <a:pt x="39" y="2"/>
                </a:moveTo>
                <a:lnTo>
                  <a:pt x="39" y="0"/>
                </a:lnTo>
                <a:lnTo>
                  <a:pt x="35" y="0"/>
                </a:lnTo>
                <a:lnTo>
                  <a:pt x="35" y="2"/>
                </a:lnTo>
                <a:lnTo>
                  <a:pt x="0" y="107"/>
                </a:lnTo>
                <a:lnTo>
                  <a:pt x="0" y="109"/>
                </a:lnTo>
                <a:lnTo>
                  <a:pt x="4" y="109"/>
                </a:lnTo>
                <a:lnTo>
                  <a:pt x="4" y="107"/>
                </a:lnTo>
                <a:lnTo>
                  <a:pt x="39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6" name="Freeform 175"/>
          <xdr:cNvSpPr>
            <a:spLocks/>
          </xdr:cNvSpPr>
        </xdr:nvSpPr>
        <xdr:spPr bwMode="auto">
          <a:xfrm>
            <a:off x="258" y="2177"/>
            <a:ext cx="3" cy="11"/>
          </a:xfrm>
          <a:custGeom>
            <a:avLst/>
            <a:gdLst>
              <a:gd name="T0" fmla="*/ 3 w 17"/>
              <a:gd name="T1" fmla="*/ 0 h 47"/>
              <a:gd name="T2" fmla="*/ 3 w 17"/>
              <a:gd name="T3" fmla="*/ 0 h 47"/>
              <a:gd name="T4" fmla="*/ 2 w 17"/>
              <a:gd name="T5" fmla="*/ 0 h 47"/>
              <a:gd name="T6" fmla="*/ 2 w 17"/>
              <a:gd name="T7" fmla="*/ 0 h 47"/>
              <a:gd name="T8" fmla="*/ 0 w 17"/>
              <a:gd name="T9" fmla="*/ 11 h 47"/>
              <a:gd name="T10" fmla="*/ 0 w 17"/>
              <a:gd name="T11" fmla="*/ 11 h 47"/>
              <a:gd name="T12" fmla="*/ 1 w 17"/>
              <a:gd name="T13" fmla="*/ 11 h 47"/>
              <a:gd name="T14" fmla="*/ 1 w 17"/>
              <a:gd name="T15" fmla="*/ 11 h 47"/>
              <a:gd name="T16" fmla="*/ 3 w 17"/>
              <a:gd name="T17" fmla="*/ 0 h 4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7"/>
              <a:gd name="T28" fmla="*/ 0 h 47"/>
              <a:gd name="T29" fmla="*/ 17 w 17"/>
              <a:gd name="T30" fmla="*/ 47 h 4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7" h="47">
                <a:moveTo>
                  <a:pt x="17" y="2"/>
                </a:moveTo>
                <a:lnTo>
                  <a:pt x="17" y="0"/>
                </a:lnTo>
                <a:lnTo>
                  <a:pt x="13" y="0"/>
                </a:lnTo>
                <a:lnTo>
                  <a:pt x="13" y="2"/>
                </a:lnTo>
                <a:lnTo>
                  <a:pt x="0" y="45"/>
                </a:lnTo>
                <a:lnTo>
                  <a:pt x="0" y="47"/>
                </a:lnTo>
                <a:lnTo>
                  <a:pt x="4" y="47"/>
                </a:lnTo>
                <a:lnTo>
                  <a:pt x="4" y="45"/>
                </a:lnTo>
                <a:lnTo>
                  <a:pt x="17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7" name="Freeform 176"/>
          <xdr:cNvSpPr>
            <a:spLocks/>
          </xdr:cNvSpPr>
        </xdr:nvSpPr>
        <xdr:spPr bwMode="auto">
          <a:xfrm>
            <a:off x="260" y="2173"/>
            <a:ext cx="1" cy="4"/>
          </a:xfrm>
          <a:custGeom>
            <a:avLst/>
            <a:gdLst>
              <a:gd name="T0" fmla="*/ 1 w 4"/>
              <a:gd name="T1" fmla="*/ 0 h 15"/>
              <a:gd name="T2" fmla="*/ 1 w 4"/>
              <a:gd name="T3" fmla="*/ 0 h 15"/>
              <a:gd name="T4" fmla="*/ 0 w 4"/>
              <a:gd name="T5" fmla="*/ 0 h 15"/>
              <a:gd name="T6" fmla="*/ 0 w 4"/>
              <a:gd name="T7" fmla="*/ 4 h 15"/>
              <a:gd name="T8" fmla="*/ 1 w 4"/>
              <a:gd name="T9" fmla="*/ 4 h 15"/>
              <a:gd name="T10" fmla="*/ 1 w 4"/>
              <a:gd name="T11" fmla="*/ 3 h 15"/>
              <a:gd name="T12" fmla="*/ 1 w 4"/>
              <a:gd name="T13" fmla="*/ 0 h 1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5"/>
              <a:gd name="T23" fmla="*/ 4 w 4"/>
              <a:gd name="T24" fmla="*/ 15 h 1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5">
                <a:moveTo>
                  <a:pt x="4" y="1"/>
                </a:moveTo>
                <a:lnTo>
                  <a:pt x="4" y="0"/>
                </a:lnTo>
                <a:lnTo>
                  <a:pt x="0" y="0"/>
                </a:lnTo>
                <a:lnTo>
                  <a:pt x="0" y="15"/>
                </a:lnTo>
                <a:lnTo>
                  <a:pt x="4" y="15"/>
                </a:lnTo>
                <a:lnTo>
                  <a:pt x="4" y="13"/>
                </a:lnTo>
                <a:lnTo>
                  <a:pt x="4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8" name="Freeform 177"/>
          <xdr:cNvSpPr>
            <a:spLocks/>
          </xdr:cNvSpPr>
        </xdr:nvSpPr>
        <xdr:spPr bwMode="auto">
          <a:xfrm>
            <a:off x="266" y="2168"/>
            <a:ext cx="7" cy="30"/>
          </a:xfrm>
          <a:custGeom>
            <a:avLst/>
            <a:gdLst>
              <a:gd name="T0" fmla="*/ 7 w 30"/>
              <a:gd name="T1" fmla="*/ 0 h 125"/>
              <a:gd name="T2" fmla="*/ 7 w 30"/>
              <a:gd name="T3" fmla="*/ 0 h 125"/>
              <a:gd name="T4" fmla="*/ 6 w 30"/>
              <a:gd name="T5" fmla="*/ 0 h 125"/>
              <a:gd name="T6" fmla="*/ 6 w 30"/>
              <a:gd name="T7" fmla="*/ 0 h 125"/>
              <a:gd name="T8" fmla="*/ 0 w 30"/>
              <a:gd name="T9" fmla="*/ 30 h 125"/>
              <a:gd name="T10" fmla="*/ 0 w 30"/>
              <a:gd name="T11" fmla="*/ 30 h 125"/>
              <a:gd name="T12" fmla="*/ 1 w 30"/>
              <a:gd name="T13" fmla="*/ 30 h 125"/>
              <a:gd name="T14" fmla="*/ 1 w 30"/>
              <a:gd name="T15" fmla="*/ 30 h 125"/>
              <a:gd name="T16" fmla="*/ 7 w 30"/>
              <a:gd name="T17" fmla="*/ 0 h 1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0"/>
              <a:gd name="T28" fmla="*/ 0 h 125"/>
              <a:gd name="T29" fmla="*/ 30 w 30"/>
              <a:gd name="T30" fmla="*/ 125 h 1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0" h="125">
                <a:moveTo>
                  <a:pt x="30" y="2"/>
                </a:moveTo>
                <a:lnTo>
                  <a:pt x="30" y="0"/>
                </a:lnTo>
                <a:lnTo>
                  <a:pt x="26" y="0"/>
                </a:lnTo>
                <a:lnTo>
                  <a:pt x="26" y="2"/>
                </a:lnTo>
                <a:lnTo>
                  <a:pt x="0" y="123"/>
                </a:lnTo>
                <a:lnTo>
                  <a:pt x="0" y="125"/>
                </a:lnTo>
                <a:lnTo>
                  <a:pt x="4" y="125"/>
                </a:lnTo>
                <a:lnTo>
                  <a:pt x="4" y="123"/>
                </a:lnTo>
                <a:lnTo>
                  <a:pt x="3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79" name="Freeform 178"/>
          <xdr:cNvSpPr>
            <a:spLocks/>
          </xdr:cNvSpPr>
        </xdr:nvSpPr>
        <xdr:spPr bwMode="auto">
          <a:xfrm>
            <a:off x="268" y="2168"/>
            <a:ext cx="6" cy="30"/>
          </a:xfrm>
          <a:custGeom>
            <a:avLst/>
            <a:gdLst>
              <a:gd name="T0" fmla="*/ 6 w 27"/>
              <a:gd name="T1" fmla="*/ 0 h 125"/>
              <a:gd name="T2" fmla="*/ 6 w 27"/>
              <a:gd name="T3" fmla="*/ 0 h 125"/>
              <a:gd name="T4" fmla="*/ 5 w 27"/>
              <a:gd name="T5" fmla="*/ 0 h 125"/>
              <a:gd name="T6" fmla="*/ 5 w 27"/>
              <a:gd name="T7" fmla="*/ 0 h 125"/>
              <a:gd name="T8" fmla="*/ 0 w 27"/>
              <a:gd name="T9" fmla="*/ 30 h 125"/>
              <a:gd name="T10" fmla="*/ 0 w 27"/>
              <a:gd name="T11" fmla="*/ 30 h 125"/>
              <a:gd name="T12" fmla="*/ 1 w 27"/>
              <a:gd name="T13" fmla="*/ 30 h 125"/>
              <a:gd name="T14" fmla="*/ 1 w 27"/>
              <a:gd name="T15" fmla="*/ 30 h 125"/>
              <a:gd name="T16" fmla="*/ 6 w 27"/>
              <a:gd name="T17" fmla="*/ 0 h 1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7"/>
              <a:gd name="T28" fmla="*/ 0 h 125"/>
              <a:gd name="T29" fmla="*/ 27 w 27"/>
              <a:gd name="T30" fmla="*/ 125 h 1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7" h="125">
                <a:moveTo>
                  <a:pt x="27" y="2"/>
                </a:moveTo>
                <a:lnTo>
                  <a:pt x="27" y="0"/>
                </a:lnTo>
                <a:lnTo>
                  <a:pt x="24" y="0"/>
                </a:lnTo>
                <a:lnTo>
                  <a:pt x="24" y="2"/>
                </a:lnTo>
                <a:lnTo>
                  <a:pt x="0" y="123"/>
                </a:lnTo>
                <a:lnTo>
                  <a:pt x="0" y="125"/>
                </a:lnTo>
                <a:lnTo>
                  <a:pt x="4" y="125"/>
                </a:lnTo>
                <a:lnTo>
                  <a:pt x="4" y="123"/>
                </a:lnTo>
                <a:lnTo>
                  <a:pt x="27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0" name="Freeform 179"/>
          <xdr:cNvSpPr>
            <a:spLocks/>
          </xdr:cNvSpPr>
        </xdr:nvSpPr>
        <xdr:spPr bwMode="auto">
          <a:xfrm>
            <a:off x="301" y="2168"/>
            <a:ext cx="7" cy="30"/>
          </a:xfrm>
          <a:custGeom>
            <a:avLst/>
            <a:gdLst>
              <a:gd name="T0" fmla="*/ 1 w 36"/>
              <a:gd name="T1" fmla="*/ 0 h 125"/>
              <a:gd name="T2" fmla="*/ 1 w 36"/>
              <a:gd name="T3" fmla="*/ 0 h 125"/>
              <a:gd name="T4" fmla="*/ 0 w 36"/>
              <a:gd name="T5" fmla="*/ 0 h 125"/>
              <a:gd name="T6" fmla="*/ 0 w 36"/>
              <a:gd name="T7" fmla="*/ 0 h 125"/>
              <a:gd name="T8" fmla="*/ 6 w 36"/>
              <a:gd name="T9" fmla="*/ 30 h 125"/>
              <a:gd name="T10" fmla="*/ 6 w 36"/>
              <a:gd name="T11" fmla="*/ 30 h 125"/>
              <a:gd name="T12" fmla="*/ 7 w 36"/>
              <a:gd name="T13" fmla="*/ 30 h 125"/>
              <a:gd name="T14" fmla="*/ 7 w 36"/>
              <a:gd name="T15" fmla="*/ 30 h 125"/>
              <a:gd name="T16" fmla="*/ 1 w 36"/>
              <a:gd name="T17" fmla="*/ 0 h 1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6"/>
              <a:gd name="T28" fmla="*/ 0 h 125"/>
              <a:gd name="T29" fmla="*/ 36 w 36"/>
              <a:gd name="T30" fmla="*/ 125 h 1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6" h="1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32" y="123"/>
                </a:lnTo>
                <a:lnTo>
                  <a:pt x="32" y="125"/>
                </a:lnTo>
                <a:lnTo>
                  <a:pt x="36" y="125"/>
                </a:lnTo>
                <a:lnTo>
                  <a:pt x="36" y="123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1" name="Freeform 180"/>
          <xdr:cNvSpPr>
            <a:spLocks/>
          </xdr:cNvSpPr>
        </xdr:nvSpPr>
        <xdr:spPr bwMode="auto">
          <a:xfrm>
            <a:off x="300" y="2168"/>
            <a:ext cx="7" cy="30"/>
          </a:xfrm>
          <a:custGeom>
            <a:avLst/>
            <a:gdLst>
              <a:gd name="T0" fmla="*/ 1 w 36"/>
              <a:gd name="T1" fmla="*/ 0 h 125"/>
              <a:gd name="T2" fmla="*/ 1 w 36"/>
              <a:gd name="T3" fmla="*/ 0 h 125"/>
              <a:gd name="T4" fmla="*/ 0 w 36"/>
              <a:gd name="T5" fmla="*/ 0 h 125"/>
              <a:gd name="T6" fmla="*/ 0 w 36"/>
              <a:gd name="T7" fmla="*/ 0 h 125"/>
              <a:gd name="T8" fmla="*/ 6 w 36"/>
              <a:gd name="T9" fmla="*/ 30 h 125"/>
              <a:gd name="T10" fmla="*/ 6 w 36"/>
              <a:gd name="T11" fmla="*/ 30 h 125"/>
              <a:gd name="T12" fmla="*/ 7 w 36"/>
              <a:gd name="T13" fmla="*/ 30 h 125"/>
              <a:gd name="T14" fmla="*/ 7 w 36"/>
              <a:gd name="T15" fmla="*/ 30 h 125"/>
              <a:gd name="T16" fmla="*/ 1 w 36"/>
              <a:gd name="T17" fmla="*/ 0 h 1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6"/>
              <a:gd name="T28" fmla="*/ 0 h 125"/>
              <a:gd name="T29" fmla="*/ 36 w 36"/>
              <a:gd name="T30" fmla="*/ 125 h 1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6" h="1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32" y="123"/>
                </a:lnTo>
                <a:lnTo>
                  <a:pt x="32" y="125"/>
                </a:lnTo>
                <a:lnTo>
                  <a:pt x="36" y="125"/>
                </a:lnTo>
                <a:lnTo>
                  <a:pt x="36" y="123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2" name="Freeform 181"/>
          <xdr:cNvSpPr>
            <a:spLocks/>
          </xdr:cNvSpPr>
        </xdr:nvSpPr>
        <xdr:spPr bwMode="auto">
          <a:xfrm>
            <a:off x="285" y="2164"/>
            <a:ext cx="0" cy="32"/>
          </a:xfrm>
          <a:custGeom>
            <a:avLst/>
            <a:gdLst>
              <a:gd name="T0" fmla="*/ 0 w 4"/>
              <a:gd name="T1" fmla="*/ 0 h 142"/>
              <a:gd name="T2" fmla="*/ 0 w 4"/>
              <a:gd name="T3" fmla="*/ 0 h 142"/>
              <a:gd name="T4" fmla="*/ 0 w 4"/>
              <a:gd name="T5" fmla="*/ 0 h 142"/>
              <a:gd name="T6" fmla="*/ 0 w 4"/>
              <a:gd name="T7" fmla="*/ 32 h 142"/>
              <a:gd name="T8" fmla="*/ 0 w 4"/>
              <a:gd name="T9" fmla="*/ 32 h 142"/>
              <a:gd name="T10" fmla="*/ 0 w 4"/>
              <a:gd name="T11" fmla="*/ 32 h 142"/>
              <a:gd name="T12" fmla="*/ 0 w 4"/>
              <a:gd name="T13" fmla="*/ 0 h 14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42"/>
              <a:gd name="T23" fmla="*/ 0 w 4"/>
              <a:gd name="T24" fmla="*/ 142 h 14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4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42"/>
                </a:lnTo>
                <a:lnTo>
                  <a:pt x="4" y="142"/>
                </a:lnTo>
                <a:lnTo>
                  <a:pt x="4" y="14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3" name="Freeform 182"/>
          <xdr:cNvSpPr>
            <a:spLocks/>
          </xdr:cNvSpPr>
        </xdr:nvSpPr>
        <xdr:spPr bwMode="auto">
          <a:xfrm>
            <a:off x="286" y="2164"/>
            <a:ext cx="1" cy="32"/>
          </a:xfrm>
          <a:custGeom>
            <a:avLst/>
            <a:gdLst>
              <a:gd name="T0" fmla="*/ 1 w 4"/>
              <a:gd name="T1" fmla="*/ 0 h 142"/>
              <a:gd name="T2" fmla="*/ 1 w 4"/>
              <a:gd name="T3" fmla="*/ 0 h 142"/>
              <a:gd name="T4" fmla="*/ 0 w 4"/>
              <a:gd name="T5" fmla="*/ 0 h 142"/>
              <a:gd name="T6" fmla="*/ 0 w 4"/>
              <a:gd name="T7" fmla="*/ 32 h 142"/>
              <a:gd name="T8" fmla="*/ 1 w 4"/>
              <a:gd name="T9" fmla="*/ 32 h 142"/>
              <a:gd name="T10" fmla="*/ 1 w 4"/>
              <a:gd name="T11" fmla="*/ 32 h 142"/>
              <a:gd name="T12" fmla="*/ 1 w 4"/>
              <a:gd name="T13" fmla="*/ 0 h 14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42"/>
              <a:gd name="T23" fmla="*/ 4 w 4"/>
              <a:gd name="T24" fmla="*/ 142 h 14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4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42"/>
                </a:lnTo>
                <a:lnTo>
                  <a:pt x="4" y="142"/>
                </a:lnTo>
                <a:lnTo>
                  <a:pt x="4" y="140"/>
                </a:lnTo>
                <a:lnTo>
                  <a:pt x="4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4" name="Freeform 183"/>
          <xdr:cNvSpPr>
            <a:spLocks/>
          </xdr:cNvSpPr>
        </xdr:nvSpPr>
        <xdr:spPr bwMode="auto">
          <a:xfrm>
            <a:off x="277" y="2168"/>
            <a:ext cx="8" cy="0"/>
          </a:xfrm>
          <a:custGeom>
            <a:avLst/>
            <a:gdLst>
              <a:gd name="T0" fmla="*/ 0 w 42"/>
              <a:gd name="T1" fmla="*/ 0 h 4"/>
              <a:gd name="T2" fmla="*/ 0 w 42"/>
              <a:gd name="T3" fmla="*/ 0 h 4"/>
              <a:gd name="T4" fmla="*/ 0 w 42"/>
              <a:gd name="T5" fmla="*/ 0 h 4"/>
              <a:gd name="T6" fmla="*/ 8 w 42"/>
              <a:gd name="T7" fmla="*/ 0 h 4"/>
              <a:gd name="T8" fmla="*/ 8 w 42"/>
              <a:gd name="T9" fmla="*/ 0 h 4"/>
              <a:gd name="T10" fmla="*/ 8 w 42"/>
              <a:gd name="T11" fmla="*/ 0 h 4"/>
              <a:gd name="T12" fmla="*/ 0 w 4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2"/>
              <a:gd name="T22" fmla="*/ 0 h 4"/>
              <a:gd name="T23" fmla="*/ 42 w 42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2" y="4"/>
                </a:lnTo>
                <a:lnTo>
                  <a:pt x="42" y="0"/>
                </a:lnTo>
                <a:lnTo>
                  <a:pt x="40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5" name="Freeform 184"/>
          <xdr:cNvSpPr>
            <a:spLocks/>
          </xdr:cNvSpPr>
        </xdr:nvSpPr>
        <xdr:spPr bwMode="auto">
          <a:xfrm>
            <a:off x="286" y="2168"/>
            <a:ext cx="10" cy="0"/>
          </a:xfrm>
          <a:custGeom>
            <a:avLst/>
            <a:gdLst>
              <a:gd name="T0" fmla="*/ 0 w 48"/>
              <a:gd name="T1" fmla="*/ 0 h 4"/>
              <a:gd name="T2" fmla="*/ 0 w 48"/>
              <a:gd name="T3" fmla="*/ 0 h 4"/>
              <a:gd name="T4" fmla="*/ 0 w 48"/>
              <a:gd name="T5" fmla="*/ 0 h 4"/>
              <a:gd name="T6" fmla="*/ 10 w 48"/>
              <a:gd name="T7" fmla="*/ 0 h 4"/>
              <a:gd name="T8" fmla="*/ 10 w 48"/>
              <a:gd name="T9" fmla="*/ 0 h 4"/>
              <a:gd name="T10" fmla="*/ 10 w 48"/>
              <a:gd name="T11" fmla="*/ 0 h 4"/>
              <a:gd name="T12" fmla="*/ 0 w 4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8"/>
              <a:gd name="T22" fmla="*/ 0 h 4"/>
              <a:gd name="T23" fmla="*/ 48 w 48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8" y="4"/>
                </a:lnTo>
                <a:lnTo>
                  <a:pt x="48" y="0"/>
                </a:lnTo>
                <a:lnTo>
                  <a:pt x="46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6" name="Freeform 185"/>
          <xdr:cNvSpPr>
            <a:spLocks/>
          </xdr:cNvSpPr>
        </xdr:nvSpPr>
        <xdr:spPr bwMode="auto">
          <a:xfrm>
            <a:off x="274" y="2168"/>
            <a:ext cx="3" cy="3"/>
          </a:xfrm>
          <a:custGeom>
            <a:avLst/>
            <a:gdLst>
              <a:gd name="T0" fmla="*/ 0 w 14"/>
              <a:gd name="T1" fmla="*/ 2 h 14"/>
              <a:gd name="T2" fmla="*/ 0 w 14"/>
              <a:gd name="T3" fmla="*/ 3 h 14"/>
              <a:gd name="T4" fmla="*/ 1 w 14"/>
              <a:gd name="T5" fmla="*/ 3 h 14"/>
              <a:gd name="T6" fmla="*/ 1 w 14"/>
              <a:gd name="T7" fmla="*/ 1 h 14"/>
              <a:gd name="T8" fmla="*/ 2 w 14"/>
              <a:gd name="T9" fmla="*/ 1 h 14"/>
              <a:gd name="T10" fmla="*/ 2 w 14"/>
              <a:gd name="T11" fmla="*/ 1 h 14"/>
              <a:gd name="T12" fmla="*/ 3 w 14"/>
              <a:gd name="T13" fmla="*/ 1 h 14"/>
              <a:gd name="T14" fmla="*/ 3 w 14"/>
              <a:gd name="T15" fmla="*/ 0 h 14"/>
              <a:gd name="T16" fmla="*/ 3 w 14"/>
              <a:gd name="T17" fmla="*/ 0 h 14"/>
              <a:gd name="T18" fmla="*/ 1 w 14"/>
              <a:gd name="T19" fmla="*/ 0 h 14"/>
              <a:gd name="T20" fmla="*/ 1 w 14"/>
              <a:gd name="T21" fmla="*/ 1 h 14"/>
              <a:gd name="T22" fmla="*/ 1 w 14"/>
              <a:gd name="T23" fmla="*/ 0 h 14"/>
              <a:gd name="T24" fmla="*/ 0 w 14"/>
              <a:gd name="T25" fmla="*/ 0 h 14"/>
              <a:gd name="T26" fmla="*/ 0 w 14"/>
              <a:gd name="T27" fmla="*/ 3 h 14"/>
              <a:gd name="T28" fmla="*/ 0 w 14"/>
              <a:gd name="T29" fmla="*/ 2 h 1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4"/>
              <a:gd name="T46" fmla="*/ 0 h 14"/>
              <a:gd name="T47" fmla="*/ 14 w 14"/>
              <a:gd name="T48" fmla="*/ 14 h 1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4" h="14">
                <a:moveTo>
                  <a:pt x="0" y="10"/>
                </a:moveTo>
                <a:lnTo>
                  <a:pt x="0" y="14"/>
                </a:lnTo>
                <a:lnTo>
                  <a:pt x="4" y="14"/>
                </a:lnTo>
                <a:lnTo>
                  <a:pt x="4" y="6"/>
                </a:lnTo>
                <a:lnTo>
                  <a:pt x="8" y="6"/>
                </a:lnTo>
                <a:lnTo>
                  <a:pt x="8" y="4"/>
                </a:lnTo>
                <a:lnTo>
                  <a:pt x="14" y="4"/>
                </a:lnTo>
                <a:lnTo>
                  <a:pt x="14" y="0"/>
                </a:lnTo>
                <a:lnTo>
                  <a:pt x="12" y="0"/>
                </a:lnTo>
                <a:lnTo>
                  <a:pt x="4" y="0"/>
                </a:lnTo>
                <a:lnTo>
                  <a:pt x="4" y="4"/>
                </a:lnTo>
                <a:lnTo>
                  <a:pt x="6" y="2"/>
                </a:lnTo>
                <a:lnTo>
                  <a:pt x="0" y="2"/>
                </a:lnTo>
                <a:lnTo>
                  <a:pt x="0" y="12"/>
                </a:lnTo>
                <a:lnTo>
                  <a:pt x="0" y="1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7" name="Freeform 186"/>
          <xdr:cNvSpPr>
            <a:spLocks/>
          </xdr:cNvSpPr>
        </xdr:nvSpPr>
        <xdr:spPr bwMode="auto">
          <a:xfrm>
            <a:off x="295" y="2168"/>
            <a:ext cx="3" cy="3"/>
          </a:xfrm>
          <a:custGeom>
            <a:avLst/>
            <a:gdLst>
              <a:gd name="T0" fmla="*/ 0 w 18"/>
              <a:gd name="T1" fmla="*/ 0 h 14"/>
              <a:gd name="T2" fmla="*/ 0 w 18"/>
              <a:gd name="T3" fmla="*/ 0 h 14"/>
              <a:gd name="T4" fmla="*/ 0 w 18"/>
              <a:gd name="T5" fmla="*/ 1 h 14"/>
              <a:gd name="T6" fmla="*/ 2 w 18"/>
              <a:gd name="T7" fmla="*/ 1 h 14"/>
              <a:gd name="T8" fmla="*/ 2 w 18"/>
              <a:gd name="T9" fmla="*/ 2 h 14"/>
              <a:gd name="T10" fmla="*/ 2 w 18"/>
              <a:gd name="T11" fmla="*/ 2 h 14"/>
              <a:gd name="T12" fmla="*/ 2 w 18"/>
              <a:gd name="T13" fmla="*/ 2 h 14"/>
              <a:gd name="T14" fmla="*/ 2 w 18"/>
              <a:gd name="T15" fmla="*/ 2 h 14"/>
              <a:gd name="T16" fmla="*/ 2 w 18"/>
              <a:gd name="T17" fmla="*/ 3 h 14"/>
              <a:gd name="T18" fmla="*/ 3 w 18"/>
              <a:gd name="T19" fmla="*/ 3 h 14"/>
              <a:gd name="T20" fmla="*/ 3 w 18"/>
              <a:gd name="T21" fmla="*/ 3 h 14"/>
              <a:gd name="T22" fmla="*/ 3 w 18"/>
              <a:gd name="T23" fmla="*/ 1 h 14"/>
              <a:gd name="T24" fmla="*/ 3 w 18"/>
              <a:gd name="T25" fmla="*/ 1 h 14"/>
              <a:gd name="T26" fmla="*/ 3 w 18"/>
              <a:gd name="T27" fmla="*/ 1 h 14"/>
              <a:gd name="T28" fmla="*/ 2 w 18"/>
              <a:gd name="T29" fmla="*/ 1 h 14"/>
              <a:gd name="T30" fmla="*/ 2 w 18"/>
              <a:gd name="T31" fmla="*/ 0 h 14"/>
              <a:gd name="T32" fmla="*/ 0 w 18"/>
              <a:gd name="T33" fmla="*/ 0 h 1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8"/>
              <a:gd name="T52" fmla="*/ 0 h 14"/>
              <a:gd name="T53" fmla="*/ 18 w 18"/>
              <a:gd name="T54" fmla="*/ 14 h 1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8" h="1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0" y="4"/>
                </a:lnTo>
                <a:lnTo>
                  <a:pt x="10" y="8"/>
                </a:lnTo>
                <a:lnTo>
                  <a:pt x="12" y="8"/>
                </a:lnTo>
                <a:lnTo>
                  <a:pt x="12" y="10"/>
                </a:lnTo>
                <a:lnTo>
                  <a:pt x="14" y="10"/>
                </a:lnTo>
                <a:lnTo>
                  <a:pt x="14" y="14"/>
                </a:lnTo>
                <a:lnTo>
                  <a:pt x="18" y="14"/>
                </a:lnTo>
                <a:lnTo>
                  <a:pt x="18" y="12"/>
                </a:lnTo>
                <a:lnTo>
                  <a:pt x="18" y="6"/>
                </a:lnTo>
                <a:lnTo>
                  <a:pt x="16" y="6"/>
                </a:lnTo>
                <a:lnTo>
                  <a:pt x="16" y="4"/>
                </a:lnTo>
                <a:lnTo>
                  <a:pt x="14" y="4"/>
                </a:lnTo>
                <a:lnTo>
                  <a:pt x="14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8" name="Freeform 187"/>
          <xdr:cNvSpPr>
            <a:spLocks/>
          </xdr:cNvSpPr>
        </xdr:nvSpPr>
        <xdr:spPr bwMode="auto">
          <a:xfrm>
            <a:off x="270" y="2188"/>
            <a:ext cx="1" cy="8"/>
          </a:xfrm>
          <a:custGeom>
            <a:avLst/>
            <a:gdLst>
              <a:gd name="T0" fmla="*/ 1 w 8"/>
              <a:gd name="T1" fmla="*/ 0 h 39"/>
              <a:gd name="T2" fmla="*/ 1 w 8"/>
              <a:gd name="T3" fmla="*/ 0 h 39"/>
              <a:gd name="T4" fmla="*/ 1 w 8"/>
              <a:gd name="T5" fmla="*/ 1 h 39"/>
              <a:gd name="T6" fmla="*/ 1 w 8"/>
              <a:gd name="T7" fmla="*/ 0 h 39"/>
              <a:gd name="T8" fmla="*/ 1 w 8"/>
              <a:gd name="T9" fmla="*/ 1 h 39"/>
              <a:gd name="T10" fmla="*/ 0 w 8"/>
              <a:gd name="T11" fmla="*/ 1 h 39"/>
              <a:gd name="T12" fmla="*/ 0 w 8"/>
              <a:gd name="T13" fmla="*/ 2 h 39"/>
              <a:gd name="T14" fmla="*/ 0 w 8"/>
              <a:gd name="T15" fmla="*/ 2 h 39"/>
              <a:gd name="T16" fmla="*/ 0 w 8"/>
              <a:gd name="T17" fmla="*/ 3 h 39"/>
              <a:gd name="T18" fmla="*/ 0 w 8"/>
              <a:gd name="T19" fmla="*/ 3 h 39"/>
              <a:gd name="T20" fmla="*/ 0 w 8"/>
              <a:gd name="T21" fmla="*/ 4 h 39"/>
              <a:gd name="T22" fmla="*/ 0 w 8"/>
              <a:gd name="T23" fmla="*/ 3 h 39"/>
              <a:gd name="T24" fmla="*/ 0 w 8"/>
              <a:gd name="T25" fmla="*/ 4 h 39"/>
              <a:gd name="T26" fmla="*/ 0 w 8"/>
              <a:gd name="T27" fmla="*/ 7 h 39"/>
              <a:gd name="T28" fmla="*/ 0 w 8"/>
              <a:gd name="T29" fmla="*/ 7 h 39"/>
              <a:gd name="T30" fmla="*/ 0 w 8"/>
              <a:gd name="T31" fmla="*/ 8 h 39"/>
              <a:gd name="T32" fmla="*/ 1 w 8"/>
              <a:gd name="T33" fmla="*/ 8 h 39"/>
              <a:gd name="T34" fmla="*/ 1 w 8"/>
              <a:gd name="T35" fmla="*/ 8 h 39"/>
              <a:gd name="T36" fmla="*/ 1 w 8"/>
              <a:gd name="T37" fmla="*/ 7 h 39"/>
              <a:gd name="T38" fmla="*/ 1 w 8"/>
              <a:gd name="T39" fmla="*/ 7 h 39"/>
              <a:gd name="T40" fmla="*/ 1 w 8"/>
              <a:gd name="T41" fmla="*/ 4 h 39"/>
              <a:gd name="T42" fmla="*/ 1 w 8"/>
              <a:gd name="T43" fmla="*/ 4 h 39"/>
              <a:gd name="T44" fmla="*/ 1 w 8"/>
              <a:gd name="T45" fmla="*/ 3 h 39"/>
              <a:gd name="T46" fmla="*/ 1 w 8"/>
              <a:gd name="T47" fmla="*/ 3 h 39"/>
              <a:gd name="T48" fmla="*/ 1 w 8"/>
              <a:gd name="T49" fmla="*/ 3 h 39"/>
              <a:gd name="T50" fmla="*/ 1 w 8"/>
              <a:gd name="T51" fmla="*/ 3 h 39"/>
              <a:gd name="T52" fmla="*/ 1 w 8"/>
              <a:gd name="T53" fmla="*/ 2 h 39"/>
              <a:gd name="T54" fmla="*/ 1 w 8"/>
              <a:gd name="T55" fmla="*/ 2 h 39"/>
              <a:gd name="T56" fmla="*/ 1 w 8"/>
              <a:gd name="T57" fmla="*/ 1 h 39"/>
              <a:gd name="T58" fmla="*/ 1 w 8"/>
              <a:gd name="T59" fmla="*/ 1 h 39"/>
              <a:gd name="T60" fmla="*/ 1 w 8"/>
              <a:gd name="T61" fmla="*/ 0 h 39"/>
              <a:gd name="T62" fmla="*/ 1 w 8"/>
              <a:gd name="T63" fmla="*/ 0 h 39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8"/>
              <a:gd name="T97" fmla="*/ 0 h 39"/>
              <a:gd name="T98" fmla="*/ 8 w 8"/>
              <a:gd name="T99" fmla="*/ 39 h 39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8" h="39">
                <a:moveTo>
                  <a:pt x="8" y="0"/>
                </a:moveTo>
                <a:lnTo>
                  <a:pt x="4" y="0"/>
                </a:lnTo>
                <a:lnTo>
                  <a:pt x="4" y="4"/>
                </a:lnTo>
                <a:lnTo>
                  <a:pt x="4" y="2"/>
                </a:lnTo>
                <a:lnTo>
                  <a:pt x="4" y="4"/>
                </a:lnTo>
                <a:lnTo>
                  <a:pt x="2" y="6"/>
                </a:lnTo>
                <a:lnTo>
                  <a:pt x="2" y="8"/>
                </a:lnTo>
                <a:lnTo>
                  <a:pt x="0" y="8"/>
                </a:lnTo>
                <a:lnTo>
                  <a:pt x="0" y="17"/>
                </a:lnTo>
                <a:lnTo>
                  <a:pt x="2" y="17"/>
                </a:lnTo>
                <a:lnTo>
                  <a:pt x="2" y="19"/>
                </a:lnTo>
                <a:lnTo>
                  <a:pt x="2" y="15"/>
                </a:lnTo>
                <a:lnTo>
                  <a:pt x="0" y="19"/>
                </a:lnTo>
                <a:lnTo>
                  <a:pt x="0" y="33"/>
                </a:lnTo>
                <a:lnTo>
                  <a:pt x="2" y="35"/>
                </a:lnTo>
                <a:lnTo>
                  <a:pt x="2" y="39"/>
                </a:lnTo>
                <a:lnTo>
                  <a:pt x="6" y="39"/>
                </a:lnTo>
                <a:lnTo>
                  <a:pt x="6" y="37"/>
                </a:lnTo>
                <a:lnTo>
                  <a:pt x="6" y="35"/>
                </a:lnTo>
                <a:lnTo>
                  <a:pt x="4" y="33"/>
                </a:lnTo>
                <a:lnTo>
                  <a:pt x="4" y="19"/>
                </a:lnTo>
                <a:lnTo>
                  <a:pt x="6" y="19"/>
                </a:lnTo>
                <a:lnTo>
                  <a:pt x="6" y="15"/>
                </a:lnTo>
                <a:lnTo>
                  <a:pt x="6" y="17"/>
                </a:lnTo>
                <a:lnTo>
                  <a:pt x="6" y="13"/>
                </a:lnTo>
                <a:lnTo>
                  <a:pt x="4" y="13"/>
                </a:lnTo>
                <a:lnTo>
                  <a:pt x="4" y="11"/>
                </a:lnTo>
                <a:lnTo>
                  <a:pt x="6" y="11"/>
                </a:lnTo>
                <a:lnTo>
                  <a:pt x="6" y="6"/>
                </a:lnTo>
                <a:lnTo>
                  <a:pt x="8" y="4"/>
                </a:lnTo>
                <a:lnTo>
                  <a:pt x="8" y="2"/>
                </a:lnTo>
                <a:lnTo>
                  <a:pt x="8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89" name="Freeform 188"/>
          <xdr:cNvSpPr>
            <a:spLocks/>
          </xdr:cNvSpPr>
        </xdr:nvSpPr>
        <xdr:spPr bwMode="auto">
          <a:xfrm>
            <a:off x="302" y="2188"/>
            <a:ext cx="1" cy="10"/>
          </a:xfrm>
          <a:custGeom>
            <a:avLst/>
            <a:gdLst>
              <a:gd name="T0" fmla="*/ 1 w 8"/>
              <a:gd name="T1" fmla="*/ 1 h 41"/>
              <a:gd name="T2" fmla="*/ 1 w 8"/>
              <a:gd name="T3" fmla="*/ 1 h 41"/>
              <a:gd name="T4" fmla="*/ 1 w 8"/>
              <a:gd name="T5" fmla="*/ 0 h 41"/>
              <a:gd name="T6" fmla="*/ 0 w 8"/>
              <a:gd name="T7" fmla="*/ 0 h 41"/>
              <a:gd name="T8" fmla="*/ 0 w 8"/>
              <a:gd name="T9" fmla="*/ 1 h 41"/>
              <a:gd name="T10" fmla="*/ 0 w 8"/>
              <a:gd name="T11" fmla="*/ 1 h 41"/>
              <a:gd name="T12" fmla="*/ 1 w 8"/>
              <a:gd name="T13" fmla="*/ 2 h 41"/>
              <a:gd name="T14" fmla="*/ 1 w 8"/>
              <a:gd name="T15" fmla="*/ 3 h 41"/>
              <a:gd name="T16" fmla="*/ 1 w 8"/>
              <a:gd name="T17" fmla="*/ 3 h 41"/>
              <a:gd name="T18" fmla="*/ 0 w 8"/>
              <a:gd name="T19" fmla="*/ 4 h 41"/>
              <a:gd name="T20" fmla="*/ 0 w 8"/>
              <a:gd name="T21" fmla="*/ 9 h 41"/>
              <a:gd name="T22" fmla="*/ 1 w 8"/>
              <a:gd name="T23" fmla="*/ 9 h 41"/>
              <a:gd name="T24" fmla="*/ 1 w 8"/>
              <a:gd name="T25" fmla="*/ 10 h 41"/>
              <a:gd name="T26" fmla="*/ 1 w 8"/>
              <a:gd name="T27" fmla="*/ 10 h 41"/>
              <a:gd name="T28" fmla="*/ 1 w 8"/>
              <a:gd name="T29" fmla="*/ 10 h 41"/>
              <a:gd name="T30" fmla="*/ 1 w 8"/>
              <a:gd name="T31" fmla="*/ 9 h 41"/>
              <a:gd name="T32" fmla="*/ 1 w 8"/>
              <a:gd name="T33" fmla="*/ 9 h 41"/>
              <a:gd name="T34" fmla="*/ 1 w 8"/>
              <a:gd name="T35" fmla="*/ 4 h 41"/>
              <a:gd name="T36" fmla="*/ 1 w 8"/>
              <a:gd name="T37" fmla="*/ 4 h 41"/>
              <a:gd name="T38" fmla="*/ 1 w 8"/>
              <a:gd name="T39" fmla="*/ 2 h 41"/>
              <a:gd name="T40" fmla="*/ 1 w 8"/>
              <a:gd name="T41" fmla="*/ 1 h 41"/>
              <a:gd name="T42" fmla="*/ 1 w 8"/>
              <a:gd name="T43" fmla="*/ 0 h 41"/>
              <a:gd name="T44" fmla="*/ 1 w 8"/>
              <a:gd name="T45" fmla="*/ 0 h 41"/>
              <a:gd name="T46" fmla="*/ 1 w 8"/>
              <a:gd name="T47" fmla="*/ 1 h 41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8"/>
              <a:gd name="T73" fmla="*/ 0 h 41"/>
              <a:gd name="T74" fmla="*/ 8 w 8"/>
              <a:gd name="T75" fmla="*/ 41 h 41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8" h="41">
                <a:moveTo>
                  <a:pt x="4" y="4"/>
                </a:moveTo>
                <a:lnTo>
                  <a:pt x="6" y="4"/>
                </a:lnTo>
                <a:lnTo>
                  <a:pt x="6" y="0"/>
                </a:lnTo>
                <a:lnTo>
                  <a:pt x="0" y="0"/>
                </a:lnTo>
                <a:lnTo>
                  <a:pt x="0" y="6"/>
                </a:lnTo>
                <a:lnTo>
                  <a:pt x="2" y="6"/>
                </a:lnTo>
                <a:lnTo>
                  <a:pt x="4" y="8"/>
                </a:lnTo>
                <a:lnTo>
                  <a:pt x="4" y="13"/>
                </a:lnTo>
                <a:lnTo>
                  <a:pt x="4" y="11"/>
                </a:lnTo>
                <a:lnTo>
                  <a:pt x="2" y="15"/>
                </a:lnTo>
                <a:lnTo>
                  <a:pt x="2" y="35"/>
                </a:lnTo>
                <a:lnTo>
                  <a:pt x="4" y="37"/>
                </a:lnTo>
                <a:lnTo>
                  <a:pt x="4" y="41"/>
                </a:lnTo>
                <a:lnTo>
                  <a:pt x="8" y="41"/>
                </a:lnTo>
                <a:lnTo>
                  <a:pt x="8" y="39"/>
                </a:lnTo>
                <a:lnTo>
                  <a:pt x="8" y="37"/>
                </a:lnTo>
                <a:lnTo>
                  <a:pt x="6" y="35"/>
                </a:lnTo>
                <a:lnTo>
                  <a:pt x="6" y="15"/>
                </a:lnTo>
                <a:lnTo>
                  <a:pt x="8" y="15"/>
                </a:lnTo>
                <a:lnTo>
                  <a:pt x="8" y="8"/>
                </a:lnTo>
                <a:lnTo>
                  <a:pt x="6" y="6"/>
                </a:lnTo>
                <a:lnTo>
                  <a:pt x="6" y="2"/>
                </a:lnTo>
                <a:lnTo>
                  <a:pt x="4" y="2"/>
                </a:lnTo>
                <a:lnTo>
                  <a:pt x="4" y="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0" name="Freeform 189"/>
          <xdr:cNvSpPr>
            <a:spLocks/>
          </xdr:cNvSpPr>
        </xdr:nvSpPr>
        <xdr:spPr bwMode="auto">
          <a:xfrm>
            <a:off x="273" y="2173"/>
            <a:ext cx="1" cy="6"/>
          </a:xfrm>
          <a:custGeom>
            <a:avLst/>
            <a:gdLst>
              <a:gd name="T0" fmla="*/ 1 w 9"/>
              <a:gd name="T1" fmla="*/ 0 h 29"/>
              <a:gd name="T2" fmla="*/ 1 w 9"/>
              <a:gd name="T3" fmla="*/ 0 h 29"/>
              <a:gd name="T4" fmla="*/ 1 w 9"/>
              <a:gd name="T5" fmla="*/ 0 h 29"/>
              <a:gd name="T6" fmla="*/ 1 w 9"/>
              <a:gd name="T7" fmla="*/ 0 h 29"/>
              <a:gd name="T8" fmla="*/ 0 w 9"/>
              <a:gd name="T9" fmla="*/ 6 h 29"/>
              <a:gd name="T10" fmla="*/ 0 w 9"/>
              <a:gd name="T11" fmla="*/ 6 h 29"/>
              <a:gd name="T12" fmla="*/ 0 w 9"/>
              <a:gd name="T13" fmla="*/ 6 h 29"/>
              <a:gd name="T14" fmla="*/ 0 w 9"/>
              <a:gd name="T15" fmla="*/ 6 h 29"/>
              <a:gd name="T16" fmla="*/ 1 w 9"/>
              <a:gd name="T17" fmla="*/ 0 h 2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9"/>
              <a:gd name="T28" fmla="*/ 0 h 29"/>
              <a:gd name="T29" fmla="*/ 9 w 9"/>
              <a:gd name="T30" fmla="*/ 29 h 2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9" h="29">
                <a:moveTo>
                  <a:pt x="9" y="2"/>
                </a:moveTo>
                <a:lnTo>
                  <a:pt x="9" y="0"/>
                </a:lnTo>
                <a:lnTo>
                  <a:pt x="5" y="0"/>
                </a:lnTo>
                <a:lnTo>
                  <a:pt x="5" y="2"/>
                </a:lnTo>
                <a:lnTo>
                  <a:pt x="0" y="27"/>
                </a:lnTo>
                <a:lnTo>
                  <a:pt x="0" y="29"/>
                </a:lnTo>
                <a:lnTo>
                  <a:pt x="3" y="29"/>
                </a:lnTo>
                <a:lnTo>
                  <a:pt x="3" y="27"/>
                </a:lnTo>
                <a:lnTo>
                  <a:pt x="9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1" name="Freeform 190"/>
          <xdr:cNvSpPr>
            <a:spLocks/>
          </xdr:cNvSpPr>
        </xdr:nvSpPr>
        <xdr:spPr bwMode="auto">
          <a:xfrm>
            <a:off x="271" y="2179"/>
            <a:ext cx="2" cy="7"/>
          </a:xfrm>
          <a:custGeom>
            <a:avLst/>
            <a:gdLst>
              <a:gd name="T0" fmla="*/ 2 w 7"/>
              <a:gd name="T1" fmla="*/ 0 h 29"/>
              <a:gd name="T2" fmla="*/ 2 w 7"/>
              <a:gd name="T3" fmla="*/ 0 h 29"/>
              <a:gd name="T4" fmla="*/ 1 w 7"/>
              <a:gd name="T5" fmla="*/ 0 h 29"/>
              <a:gd name="T6" fmla="*/ 1 w 7"/>
              <a:gd name="T7" fmla="*/ 0 h 29"/>
              <a:gd name="T8" fmla="*/ 0 w 7"/>
              <a:gd name="T9" fmla="*/ 7 h 29"/>
              <a:gd name="T10" fmla="*/ 0 w 7"/>
              <a:gd name="T11" fmla="*/ 7 h 29"/>
              <a:gd name="T12" fmla="*/ 1 w 7"/>
              <a:gd name="T13" fmla="*/ 7 h 29"/>
              <a:gd name="T14" fmla="*/ 1 w 7"/>
              <a:gd name="T15" fmla="*/ 7 h 29"/>
              <a:gd name="T16" fmla="*/ 2 w 7"/>
              <a:gd name="T17" fmla="*/ 0 h 2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7"/>
              <a:gd name="T28" fmla="*/ 0 h 29"/>
              <a:gd name="T29" fmla="*/ 7 w 7"/>
              <a:gd name="T30" fmla="*/ 29 h 2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7" h="29">
                <a:moveTo>
                  <a:pt x="7" y="2"/>
                </a:moveTo>
                <a:lnTo>
                  <a:pt x="7" y="0"/>
                </a:lnTo>
                <a:lnTo>
                  <a:pt x="4" y="0"/>
                </a:lnTo>
                <a:lnTo>
                  <a:pt x="4" y="2"/>
                </a:lnTo>
                <a:lnTo>
                  <a:pt x="0" y="27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7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2" name="Freeform 191"/>
          <xdr:cNvSpPr>
            <a:spLocks/>
          </xdr:cNvSpPr>
        </xdr:nvSpPr>
        <xdr:spPr bwMode="auto">
          <a:xfrm>
            <a:off x="298" y="2171"/>
            <a:ext cx="4" cy="15"/>
          </a:xfrm>
          <a:custGeom>
            <a:avLst/>
            <a:gdLst>
              <a:gd name="T0" fmla="*/ 1 w 17"/>
              <a:gd name="T1" fmla="*/ 0 h 64"/>
              <a:gd name="T2" fmla="*/ 1 w 17"/>
              <a:gd name="T3" fmla="*/ 0 h 64"/>
              <a:gd name="T4" fmla="*/ 0 w 17"/>
              <a:gd name="T5" fmla="*/ 0 h 64"/>
              <a:gd name="T6" fmla="*/ 0 w 17"/>
              <a:gd name="T7" fmla="*/ 0 h 64"/>
              <a:gd name="T8" fmla="*/ 3 w 17"/>
              <a:gd name="T9" fmla="*/ 15 h 64"/>
              <a:gd name="T10" fmla="*/ 3 w 17"/>
              <a:gd name="T11" fmla="*/ 15 h 64"/>
              <a:gd name="T12" fmla="*/ 4 w 17"/>
              <a:gd name="T13" fmla="*/ 15 h 64"/>
              <a:gd name="T14" fmla="*/ 4 w 17"/>
              <a:gd name="T15" fmla="*/ 15 h 64"/>
              <a:gd name="T16" fmla="*/ 1 w 17"/>
              <a:gd name="T17" fmla="*/ 0 h 6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7"/>
              <a:gd name="T28" fmla="*/ 0 h 64"/>
              <a:gd name="T29" fmla="*/ 17 w 17"/>
              <a:gd name="T30" fmla="*/ 64 h 6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7" h="64">
                <a:moveTo>
                  <a:pt x="3" y="2"/>
                </a:move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lnTo>
                  <a:pt x="13" y="62"/>
                </a:lnTo>
                <a:lnTo>
                  <a:pt x="13" y="64"/>
                </a:lnTo>
                <a:lnTo>
                  <a:pt x="17" y="64"/>
                </a:lnTo>
                <a:lnTo>
                  <a:pt x="17" y="62"/>
                </a:lnTo>
                <a:lnTo>
                  <a:pt x="3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3" name="Freeform 192"/>
          <xdr:cNvSpPr>
            <a:spLocks/>
          </xdr:cNvSpPr>
        </xdr:nvSpPr>
        <xdr:spPr bwMode="auto">
          <a:xfrm>
            <a:off x="259" y="2159"/>
            <a:ext cx="2" cy="0"/>
          </a:xfrm>
          <a:custGeom>
            <a:avLst/>
            <a:gdLst>
              <a:gd name="T0" fmla="*/ 0 w 13"/>
              <a:gd name="T1" fmla="*/ 0 h 4"/>
              <a:gd name="T2" fmla="*/ 0 w 13"/>
              <a:gd name="T3" fmla="*/ 0 h 4"/>
              <a:gd name="T4" fmla="*/ 0 w 13"/>
              <a:gd name="T5" fmla="*/ 0 h 4"/>
              <a:gd name="T6" fmla="*/ 2 w 13"/>
              <a:gd name="T7" fmla="*/ 0 h 4"/>
              <a:gd name="T8" fmla="*/ 2 w 13"/>
              <a:gd name="T9" fmla="*/ 0 h 4"/>
              <a:gd name="T10" fmla="*/ 2 w 13"/>
              <a:gd name="T11" fmla="*/ 0 h 4"/>
              <a:gd name="T12" fmla="*/ 0 w 13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3"/>
              <a:gd name="T22" fmla="*/ 0 h 4"/>
              <a:gd name="T23" fmla="*/ 13 w 13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3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3" y="4"/>
                </a:lnTo>
                <a:lnTo>
                  <a:pt x="13" y="0"/>
                </a:lnTo>
                <a:lnTo>
                  <a:pt x="11" y="0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4" name="Freeform 193"/>
          <xdr:cNvSpPr>
            <a:spLocks/>
          </xdr:cNvSpPr>
        </xdr:nvSpPr>
        <xdr:spPr bwMode="auto">
          <a:xfrm>
            <a:off x="273" y="2153"/>
            <a:ext cx="1" cy="15"/>
          </a:xfrm>
          <a:custGeom>
            <a:avLst/>
            <a:gdLst>
              <a:gd name="T0" fmla="*/ 0 w 3"/>
              <a:gd name="T1" fmla="*/ 15 h 64"/>
              <a:gd name="T2" fmla="*/ 0 w 3"/>
              <a:gd name="T3" fmla="*/ 15 h 64"/>
              <a:gd name="T4" fmla="*/ 1 w 3"/>
              <a:gd name="T5" fmla="*/ 15 h 64"/>
              <a:gd name="T6" fmla="*/ 1 w 3"/>
              <a:gd name="T7" fmla="*/ 0 h 64"/>
              <a:gd name="T8" fmla="*/ 0 w 3"/>
              <a:gd name="T9" fmla="*/ 0 h 64"/>
              <a:gd name="T10" fmla="*/ 0 w 3"/>
              <a:gd name="T11" fmla="*/ 0 h 64"/>
              <a:gd name="T12" fmla="*/ 0 w 3"/>
              <a:gd name="T13" fmla="*/ 15 h 6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"/>
              <a:gd name="T22" fmla="*/ 0 h 64"/>
              <a:gd name="T23" fmla="*/ 3 w 3"/>
              <a:gd name="T24" fmla="*/ 64 h 6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" h="64">
                <a:moveTo>
                  <a:pt x="0" y="62"/>
                </a:moveTo>
                <a:lnTo>
                  <a:pt x="0" y="64"/>
                </a:lnTo>
                <a:lnTo>
                  <a:pt x="3" y="64"/>
                </a:ln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lnTo>
                  <a:pt x="0" y="6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5" name="Freeform 194"/>
          <xdr:cNvSpPr>
            <a:spLocks/>
          </xdr:cNvSpPr>
        </xdr:nvSpPr>
        <xdr:spPr bwMode="auto">
          <a:xfrm>
            <a:off x="281" y="2153"/>
            <a:ext cx="0" cy="15"/>
          </a:xfrm>
          <a:custGeom>
            <a:avLst/>
            <a:gdLst>
              <a:gd name="T0" fmla="*/ 0 w 4"/>
              <a:gd name="T1" fmla="*/ 15 h 66"/>
              <a:gd name="T2" fmla="*/ 0 w 4"/>
              <a:gd name="T3" fmla="*/ 15 h 66"/>
              <a:gd name="T4" fmla="*/ 0 w 4"/>
              <a:gd name="T5" fmla="*/ 15 h 66"/>
              <a:gd name="T6" fmla="*/ 0 w 4"/>
              <a:gd name="T7" fmla="*/ 0 h 66"/>
              <a:gd name="T8" fmla="*/ 0 w 4"/>
              <a:gd name="T9" fmla="*/ 0 h 66"/>
              <a:gd name="T10" fmla="*/ 0 w 4"/>
              <a:gd name="T11" fmla="*/ 0 h 66"/>
              <a:gd name="T12" fmla="*/ 0 w 4"/>
              <a:gd name="T13" fmla="*/ 15 h 6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66"/>
              <a:gd name="T23" fmla="*/ 0 w 4"/>
              <a:gd name="T24" fmla="*/ 66 h 6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66">
                <a:moveTo>
                  <a:pt x="0" y="64"/>
                </a:moveTo>
                <a:lnTo>
                  <a:pt x="0" y="66"/>
                </a:lnTo>
                <a:lnTo>
                  <a:pt x="4" y="66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64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6" name="Freeform 195"/>
          <xdr:cNvSpPr>
            <a:spLocks/>
          </xdr:cNvSpPr>
        </xdr:nvSpPr>
        <xdr:spPr bwMode="auto">
          <a:xfrm>
            <a:off x="290" y="2153"/>
            <a:ext cx="1" cy="15"/>
          </a:xfrm>
          <a:custGeom>
            <a:avLst/>
            <a:gdLst>
              <a:gd name="T0" fmla="*/ 0 w 4"/>
              <a:gd name="T1" fmla="*/ 15 h 64"/>
              <a:gd name="T2" fmla="*/ 0 w 4"/>
              <a:gd name="T3" fmla="*/ 15 h 64"/>
              <a:gd name="T4" fmla="*/ 1 w 4"/>
              <a:gd name="T5" fmla="*/ 15 h 64"/>
              <a:gd name="T6" fmla="*/ 1 w 4"/>
              <a:gd name="T7" fmla="*/ 0 h 64"/>
              <a:gd name="T8" fmla="*/ 0 w 4"/>
              <a:gd name="T9" fmla="*/ 0 h 64"/>
              <a:gd name="T10" fmla="*/ 0 w 4"/>
              <a:gd name="T11" fmla="*/ 0 h 64"/>
              <a:gd name="T12" fmla="*/ 0 w 4"/>
              <a:gd name="T13" fmla="*/ 15 h 6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64"/>
              <a:gd name="T23" fmla="*/ 4 w 4"/>
              <a:gd name="T24" fmla="*/ 64 h 6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64">
                <a:moveTo>
                  <a:pt x="0" y="62"/>
                </a:moveTo>
                <a:lnTo>
                  <a:pt x="0" y="64"/>
                </a:lnTo>
                <a:lnTo>
                  <a:pt x="4" y="64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6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7" name="Freeform 196"/>
          <xdr:cNvSpPr>
            <a:spLocks/>
          </xdr:cNvSpPr>
        </xdr:nvSpPr>
        <xdr:spPr bwMode="auto">
          <a:xfrm>
            <a:off x="300" y="2153"/>
            <a:ext cx="0" cy="15"/>
          </a:xfrm>
          <a:custGeom>
            <a:avLst/>
            <a:gdLst>
              <a:gd name="T0" fmla="*/ 0 w 4"/>
              <a:gd name="T1" fmla="*/ 15 h 68"/>
              <a:gd name="T2" fmla="*/ 0 w 4"/>
              <a:gd name="T3" fmla="*/ 15 h 68"/>
              <a:gd name="T4" fmla="*/ 0 w 4"/>
              <a:gd name="T5" fmla="*/ 15 h 68"/>
              <a:gd name="T6" fmla="*/ 0 w 4"/>
              <a:gd name="T7" fmla="*/ 0 h 68"/>
              <a:gd name="T8" fmla="*/ 0 w 4"/>
              <a:gd name="T9" fmla="*/ 0 h 68"/>
              <a:gd name="T10" fmla="*/ 0 w 4"/>
              <a:gd name="T11" fmla="*/ 0 h 68"/>
              <a:gd name="T12" fmla="*/ 0 w 4"/>
              <a:gd name="T13" fmla="*/ 15 h 6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68"/>
              <a:gd name="T23" fmla="*/ 0 w 4"/>
              <a:gd name="T24" fmla="*/ 68 h 6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68">
                <a:moveTo>
                  <a:pt x="0" y="66"/>
                </a:moveTo>
                <a:lnTo>
                  <a:pt x="0" y="68"/>
                </a:lnTo>
                <a:lnTo>
                  <a:pt x="4" y="68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0" y="6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8" name="Oval 197"/>
          <xdr:cNvSpPr>
            <a:spLocks noChangeArrowheads="1"/>
          </xdr:cNvSpPr>
        </xdr:nvSpPr>
        <xdr:spPr bwMode="auto">
          <a:xfrm>
            <a:off x="282" y="2157"/>
            <a:ext cx="3" cy="3"/>
          </a:xfrm>
          <a:prstGeom prst="ellipse">
            <a:avLst/>
          </a:prstGeom>
          <a:solidFill>
            <a:srgbClr val="C0C0C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199" name="Freeform 198"/>
          <xdr:cNvSpPr>
            <a:spLocks/>
          </xdr:cNvSpPr>
        </xdr:nvSpPr>
        <xdr:spPr bwMode="auto">
          <a:xfrm>
            <a:off x="281" y="2156"/>
            <a:ext cx="4" cy="4"/>
          </a:xfrm>
          <a:custGeom>
            <a:avLst/>
            <a:gdLst>
              <a:gd name="T0" fmla="*/ 0 w 16"/>
              <a:gd name="T1" fmla="*/ 2 h 16"/>
              <a:gd name="T2" fmla="*/ 0 w 16"/>
              <a:gd name="T3" fmla="*/ 3 h 16"/>
              <a:gd name="T4" fmla="*/ 1 w 16"/>
              <a:gd name="T5" fmla="*/ 3 h 16"/>
              <a:gd name="T6" fmla="*/ 1 w 16"/>
              <a:gd name="T7" fmla="*/ 4 h 16"/>
              <a:gd name="T8" fmla="*/ 3 w 16"/>
              <a:gd name="T9" fmla="*/ 4 h 16"/>
              <a:gd name="T10" fmla="*/ 3 w 16"/>
              <a:gd name="T11" fmla="*/ 3 h 16"/>
              <a:gd name="T12" fmla="*/ 3 w 16"/>
              <a:gd name="T13" fmla="*/ 3 h 16"/>
              <a:gd name="T14" fmla="*/ 3 w 16"/>
              <a:gd name="T15" fmla="*/ 3 h 16"/>
              <a:gd name="T16" fmla="*/ 4 w 16"/>
              <a:gd name="T17" fmla="*/ 3 h 16"/>
              <a:gd name="T18" fmla="*/ 4 w 16"/>
              <a:gd name="T19" fmla="*/ 1 h 16"/>
              <a:gd name="T20" fmla="*/ 3 w 16"/>
              <a:gd name="T21" fmla="*/ 1 h 16"/>
              <a:gd name="T22" fmla="*/ 3 w 16"/>
              <a:gd name="T23" fmla="*/ 0 h 16"/>
              <a:gd name="T24" fmla="*/ 1 w 16"/>
              <a:gd name="T25" fmla="*/ 0 h 16"/>
              <a:gd name="T26" fmla="*/ 1 w 16"/>
              <a:gd name="T27" fmla="*/ 1 h 16"/>
              <a:gd name="T28" fmla="*/ 0 w 16"/>
              <a:gd name="T29" fmla="*/ 1 h 16"/>
              <a:gd name="T30" fmla="*/ 0 w 16"/>
              <a:gd name="T31" fmla="*/ 2 h 16"/>
              <a:gd name="T32" fmla="*/ 1 w 16"/>
              <a:gd name="T33" fmla="*/ 2 h 16"/>
              <a:gd name="T34" fmla="*/ 1 w 16"/>
              <a:gd name="T35" fmla="*/ 1 h 16"/>
              <a:gd name="T36" fmla="*/ 1 w 16"/>
              <a:gd name="T37" fmla="*/ 1 h 16"/>
              <a:gd name="T38" fmla="*/ 1 w 16"/>
              <a:gd name="T39" fmla="*/ 1 h 16"/>
              <a:gd name="T40" fmla="*/ 2 w 16"/>
              <a:gd name="T41" fmla="*/ 1 h 16"/>
              <a:gd name="T42" fmla="*/ 2 w 16"/>
              <a:gd name="T43" fmla="*/ 1 h 16"/>
              <a:gd name="T44" fmla="*/ 3 w 16"/>
              <a:gd name="T45" fmla="*/ 1 h 16"/>
              <a:gd name="T46" fmla="*/ 3 w 16"/>
              <a:gd name="T47" fmla="*/ 2 h 16"/>
              <a:gd name="T48" fmla="*/ 2 w 16"/>
              <a:gd name="T49" fmla="*/ 2 h 16"/>
              <a:gd name="T50" fmla="*/ 2 w 16"/>
              <a:gd name="T51" fmla="*/ 2 h 16"/>
              <a:gd name="T52" fmla="*/ 2 w 16"/>
              <a:gd name="T53" fmla="*/ 2 h 16"/>
              <a:gd name="T54" fmla="*/ 2 w 16"/>
              <a:gd name="T55" fmla="*/ 3 h 16"/>
              <a:gd name="T56" fmla="*/ 1 w 16"/>
              <a:gd name="T57" fmla="*/ 3 h 16"/>
              <a:gd name="T58" fmla="*/ 1 w 16"/>
              <a:gd name="T59" fmla="*/ 2 h 16"/>
              <a:gd name="T60" fmla="*/ 1 w 16"/>
              <a:gd name="T61" fmla="*/ 2 h 16"/>
              <a:gd name="T62" fmla="*/ 1 w 16"/>
              <a:gd name="T63" fmla="*/ 2 h 16"/>
              <a:gd name="T64" fmla="*/ 0 w 16"/>
              <a:gd name="T65" fmla="*/ 2 h 1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6"/>
              <a:gd name="T100" fmla="*/ 0 h 16"/>
              <a:gd name="T101" fmla="*/ 16 w 16"/>
              <a:gd name="T102" fmla="*/ 16 h 1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6" h="16">
                <a:moveTo>
                  <a:pt x="0" y="8"/>
                </a:moveTo>
                <a:lnTo>
                  <a:pt x="0" y="14"/>
                </a:lnTo>
                <a:lnTo>
                  <a:pt x="2" y="14"/>
                </a:lnTo>
                <a:lnTo>
                  <a:pt x="2" y="16"/>
                </a:lnTo>
                <a:lnTo>
                  <a:pt x="12" y="16"/>
                </a:lnTo>
                <a:lnTo>
                  <a:pt x="12" y="14"/>
                </a:lnTo>
                <a:lnTo>
                  <a:pt x="14" y="14"/>
                </a:lnTo>
                <a:lnTo>
                  <a:pt x="14" y="12"/>
                </a:lnTo>
                <a:lnTo>
                  <a:pt x="16" y="12"/>
                </a:lnTo>
                <a:lnTo>
                  <a:pt x="16" y="2"/>
                </a:lnTo>
                <a:lnTo>
                  <a:pt x="14" y="2"/>
                </a:lnTo>
                <a:lnTo>
                  <a:pt x="14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4" y="8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10" y="4"/>
                </a:lnTo>
                <a:lnTo>
                  <a:pt x="10" y="6"/>
                </a:lnTo>
                <a:lnTo>
                  <a:pt x="12" y="6"/>
                </a:lnTo>
                <a:lnTo>
                  <a:pt x="12" y="8"/>
                </a:lnTo>
                <a:lnTo>
                  <a:pt x="10" y="8"/>
                </a:lnTo>
                <a:lnTo>
                  <a:pt x="10" y="10"/>
                </a:lnTo>
                <a:lnTo>
                  <a:pt x="8" y="10"/>
                </a:lnTo>
                <a:lnTo>
                  <a:pt x="8" y="12"/>
                </a:lnTo>
                <a:lnTo>
                  <a:pt x="6" y="12"/>
                </a:lnTo>
                <a:lnTo>
                  <a:pt x="6" y="10"/>
                </a:lnTo>
                <a:lnTo>
                  <a:pt x="4" y="10"/>
                </a:lnTo>
                <a:lnTo>
                  <a:pt x="4" y="8"/>
                </a:lnTo>
                <a:lnTo>
                  <a:pt x="0" y="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0" name="Freeform 199"/>
          <xdr:cNvSpPr>
            <a:spLocks/>
          </xdr:cNvSpPr>
        </xdr:nvSpPr>
        <xdr:spPr bwMode="auto">
          <a:xfrm>
            <a:off x="286" y="2161"/>
            <a:ext cx="3" cy="3"/>
          </a:xfrm>
          <a:custGeom>
            <a:avLst/>
            <a:gdLst>
              <a:gd name="T0" fmla="*/ 0 w 12"/>
              <a:gd name="T1" fmla="*/ 3 h 13"/>
              <a:gd name="T2" fmla="*/ 0 w 12"/>
              <a:gd name="T3" fmla="*/ 3 h 13"/>
              <a:gd name="T4" fmla="*/ 1 w 12"/>
              <a:gd name="T5" fmla="*/ 3 h 13"/>
              <a:gd name="T6" fmla="*/ 1 w 12"/>
              <a:gd name="T7" fmla="*/ 1 h 13"/>
              <a:gd name="T8" fmla="*/ 2 w 12"/>
              <a:gd name="T9" fmla="*/ 1 h 13"/>
              <a:gd name="T10" fmla="*/ 2 w 12"/>
              <a:gd name="T11" fmla="*/ 1 h 13"/>
              <a:gd name="T12" fmla="*/ 3 w 12"/>
              <a:gd name="T13" fmla="*/ 1 h 13"/>
              <a:gd name="T14" fmla="*/ 3 w 12"/>
              <a:gd name="T15" fmla="*/ 0 h 13"/>
              <a:gd name="T16" fmla="*/ 3 w 12"/>
              <a:gd name="T17" fmla="*/ 0 h 13"/>
              <a:gd name="T18" fmla="*/ 1 w 12"/>
              <a:gd name="T19" fmla="*/ 0 h 13"/>
              <a:gd name="T20" fmla="*/ 1 w 12"/>
              <a:gd name="T21" fmla="*/ 1 h 13"/>
              <a:gd name="T22" fmla="*/ 1 w 12"/>
              <a:gd name="T23" fmla="*/ 0 h 13"/>
              <a:gd name="T24" fmla="*/ 0 w 12"/>
              <a:gd name="T25" fmla="*/ 0 h 13"/>
              <a:gd name="T26" fmla="*/ 0 w 12"/>
              <a:gd name="T27" fmla="*/ 3 h 13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2"/>
              <a:gd name="T43" fmla="*/ 0 h 13"/>
              <a:gd name="T44" fmla="*/ 12 w 12"/>
              <a:gd name="T45" fmla="*/ 13 h 13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12" h="13">
                <a:moveTo>
                  <a:pt x="0" y="11"/>
                </a:moveTo>
                <a:lnTo>
                  <a:pt x="0" y="13"/>
                </a:lnTo>
                <a:lnTo>
                  <a:pt x="4" y="13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12" y="4"/>
                </a:lnTo>
                <a:lnTo>
                  <a:pt x="12" y="0"/>
                </a:lnTo>
                <a:lnTo>
                  <a:pt x="10" y="0"/>
                </a:lnTo>
                <a:lnTo>
                  <a:pt x="2" y="0"/>
                </a:lnTo>
                <a:lnTo>
                  <a:pt x="2" y="4"/>
                </a:lnTo>
                <a:lnTo>
                  <a:pt x="4" y="2"/>
                </a:lnTo>
                <a:lnTo>
                  <a:pt x="0" y="2"/>
                </a:lnTo>
                <a:lnTo>
                  <a:pt x="0" y="1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1" name="Freeform 200"/>
          <xdr:cNvSpPr>
            <a:spLocks/>
          </xdr:cNvSpPr>
        </xdr:nvSpPr>
        <xdr:spPr bwMode="auto">
          <a:xfrm>
            <a:off x="284" y="2161"/>
            <a:ext cx="1" cy="3"/>
          </a:xfrm>
          <a:custGeom>
            <a:avLst/>
            <a:gdLst>
              <a:gd name="T0" fmla="*/ 1 w 10"/>
              <a:gd name="T1" fmla="*/ 3 h 11"/>
              <a:gd name="T2" fmla="*/ 1 w 10"/>
              <a:gd name="T3" fmla="*/ 3 h 11"/>
              <a:gd name="T4" fmla="*/ 1 w 10"/>
              <a:gd name="T5" fmla="*/ 3 h 11"/>
              <a:gd name="T6" fmla="*/ 1 w 10"/>
              <a:gd name="T7" fmla="*/ 1 h 11"/>
              <a:gd name="T8" fmla="*/ 1 w 10"/>
              <a:gd name="T9" fmla="*/ 1 h 11"/>
              <a:gd name="T10" fmla="*/ 1 w 10"/>
              <a:gd name="T11" fmla="*/ 1 h 11"/>
              <a:gd name="T12" fmla="*/ 0 w 10"/>
              <a:gd name="T13" fmla="*/ 1 h 11"/>
              <a:gd name="T14" fmla="*/ 1 w 10"/>
              <a:gd name="T15" fmla="*/ 2 h 11"/>
              <a:gd name="T16" fmla="*/ 1 w 10"/>
              <a:gd name="T17" fmla="*/ 2 h 11"/>
              <a:gd name="T18" fmla="*/ 1 w 10"/>
              <a:gd name="T19" fmla="*/ 1 h 11"/>
              <a:gd name="T20" fmla="*/ 1 w 10"/>
              <a:gd name="T21" fmla="*/ 1 h 11"/>
              <a:gd name="T22" fmla="*/ 1 w 10"/>
              <a:gd name="T23" fmla="*/ 0 h 11"/>
              <a:gd name="T24" fmla="*/ 0 w 10"/>
              <a:gd name="T25" fmla="*/ 0 h 11"/>
              <a:gd name="T26" fmla="*/ 0 w 10"/>
              <a:gd name="T27" fmla="*/ 1 h 11"/>
              <a:gd name="T28" fmla="*/ 0 w 10"/>
              <a:gd name="T29" fmla="*/ 1 h 11"/>
              <a:gd name="T30" fmla="*/ 0 w 10"/>
              <a:gd name="T31" fmla="*/ 2 h 11"/>
              <a:gd name="T32" fmla="*/ 1 w 10"/>
              <a:gd name="T33" fmla="*/ 2 h 11"/>
              <a:gd name="T34" fmla="*/ 0 w 10"/>
              <a:gd name="T35" fmla="*/ 2 h 11"/>
              <a:gd name="T36" fmla="*/ 1 w 10"/>
              <a:gd name="T37" fmla="*/ 1 h 11"/>
              <a:gd name="T38" fmla="*/ 1 w 10"/>
              <a:gd name="T39" fmla="*/ 1 h 11"/>
              <a:gd name="T40" fmla="*/ 0 w 10"/>
              <a:gd name="T41" fmla="*/ 2 h 11"/>
              <a:gd name="T42" fmla="*/ 0 w 10"/>
              <a:gd name="T43" fmla="*/ 2 h 11"/>
              <a:gd name="T44" fmla="*/ 1 w 10"/>
              <a:gd name="T45" fmla="*/ 2 h 11"/>
              <a:gd name="T46" fmla="*/ 1 w 10"/>
              <a:gd name="T47" fmla="*/ 3 h 11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0"/>
              <a:gd name="T73" fmla="*/ 0 h 11"/>
              <a:gd name="T74" fmla="*/ 10 w 10"/>
              <a:gd name="T75" fmla="*/ 11 h 11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0" h="11">
                <a:moveTo>
                  <a:pt x="6" y="10"/>
                </a:moveTo>
                <a:lnTo>
                  <a:pt x="6" y="11"/>
                </a:lnTo>
                <a:lnTo>
                  <a:pt x="10" y="11"/>
                </a:lnTo>
                <a:lnTo>
                  <a:pt x="10" y="4"/>
                </a:lnTo>
                <a:lnTo>
                  <a:pt x="8" y="4"/>
                </a:lnTo>
                <a:lnTo>
                  <a:pt x="8" y="2"/>
                </a:lnTo>
                <a:lnTo>
                  <a:pt x="2" y="4"/>
                </a:lnTo>
                <a:lnTo>
                  <a:pt x="6" y="6"/>
                </a:lnTo>
                <a:lnTo>
                  <a:pt x="8" y="6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2" y="6"/>
                </a:lnTo>
                <a:lnTo>
                  <a:pt x="6" y="6"/>
                </a:lnTo>
                <a:lnTo>
                  <a:pt x="4" y="6"/>
                </a:lnTo>
                <a:lnTo>
                  <a:pt x="6" y="2"/>
                </a:lnTo>
                <a:lnTo>
                  <a:pt x="6" y="4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1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2" name="Freeform 201"/>
          <xdr:cNvSpPr>
            <a:spLocks/>
          </xdr:cNvSpPr>
        </xdr:nvSpPr>
        <xdr:spPr bwMode="auto">
          <a:xfrm>
            <a:off x="312" y="2173"/>
            <a:ext cx="9" cy="23"/>
          </a:xfrm>
          <a:custGeom>
            <a:avLst/>
            <a:gdLst>
              <a:gd name="T0" fmla="*/ 1 w 43"/>
              <a:gd name="T1" fmla="*/ 0 h 107"/>
              <a:gd name="T2" fmla="*/ 1 w 43"/>
              <a:gd name="T3" fmla="*/ 0 h 107"/>
              <a:gd name="T4" fmla="*/ 0 w 43"/>
              <a:gd name="T5" fmla="*/ 0 h 107"/>
              <a:gd name="T6" fmla="*/ 0 w 43"/>
              <a:gd name="T7" fmla="*/ 0 h 107"/>
              <a:gd name="T8" fmla="*/ 8 w 43"/>
              <a:gd name="T9" fmla="*/ 23 h 107"/>
              <a:gd name="T10" fmla="*/ 8 w 43"/>
              <a:gd name="T11" fmla="*/ 23 h 107"/>
              <a:gd name="T12" fmla="*/ 9 w 43"/>
              <a:gd name="T13" fmla="*/ 23 h 107"/>
              <a:gd name="T14" fmla="*/ 9 w 43"/>
              <a:gd name="T15" fmla="*/ 23 h 107"/>
              <a:gd name="T16" fmla="*/ 1 w 43"/>
              <a:gd name="T17" fmla="*/ 0 h 10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3"/>
              <a:gd name="T28" fmla="*/ 0 h 107"/>
              <a:gd name="T29" fmla="*/ 43 w 43"/>
              <a:gd name="T30" fmla="*/ 107 h 10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3" h="107">
                <a:moveTo>
                  <a:pt x="3" y="2"/>
                </a:move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lnTo>
                  <a:pt x="39" y="105"/>
                </a:lnTo>
                <a:lnTo>
                  <a:pt x="39" y="107"/>
                </a:lnTo>
                <a:lnTo>
                  <a:pt x="43" y="107"/>
                </a:lnTo>
                <a:lnTo>
                  <a:pt x="43" y="105"/>
                </a:lnTo>
                <a:lnTo>
                  <a:pt x="3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3" name="Freeform 202"/>
          <xdr:cNvSpPr>
            <a:spLocks/>
          </xdr:cNvSpPr>
        </xdr:nvSpPr>
        <xdr:spPr bwMode="auto">
          <a:xfrm>
            <a:off x="313" y="2173"/>
            <a:ext cx="10" cy="23"/>
          </a:xfrm>
          <a:custGeom>
            <a:avLst/>
            <a:gdLst>
              <a:gd name="T0" fmla="*/ 1 w 46"/>
              <a:gd name="T1" fmla="*/ 0 h 107"/>
              <a:gd name="T2" fmla="*/ 1 w 46"/>
              <a:gd name="T3" fmla="*/ 0 h 107"/>
              <a:gd name="T4" fmla="*/ 0 w 46"/>
              <a:gd name="T5" fmla="*/ 0 h 107"/>
              <a:gd name="T6" fmla="*/ 0 w 46"/>
              <a:gd name="T7" fmla="*/ 0 h 107"/>
              <a:gd name="T8" fmla="*/ 9 w 46"/>
              <a:gd name="T9" fmla="*/ 23 h 107"/>
              <a:gd name="T10" fmla="*/ 9 w 46"/>
              <a:gd name="T11" fmla="*/ 23 h 107"/>
              <a:gd name="T12" fmla="*/ 10 w 46"/>
              <a:gd name="T13" fmla="*/ 23 h 107"/>
              <a:gd name="T14" fmla="*/ 10 w 46"/>
              <a:gd name="T15" fmla="*/ 23 h 107"/>
              <a:gd name="T16" fmla="*/ 1 w 46"/>
              <a:gd name="T17" fmla="*/ 0 h 10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6"/>
              <a:gd name="T28" fmla="*/ 0 h 107"/>
              <a:gd name="T29" fmla="*/ 46 w 46"/>
              <a:gd name="T30" fmla="*/ 107 h 10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6" h="10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42" y="105"/>
                </a:lnTo>
                <a:lnTo>
                  <a:pt x="42" y="107"/>
                </a:lnTo>
                <a:lnTo>
                  <a:pt x="46" y="107"/>
                </a:lnTo>
                <a:lnTo>
                  <a:pt x="46" y="10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4" name="Freeform 203"/>
          <xdr:cNvSpPr>
            <a:spLocks/>
          </xdr:cNvSpPr>
        </xdr:nvSpPr>
        <xdr:spPr bwMode="auto">
          <a:xfrm>
            <a:off x="321" y="2178"/>
            <a:ext cx="5" cy="10"/>
          </a:xfrm>
          <a:custGeom>
            <a:avLst/>
            <a:gdLst>
              <a:gd name="T0" fmla="*/ 1 w 26"/>
              <a:gd name="T1" fmla="*/ 0 h 45"/>
              <a:gd name="T2" fmla="*/ 1 w 26"/>
              <a:gd name="T3" fmla="*/ 0 h 45"/>
              <a:gd name="T4" fmla="*/ 0 w 26"/>
              <a:gd name="T5" fmla="*/ 0 h 45"/>
              <a:gd name="T6" fmla="*/ 0 w 26"/>
              <a:gd name="T7" fmla="*/ 0 h 45"/>
              <a:gd name="T8" fmla="*/ 4 w 26"/>
              <a:gd name="T9" fmla="*/ 10 h 45"/>
              <a:gd name="T10" fmla="*/ 4 w 26"/>
              <a:gd name="T11" fmla="*/ 10 h 45"/>
              <a:gd name="T12" fmla="*/ 5 w 26"/>
              <a:gd name="T13" fmla="*/ 10 h 45"/>
              <a:gd name="T14" fmla="*/ 5 w 26"/>
              <a:gd name="T15" fmla="*/ 10 h 45"/>
              <a:gd name="T16" fmla="*/ 1 w 26"/>
              <a:gd name="T17" fmla="*/ 0 h 4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6"/>
              <a:gd name="T28" fmla="*/ 0 h 45"/>
              <a:gd name="T29" fmla="*/ 26 w 26"/>
              <a:gd name="T30" fmla="*/ 45 h 4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6" h="4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22" y="43"/>
                </a:lnTo>
                <a:lnTo>
                  <a:pt x="22" y="45"/>
                </a:lnTo>
                <a:lnTo>
                  <a:pt x="26" y="45"/>
                </a:lnTo>
                <a:lnTo>
                  <a:pt x="26" y="43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5" name="Freeform 204"/>
          <xdr:cNvSpPr>
            <a:spLocks/>
          </xdr:cNvSpPr>
        </xdr:nvSpPr>
        <xdr:spPr bwMode="auto">
          <a:xfrm>
            <a:off x="312" y="2178"/>
            <a:ext cx="3" cy="3"/>
          </a:xfrm>
          <a:custGeom>
            <a:avLst/>
            <a:gdLst>
              <a:gd name="T0" fmla="*/ 1 w 9"/>
              <a:gd name="T1" fmla="*/ 0 h 17"/>
              <a:gd name="T2" fmla="*/ 1 w 9"/>
              <a:gd name="T3" fmla="*/ 0 h 17"/>
              <a:gd name="T4" fmla="*/ 0 w 9"/>
              <a:gd name="T5" fmla="*/ 0 h 17"/>
              <a:gd name="T6" fmla="*/ 0 w 9"/>
              <a:gd name="T7" fmla="*/ 0 h 17"/>
              <a:gd name="T8" fmla="*/ 2 w 9"/>
              <a:gd name="T9" fmla="*/ 3 h 17"/>
              <a:gd name="T10" fmla="*/ 2 w 9"/>
              <a:gd name="T11" fmla="*/ 3 h 17"/>
              <a:gd name="T12" fmla="*/ 3 w 9"/>
              <a:gd name="T13" fmla="*/ 3 h 17"/>
              <a:gd name="T14" fmla="*/ 3 w 9"/>
              <a:gd name="T15" fmla="*/ 3 h 17"/>
              <a:gd name="T16" fmla="*/ 1 w 9"/>
              <a:gd name="T17" fmla="*/ 0 h 1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9"/>
              <a:gd name="T28" fmla="*/ 0 h 17"/>
              <a:gd name="T29" fmla="*/ 9 w 9"/>
              <a:gd name="T30" fmla="*/ 17 h 1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9" h="17">
                <a:moveTo>
                  <a:pt x="3" y="2"/>
                </a:move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lnTo>
                  <a:pt x="5" y="15"/>
                </a:lnTo>
                <a:lnTo>
                  <a:pt x="5" y="17"/>
                </a:lnTo>
                <a:lnTo>
                  <a:pt x="9" y="17"/>
                </a:lnTo>
                <a:lnTo>
                  <a:pt x="9" y="15"/>
                </a:lnTo>
                <a:lnTo>
                  <a:pt x="3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6" name="Freeform 205"/>
          <xdr:cNvSpPr>
            <a:spLocks/>
          </xdr:cNvSpPr>
        </xdr:nvSpPr>
        <xdr:spPr bwMode="auto">
          <a:xfrm>
            <a:off x="315" y="2184"/>
            <a:ext cx="2" cy="5"/>
          </a:xfrm>
          <a:custGeom>
            <a:avLst/>
            <a:gdLst>
              <a:gd name="T0" fmla="*/ 1 w 12"/>
              <a:gd name="T1" fmla="*/ 0 h 24"/>
              <a:gd name="T2" fmla="*/ 1 w 12"/>
              <a:gd name="T3" fmla="*/ 0 h 24"/>
              <a:gd name="T4" fmla="*/ 0 w 12"/>
              <a:gd name="T5" fmla="*/ 0 h 24"/>
              <a:gd name="T6" fmla="*/ 0 w 12"/>
              <a:gd name="T7" fmla="*/ 0 h 24"/>
              <a:gd name="T8" fmla="*/ 1 w 12"/>
              <a:gd name="T9" fmla="*/ 5 h 24"/>
              <a:gd name="T10" fmla="*/ 1 w 12"/>
              <a:gd name="T11" fmla="*/ 5 h 24"/>
              <a:gd name="T12" fmla="*/ 2 w 12"/>
              <a:gd name="T13" fmla="*/ 5 h 24"/>
              <a:gd name="T14" fmla="*/ 2 w 12"/>
              <a:gd name="T15" fmla="*/ 5 h 24"/>
              <a:gd name="T16" fmla="*/ 1 w 12"/>
              <a:gd name="T17" fmla="*/ 0 h 2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2"/>
              <a:gd name="T28" fmla="*/ 0 h 24"/>
              <a:gd name="T29" fmla="*/ 12 w 12"/>
              <a:gd name="T30" fmla="*/ 24 h 2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2" h="2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8" y="22"/>
                </a:lnTo>
                <a:lnTo>
                  <a:pt x="8" y="24"/>
                </a:lnTo>
                <a:lnTo>
                  <a:pt x="12" y="24"/>
                </a:lnTo>
                <a:lnTo>
                  <a:pt x="12" y="22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7" name="Freeform 206"/>
          <xdr:cNvSpPr>
            <a:spLocks/>
          </xdr:cNvSpPr>
        </xdr:nvSpPr>
        <xdr:spPr bwMode="auto">
          <a:xfrm>
            <a:off x="303" y="2175"/>
            <a:ext cx="8" cy="2"/>
          </a:xfrm>
          <a:custGeom>
            <a:avLst/>
            <a:gdLst>
              <a:gd name="T0" fmla="*/ 0 w 38"/>
              <a:gd name="T1" fmla="*/ 0 h 4"/>
              <a:gd name="T2" fmla="*/ 0 w 38"/>
              <a:gd name="T3" fmla="*/ 0 h 4"/>
              <a:gd name="T4" fmla="*/ 0 w 38"/>
              <a:gd name="T5" fmla="*/ 2 h 4"/>
              <a:gd name="T6" fmla="*/ 8 w 38"/>
              <a:gd name="T7" fmla="*/ 2 h 4"/>
              <a:gd name="T8" fmla="*/ 8 w 38"/>
              <a:gd name="T9" fmla="*/ 0 h 4"/>
              <a:gd name="T10" fmla="*/ 8 w 38"/>
              <a:gd name="T11" fmla="*/ 0 h 4"/>
              <a:gd name="T12" fmla="*/ 0 w 3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8"/>
              <a:gd name="T22" fmla="*/ 0 h 4"/>
              <a:gd name="T23" fmla="*/ 38 w 38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8" y="4"/>
                </a:lnTo>
                <a:lnTo>
                  <a:pt x="38" y="0"/>
                </a:lnTo>
                <a:lnTo>
                  <a:pt x="36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8" name="Freeform 207"/>
          <xdr:cNvSpPr>
            <a:spLocks/>
          </xdr:cNvSpPr>
        </xdr:nvSpPr>
        <xdr:spPr bwMode="auto">
          <a:xfrm>
            <a:off x="315" y="2175"/>
            <a:ext cx="5" cy="2"/>
          </a:xfrm>
          <a:custGeom>
            <a:avLst/>
            <a:gdLst>
              <a:gd name="T0" fmla="*/ 0 w 22"/>
              <a:gd name="T1" fmla="*/ 0 h 4"/>
              <a:gd name="T2" fmla="*/ 0 w 22"/>
              <a:gd name="T3" fmla="*/ 0 h 4"/>
              <a:gd name="T4" fmla="*/ 0 w 22"/>
              <a:gd name="T5" fmla="*/ 2 h 4"/>
              <a:gd name="T6" fmla="*/ 5 w 22"/>
              <a:gd name="T7" fmla="*/ 2 h 4"/>
              <a:gd name="T8" fmla="*/ 5 w 22"/>
              <a:gd name="T9" fmla="*/ 0 h 4"/>
              <a:gd name="T10" fmla="*/ 5 w 22"/>
              <a:gd name="T11" fmla="*/ 0 h 4"/>
              <a:gd name="T12" fmla="*/ 0 w 2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4"/>
              <a:gd name="T23" fmla="*/ 22 w 22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2" y="4"/>
                </a:lnTo>
                <a:lnTo>
                  <a:pt x="22" y="0"/>
                </a:lnTo>
                <a:lnTo>
                  <a:pt x="20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09" name="Freeform 208"/>
          <xdr:cNvSpPr>
            <a:spLocks/>
          </xdr:cNvSpPr>
        </xdr:nvSpPr>
        <xdr:spPr bwMode="auto">
          <a:xfrm>
            <a:off x="312" y="2173"/>
            <a:ext cx="1" cy="2"/>
          </a:xfrm>
          <a:custGeom>
            <a:avLst/>
            <a:gdLst>
              <a:gd name="T0" fmla="*/ 1 w 4"/>
              <a:gd name="T1" fmla="*/ 0 h 14"/>
              <a:gd name="T2" fmla="*/ 1 w 4"/>
              <a:gd name="T3" fmla="*/ 0 h 14"/>
              <a:gd name="T4" fmla="*/ 0 w 4"/>
              <a:gd name="T5" fmla="*/ 0 h 14"/>
              <a:gd name="T6" fmla="*/ 0 w 4"/>
              <a:gd name="T7" fmla="*/ 2 h 14"/>
              <a:gd name="T8" fmla="*/ 1 w 4"/>
              <a:gd name="T9" fmla="*/ 2 h 14"/>
              <a:gd name="T10" fmla="*/ 1 w 4"/>
              <a:gd name="T11" fmla="*/ 2 h 14"/>
              <a:gd name="T12" fmla="*/ 1 w 4"/>
              <a:gd name="T13" fmla="*/ 0 h 1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4"/>
              <a:gd name="T23" fmla="*/ 4 w 4"/>
              <a:gd name="T24" fmla="*/ 14 h 1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4"/>
                </a:lnTo>
                <a:lnTo>
                  <a:pt x="4" y="14"/>
                </a:lnTo>
                <a:lnTo>
                  <a:pt x="4" y="12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0" name="Freeform 209"/>
          <xdr:cNvSpPr>
            <a:spLocks/>
          </xdr:cNvSpPr>
        </xdr:nvSpPr>
        <xdr:spPr bwMode="auto">
          <a:xfrm>
            <a:off x="320" y="2168"/>
            <a:ext cx="1" cy="9"/>
          </a:xfrm>
          <a:custGeom>
            <a:avLst/>
            <a:gdLst>
              <a:gd name="T0" fmla="*/ 1 w 4"/>
              <a:gd name="T1" fmla="*/ 1 h 31"/>
              <a:gd name="T2" fmla="*/ 1 w 4"/>
              <a:gd name="T3" fmla="*/ 0 h 31"/>
              <a:gd name="T4" fmla="*/ 0 w 4"/>
              <a:gd name="T5" fmla="*/ 0 h 31"/>
              <a:gd name="T6" fmla="*/ 0 w 4"/>
              <a:gd name="T7" fmla="*/ 9 h 31"/>
              <a:gd name="T8" fmla="*/ 1 w 4"/>
              <a:gd name="T9" fmla="*/ 9 h 31"/>
              <a:gd name="T10" fmla="*/ 1 w 4"/>
              <a:gd name="T11" fmla="*/ 8 h 31"/>
              <a:gd name="T12" fmla="*/ 1 w 4"/>
              <a:gd name="T13" fmla="*/ 1 h 3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31"/>
              <a:gd name="T23" fmla="*/ 4 w 4"/>
              <a:gd name="T24" fmla="*/ 31 h 3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31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31"/>
                </a:lnTo>
                <a:lnTo>
                  <a:pt x="4" y="31"/>
                </a:lnTo>
                <a:lnTo>
                  <a:pt x="4" y="29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1" name="Freeform 210"/>
          <xdr:cNvSpPr>
            <a:spLocks/>
          </xdr:cNvSpPr>
        </xdr:nvSpPr>
        <xdr:spPr bwMode="auto">
          <a:xfrm>
            <a:off x="316" y="2193"/>
            <a:ext cx="1" cy="3"/>
          </a:xfrm>
          <a:custGeom>
            <a:avLst/>
            <a:gdLst>
              <a:gd name="T0" fmla="*/ 1 w 4"/>
              <a:gd name="T1" fmla="*/ 0 h 14"/>
              <a:gd name="T2" fmla="*/ 1 w 4"/>
              <a:gd name="T3" fmla="*/ 0 h 14"/>
              <a:gd name="T4" fmla="*/ 0 w 4"/>
              <a:gd name="T5" fmla="*/ 0 h 14"/>
              <a:gd name="T6" fmla="*/ 0 w 4"/>
              <a:gd name="T7" fmla="*/ 3 h 14"/>
              <a:gd name="T8" fmla="*/ 1 w 4"/>
              <a:gd name="T9" fmla="*/ 3 h 14"/>
              <a:gd name="T10" fmla="*/ 1 w 4"/>
              <a:gd name="T11" fmla="*/ 3 h 14"/>
              <a:gd name="T12" fmla="*/ 1 w 4"/>
              <a:gd name="T13" fmla="*/ 0 h 1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4"/>
              <a:gd name="T23" fmla="*/ 4 w 4"/>
              <a:gd name="T24" fmla="*/ 14 h 1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4"/>
                </a:lnTo>
                <a:lnTo>
                  <a:pt x="4" y="14"/>
                </a:lnTo>
                <a:lnTo>
                  <a:pt x="4" y="12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2" name="Freeform 211"/>
          <xdr:cNvSpPr>
            <a:spLocks/>
          </xdr:cNvSpPr>
        </xdr:nvSpPr>
        <xdr:spPr bwMode="auto">
          <a:xfrm>
            <a:off x="326" y="2192"/>
            <a:ext cx="1" cy="4"/>
          </a:xfrm>
          <a:custGeom>
            <a:avLst/>
            <a:gdLst>
              <a:gd name="T0" fmla="*/ 1 w 4"/>
              <a:gd name="T1" fmla="*/ 0 h 22"/>
              <a:gd name="T2" fmla="*/ 1 w 4"/>
              <a:gd name="T3" fmla="*/ 0 h 22"/>
              <a:gd name="T4" fmla="*/ 0 w 4"/>
              <a:gd name="T5" fmla="*/ 0 h 22"/>
              <a:gd name="T6" fmla="*/ 0 w 4"/>
              <a:gd name="T7" fmla="*/ 4 h 22"/>
              <a:gd name="T8" fmla="*/ 1 w 4"/>
              <a:gd name="T9" fmla="*/ 4 h 22"/>
              <a:gd name="T10" fmla="*/ 1 w 4"/>
              <a:gd name="T11" fmla="*/ 4 h 22"/>
              <a:gd name="T12" fmla="*/ 1 w 4"/>
              <a:gd name="T13" fmla="*/ 0 h 2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2"/>
              <a:gd name="T23" fmla="*/ 4 w 4"/>
              <a:gd name="T24" fmla="*/ 22 h 2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2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2"/>
                </a:lnTo>
                <a:lnTo>
                  <a:pt x="4" y="22"/>
                </a:lnTo>
                <a:lnTo>
                  <a:pt x="4" y="20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3" name="Freeform 212"/>
          <xdr:cNvSpPr>
            <a:spLocks/>
          </xdr:cNvSpPr>
        </xdr:nvSpPr>
        <xdr:spPr bwMode="auto">
          <a:xfrm>
            <a:off x="316" y="2189"/>
            <a:ext cx="1" cy="4"/>
          </a:xfrm>
          <a:custGeom>
            <a:avLst/>
            <a:gdLst>
              <a:gd name="T0" fmla="*/ 0 w 8"/>
              <a:gd name="T1" fmla="*/ 0 h 15"/>
              <a:gd name="T2" fmla="*/ 0 w 8"/>
              <a:gd name="T3" fmla="*/ 0 h 15"/>
              <a:gd name="T4" fmla="*/ 1 w 8"/>
              <a:gd name="T5" fmla="*/ 0 h 15"/>
              <a:gd name="T6" fmla="*/ 1 w 8"/>
              <a:gd name="T7" fmla="*/ 0 h 15"/>
              <a:gd name="T8" fmla="*/ 0 w 8"/>
              <a:gd name="T9" fmla="*/ 0 h 15"/>
              <a:gd name="T10" fmla="*/ 0 w 8"/>
              <a:gd name="T11" fmla="*/ 1 h 15"/>
              <a:gd name="T12" fmla="*/ 0 w 8"/>
              <a:gd name="T13" fmla="*/ 1 h 15"/>
              <a:gd name="T14" fmla="*/ 0 w 8"/>
              <a:gd name="T15" fmla="*/ 2 h 15"/>
              <a:gd name="T16" fmla="*/ 1 w 8"/>
              <a:gd name="T17" fmla="*/ 2 h 15"/>
              <a:gd name="T18" fmla="*/ 1 w 8"/>
              <a:gd name="T19" fmla="*/ 1 h 15"/>
              <a:gd name="T20" fmla="*/ 0 w 8"/>
              <a:gd name="T21" fmla="*/ 1 h 15"/>
              <a:gd name="T22" fmla="*/ 0 w 8"/>
              <a:gd name="T23" fmla="*/ 4 h 15"/>
              <a:gd name="T24" fmla="*/ 1 w 8"/>
              <a:gd name="T25" fmla="*/ 4 h 15"/>
              <a:gd name="T26" fmla="*/ 1 w 8"/>
              <a:gd name="T27" fmla="*/ 3 h 15"/>
              <a:gd name="T28" fmla="*/ 1 w 8"/>
              <a:gd name="T29" fmla="*/ 2 h 15"/>
              <a:gd name="T30" fmla="*/ 1 w 8"/>
              <a:gd name="T31" fmla="*/ 2 h 15"/>
              <a:gd name="T32" fmla="*/ 1 w 8"/>
              <a:gd name="T33" fmla="*/ 1 h 15"/>
              <a:gd name="T34" fmla="*/ 1 w 8"/>
              <a:gd name="T35" fmla="*/ 1 h 15"/>
              <a:gd name="T36" fmla="*/ 1 w 8"/>
              <a:gd name="T37" fmla="*/ 0 h 15"/>
              <a:gd name="T38" fmla="*/ 1 w 8"/>
              <a:gd name="T39" fmla="*/ 0 h 15"/>
              <a:gd name="T40" fmla="*/ 0 w 8"/>
              <a:gd name="T41" fmla="*/ 0 h 15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8"/>
              <a:gd name="T64" fmla="*/ 0 h 15"/>
              <a:gd name="T65" fmla="*/ 8 w 8"/>
              <a:gd name="T66" fmla="*/ 15 h 15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8" h="15">
                <a:moveTo>
                  <a:pt x="0" y="0"/>
                </a:moveTo>
                <a:lnTo>
                  <a:pt x="0" y="1"/>
                </a:lnTo>
                <a:lnTo>
                  <a:pt x="4" y="1"/>
                </a:lnTo>
                <a:lnTo>
                  <a:pt x="4" y="0"/>
                </a:lnTo>
                <a:lnTo>
                  <a:pt x="0" y="0"/>
                </a:lnTo>
                <a:lnTo>
                  <a:pt x="0" y="3"/>
                </a:lnTo>
                <a:lnTo>
                  <a:pt x="2" y="3"/>
                </a:lnTo>
                <a:lnTo>
                  <a:pt x="2" y="7"/>
                </a:lnTo>
                <a:lnTo>
                  <a:pt x="4" y="7"/>
                </a:lnTo>
                <a:lnTo>
                  <a:pt x="6" y="5"/>
                </a:lnTo>
                <a:lnTo>
                  <a:pt x="2" y="5"/>
                </a:lnTo>
                <a:lnTo>
                  <a:pt x="2" y="15"/>
                </a:lnTo>
                <a:lnTo>
                  <a:pt x="6" y="15"/>
                </a:lnTo>
                <a:lnTo>
                  <a:pt x="6" y="13"/>
                </a:lnTo>
                <a:lnTo>
                  <a:pt x="6" y="9"/>
                </a:lnTo>
                <a:lnTo>
                  <a:pt x="8" y="9"/>
                </a:lnTo>
                <a:lnTo>
                  <a:pt x="8" y="3"/>
                </a:lnTo>
                <a:lnTo>
                  <a:pt x="6" y="3"/>
                </a:lnTo>
                <a:lnTo>
                  <a:pt x="6" y="0"/>
                </a:ln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4" name="Freeform 213"/>
          <xdr:cNvSpPr>
            <a:spLocks/>
          </xdr:cNvSpPr>
        </xdr:nvSpPr>
        <xdr:spPr bwMode="auto">
          <a:xfrm>
            <a:off x="326" y="2188"/>
            <a:ext cx="1" cy="4"/>
          </a:xfrm>
          <a:custGeom>
            <a:avLst/>
            <a:gdLst>
              <a:gd name="T0" fmla="*/ 0 w 7"/>
              <a:gd name="T1" fmla="*/ 1 h 19"/>
              <a:gd name="T2" fmla="*/ 1 w 7"/>
              <a:gd name="T3" fmla="*/ 1 h 19"/>
              <a:gd name="T4" fmla="*/ 1 w 7"/>
              <a:gd name="T5" fmla="*/ 0 h 19"/>
              <a:gd name="T6" fmla="*/ 0 w 7"/>
              <a:gd name="T7" fmla="*/ 0 h 19"/>
              <a:gd name="T8" fmla="*/ 0 w 7"/>
              <a:gd name="T9" fmla="*/ 1 h 19"/>
              <a:gd name="T10" fmla="*/ 0 w 7"/>
              <a:gd name="T11" fmla="*/ 1 h 19"/>
              <a:gd name="T12" fmla="*/ 0 w 7"/>
              <a:gd name="T13" fmla="*/ 2 h 19"/>
              <a:gd name="T14" fmla="*/ 0 w 7"/>
              <a:gd name="T15" fmla="*/ 2 h 19"/>
              <a:gd name="T16" fmla="*/ 0 w 7"/>
              <a:gd name="T17" fmla="*/ 2 h 19"/>
              <a:gd name="T18" fmla="*/ 0 w 7"/>
              <a:gd name="T19" fmla="*/ 2 h 19"/>
              <a:gd name="T20" fmla="*/ 1 w 7"/>
              <a:gd name="T21" fmla="*/ 2 h 19"/>
              <a:gd name="T22" fmla="*/ 0 w 7"/>
              <a:gd name="T23" fmla="*/ 2 h 19"/>
              <a:gd name="T24" fmla="*/ 0 w 7"/>
              <a:gd name="T25" fmla="*/ 4 h 19"/>
              <a:gd name="T26" fmla="*/ 0 w 7"/>
              <a:gd name="T27" fmla="*/ 4 h 19"/>
              <a:gd name="T28" fmla="*/ 0 w 7"/>
              <a:gd name="T29" fmla="*/ 4 h 19"/>
              <a:gd name="T30" fmla="*/ 1 w 7"/>
              <a:gd name="T31" fmla="*/ 4 h 19"/>
              <a:gd name="T32" fmla="*/ 1 w 7"/>
              <a:gd name="T33" fmla="*/ 4 h 19"/>
              <a:gd name="T34" fmla="*/ 1 w 7"/>
              <a:gd name="T35" fmla="*/ 3 h 19"/>
              <a:gd name="T36" fmla="*/ 1 w 7"/>
              <a:gd name="T37" fmla="*/ 3 h 19"/>
              <a:gd name="T38" fmla="*/ 1 w 7"/>
              <a:gd name="T39" fmla="*/ 3 h 19"/>
              <a:gd name="T40" fmla="*/ 1 w 7"/>
              <a:gd name="T41" fmla="*/ 1 h 19"/>
              <a:gd name="T42" fmla="*/ 1 w 7"/>
              <a:gd name="T43" fmla="*/ 1 h 19"/>
              <a:gd name="T44" fmla="*/ 1 w 7"/>
              <a:gd name="T45" fmla="*/ 1 h 19"/>
              <a:gd name="T46" fmla="*/ 0 w 7"/>
              <a:gd name="T47" fmla="*/ 1 h 19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7"/>
              <a:gd name="T73" fmla="*/ 0 h 19"/>
              <a:gd name="T74" fmla="*/ 7 w 7"/>
              <a:gd name="T75" fmla="*/ 19 h 19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7" h="19">
                <a:moveTo>
                  <a:pt x="3" y="4"/>
                </a:moveTo>
                <a:lnTo>
                  <a:pt x="5" y="4"/>
                </a:lnTo>
                <a:lnTo>
                  <a:pt x="5" y="0"/>
                </a:lnTo>
                <a:lnTo>
                  <a:pt x="0" y="0"/>
                </a:lnTo>
                <a:lnTo>
                  <a:pt x="0" y="7"/>
                </a:lnTo>
                <a:lnTo>
                  <a:pt x="2" y="7"/>
                </a:lnTo>
                <a:lnTo>
                  <a:pt x="2" y="9"/>
                </a:lnTo>
                <a:lnTo>
                  <a:pt x="3" y="9"/>
                </a:lnTo>
                <a:lnTo>
                  <a:pt x="3" y="11"/>
                </a:lnTo>
                <a:lnTo>
                  <a:pt x="3" y="9"/>
                </a:lnTo>
                <a:lnTo>
                  <a:pt x="5" y="9"/>
                </a:lnTo>
                <a:lnTo>
                  <a:pt x="2" y="9"/>
                </a:lnTo>
                <a:lnTo>
                  <a:pt x="2" y="17"/>
                </a:lnTo>
                <a:lnTo>
                  <a:pt x="3" y="17"/>
                </a:lnTo>
                <a:lnTo>
                  <a:pt x="3" y="19"/>
                </a:lnTo>
                <a:lnTo>
                  <a:pt x="7" y="19"/>
                </a:lnTo>
                <a:lnTo>
                  <a:pt x="7" y="17"/>
                </a:lnTo>
                <a:lnTo>
                  <a:pt x="7" y="13"/>
                </a:lnTo>
                <a:lnTo>
                  <a:pt x="5" y="13"/>
                </a:lnTo>
                <a:lnTo>
                  <a:pt x="7" y="13"/>
                </a:lnTo>
                <a:lnTo>
                  <a:pt x="7" y="6"/>
                </a:lnTo>
                <a:lnTo>
                  <a:pt x="5" y="6"/>
                </a:lnTo>
                <a:lnTo>
                  <a:pt x="5" y="4"/>
                </a:lnTo>
                <a:lnTo>
                  <a:pt x="3" y="4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5" name="Freeform 214"/>
          <xdr:cNvSpPr>
            <a:spLocks/>
          </xdr:cNvSpPr>
        </xdr:nvSpPr>
        <xdr:spPr bwMode="auto">
          <a:xfrm>
            <a:off x="321" y="2168"/>
            <a:ext cx="13" cy="28"/>
          </a:xfrm>
          <a:custGeom>
            <a:avLst/>
            <a:gdLst>
              <a:gd name="T0" fmla="*/ 1 w 67"/>
              <a:gd name="T1" fmla="*/ 0 h 125"/>
              <a:gd name="T2" fmla="*/ 1 w 67"/>
              <a:gd name="T3" fmla="*/ 0 h 125"/>
              <a:gd name="T4" fmla="*/ 0 w 67"/>
              <a:gd name="T5" fmla="*/ 0 h 125"/>
              <a:gd name="T6" fmla="*/ 0 w 67"/>
              <a:gd name="T7" fmla="*/ 0 h 125"/>
              <a:gd name="T8" fmla="*/ 12 w 67"/>
              <a:gd name="T9" fmla="*/ 28 h 125"/>
              <a:gd name="T10" fmla="*/ 12 w 67"/>
              <a:gd name="T11" fmla="*/ 28 h 125"/>
              <a:gd name="T12" fmla="*/ 13 w 67"/>
              <a:gd name="T13" fmla="*/ 28 h 125"/>
              <a:gd name="T14" fmla="*/ 13 w 67"/>
              <a:gd name="T15" fmla="*/ 28 h 125"/>
              <a:gd name="T16" fmla="*/ 1 w 67"/>
              <a:gd name="T17" fmla="*/ 0 h 1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67"/>
              <a:gd name="T28" fmla="*/ 0 h 125"/>
              <a:gd name="T29" fmla="*/ 67 w 67"/>
              <a:gd name="T30" fmla="*/ 125 h 1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67" h="1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63" y="123"/>
                </a:lnTo>
                <a:lnTo>
                  <a:pt x="63" y="125"/>
                </a:lnTo>
                <a:lnTo>
                  <a:pt x="67" y="125"/>
                </a:lnTo>
                <a:lnTo>
                  <a:pt x="67" y="123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6" name="Freeform 215"/>
          <xdr:cNvSpPr>
            <a:spLocks/>
          </xdr:cNvSpPr>
        </xdr:nvSpPr>
        <xdr:spPr bwMode="auto">
          <a:xfrm>
            <a:off x="353" y="2213"/>
            <a:ext cx="5" cy="3"/>
          </a:xfrm>
          <a:custGeom>
            <a:avLst/>
            <a:gdLst>
              <a:gd name="T0" fmla="*/ 4 w 21"/>
              <a:gd name="T1" fmla="*/ 3 h 11"/>
              <a:gd name="T2" fmla="*/ 5 w 21"/>
              <a:gd name="T3" fmla="*/ 3 h 11"/>
              <a:gd name="T4" fmla="*/ 5 w 21"/>
              <a:gd name="T5" fmla="*/ 3 h 11"/>
              <a:gd name="T6" fmla="*/ 5 w 21"/>
              <a:gd name="T7" fmla="*/ 3 h 11"/>
              <a:gd name="T8" fmla="*/ 5 w 21"/>
              <a:gd name="T9" fmla="*/ 1 h 11"/>
              <a:gd name="T10" fmla="*/ 5 w 21"/>
              <a:gd name="T11" fmla="*/ 1 h 11"/>
              <a:gd name="T12" fmla="*/ 5 w 21"/>
              <a:gd name="T13" fmla="*/ 0 h 11"/>
              <a:gd name="T14" fmla="*/ 0 w 21"/>
              <a:gd name="T15" fmla="*/ 0 h 11"/>
              <a:gd name="T16" fmla="*/ 0 w 21"/>
              <a:gd name="T17" fmla="*/ 1 h 11"/>
              <a:gd name="T18" fmla="*/ 0 w 21"/>
              <a:gd name="T19" fmla="*/ 1 h 11"/>
              <a:gd name="T20" fmla="*/ 0 w 21"/>
              <a:gd name="T21" fmla="*/ 3 h 11"/>
              <a:gd name="T22" fmla="*/ 0 w 21"/>
              <a:gd name="T23" fmla="*/ 3 h 11"/>
              <a:gd name="T24" fmla="*/ 0 w 21"/>
              <a:gd name="T25" fmla="*/ 3 h 11"/>
              <a:gd name="T26" fmla="*/ 1 w 21"/>
              <a:gd name="T27" fmla="*/ 3 h 11"/>
              <a:gd name="T28" fmla="*/ 4 w 21"/>
              <a:gd name="T29" fmla="*/ 3 h 1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1"/>
              <a:gd name="T46" fmla="*/ 0 h 11"/>
              <a:gd name="T47" fmla="*/ 21 w 21"/>
              <a:gd name="T48" fmla="*/ 11 h 1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1" h="11">
                <a:moveTo>
                  <a:pt x="15" y="11"/>
                </a:moveTo>
                <a:lnTo>
                  <a:pt x="19" y="11"/>
                </a:lnTo>
                <a:lnTo>
                  <a:pt x="19" y="10"/>
                </a:lnTo>
                <a:lnTo>
                  <a:pt x="21" y="10"/>
                </a:lnTo>
                <a:lnTo>
                  <a:pt x="21" y="2"/>
                </a:lnTo>
                <a:lnTo>
                  <a:pt x="19" y="2"/>
                </a:lnTo>
                <a:lnTo>
                  <a:pt x="19" y="0"/>
                </a:lnTo>
                <a:lnTo>
                  <a:pt x="1" y="0"/>
                </a:lnTo>
                <a:lnTo>
                  <a:pt x="1" y="2"/>
                </a:lnTo>
                <a:lnTo>
                  <a:pt x="0" y="2"/>
                </a:lnTo>
                <a:lnTo>
                  <a:pt x="0" y="10"/>
                </a:lnTo>
                <a:lnTo>
                  <a:pt x="1" y="10"/>
                </a:lnTo>
                <a:lnTo>
                  <a:pt x="1" y="11"/>
                </a:lnTo>
                <a:lnTo>
                  <a:pt x="5" y="11"/>
                </a:lnTo>
                <a:lnTo>
                  <a:pt x="15" y="11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7" name="Freeform 216"/>
          <xdr:cNvSpPr>
            <a:spLocks/>
          </xdr:cNvSpPr>
        </xdr:nvSpPr>
        <xdr:spPr bwMode="auto">
          <a:xfrm>
            <a:off x="324" y="2252"/>
            <a:ext cx="5" cy="4"/>
          </a:xfrm>
          <a:custGeom>
            <a:avLst/>
            <a:gdLst>
              <a:gd name="T0" fmla="*/ 5 w 25"/>
              <a:gd name="T1" fmla="*/ 1 h 24"/>
              <a:gd name="T2" fmla="*/ 5 w 25"/>
              <a:gd name="T3" fmla="*/ 0 h 24"/>
              <a:gd name="T4" fmla="*/ 5 w 25"/>
              <a:gd name="T5" fmla="*/ 0 h 24"/>
              <a:gd name="T6" fmla="*/ 5 w 25"/>
              <a:gd name="T7" fmla="*/ 0 h 24"/>
              <a:gd name="T8" fmla="*/ 3 w 25"/>
              <a:gd name="T9" fmla="*/ 0 h 24"/>
              <a:gd name="T10" fmla="*/ 3 w 25"/>
              <a:gd name="T11" fmla="*/ 0 h 24"/>
              <a:gd name="T12" fmla="*/ 3 w 25"/>
              <a:gd name="T13" fmla="*/ 0 h 24"/>
              <a:gd name="T14" fmla="*/ 3 w 25"/>
              <a:gd name="T15" fmla="*/ 1 h 24"/>
              <a:gd name="T16" fmla="*/ 3 w 25"/>
              <a:gd name="T17" fmla="*/ 1 h 24"/>
              <a:gd name="T18" fmla="*/ 3 w 25"/>
              <a:gd name="T19" fmla="*/ 1 h 24"/>
              <a:gd name="T20" fmla="*/ 3 w 25"/>
              <a:gd name="T21" fmla="*/ 1 h 24"/>
              <a:gd name="T22" fmla="*/ 2 w 25"/>
              <a:gd name="T23" fmla="*/ 1 h 24"/>
              <a:gd name="T24" fmla="*/ 2 w 25"/>
              <a:gd name="T25" fmla="*/ 2 h 24"/>
              <a:gd name="T26" fmla="*/ 3 w 25"/>
              <a:gd name="T27" fmla="*/ 1 h 24"/>
              <a:gd name="T28" fmla="*/ 2 w 25"/>
              <a:gd name="T29" fmla="*/ 2 h 24"/>
              <a:gd name="T30" fmla="*/ 2 w 25"/>
              <a:gd name="T31" fmla="*/ 2 h 24"/>
              <a:gd name="T32" fmla="*/ 1 w 25"/>
              <a:gd name="T33" fmla="*/ 2 h 24"/>
              <a:gd name="T34" fmla="*/ 1 w 25"/>
              <a:gd name="T35" fmla="*/ 2 h 24"/>
              <a:gd name="T36" fmla="*/ 1 w 25"/>
              <a:gd name="T37" fmla="*/ 2 h 24"/>
              <a:gd name="T38" fmla="*/ 0 w 25"/>
              <a:gd name="T39" fmla="*/ 2 h 24"/>
              <a:gd name="T40" fmla="*/ 0 w 25"/>
              <a:gd name="T41" fmla="*/ 2 h 24"/>
              <a:gd name="T42" fmla="*/ 0 w 25"/>
              <a:gd name="T43" fmla="*/ 2 h 24"/>
              <a:gd name="T44" fmla="*/ 0 w 25"/>
              <a:gd name="T45" fmla="*/ 4 h 24"/>
              <a:gd name="T46" fmla="*/ 0 w 25"/>
              <a:gd name="T47" fmla="*/ 4 h 24"/>
              <a:gd name="T48" fmla="*/ 0 w 25"/>
              <a:gd name="T49" fmla="*/ 4 h 24"/>
              <a:gd name="T50" fmla="*/ 1 w 25"/>
              <a:gd name="T51" fmla="*/ 4 h 24"/>
              <a:gd name="T52" fmla="*/ 2 w 25"/>
              <a:gd name="T53" fmla="*/ 4 h 24"/>
              <a:gd name="T54" fmla="*/ 2 w 25"/>
              <a:gd name="T55" fmla="*/ 3 h 24"/>
              <a:gd name="T56" fmla="*/ 3 w 25"/>
              <a:gd name="T57" fmla="*/ 3 h 24"/>
              <a:gd name="T58" fmla="*/ 3 w 25"/>
              <a:gd name="T59" fmla="*/ 3 h 24"/>
              <a:gd name="T60" fmla="*/ 3 w 25"/>
              <a:gd name="T61" fmla="*/ 3 h 24"/>
              <a:gd name="T62" fmla="*/ 4 w 25"/>
              <a:gd name="T63" fmla="*/ 3 h 24"/>
              <a:gd name="T64" fmla="*/ 4 w 25"/>
              <a:gd name="T65" fmla="*/ 3 h 24"/>
              <a:gd name="T66" fmla="*/ 4 w 25"/>
              <a:gd name="T67" fmla="*/ 3 h 24"/>
              <a:gd name="T68" fmla="*/ 4 w 25"/>
              <a:gd name="T69" fmla="*/ 2 h 24"/>
              <a:gd name="T70" fmla="*/ 4 w 25"/>
              <a:gd name="T71" fmla="*/ 2 h 24"/>
              <a:gd name="T72" fmla="*/ 4 w 25"/>
              <a:gd name="T73" fmla="*/ 2 h 24"/>
              <a:gd name="T74" fmla="*/ 4 w 25"/>
              <a:gd name="T75" fmla="*/ 2 h 24"/>
              <a:gd name="T76" fmla="*/ 5 w 25"/>
              <a:gd name="T77" fmla="*/ 2 h 24"/>
              <a:gd name="T78" fmla="*/ 5 w 25"/>
              <a:gd name="T79" fmla="*/ 1 h 24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5"/>
              <a:gd name="T121" fmla="*/ 0 h 24"/>
              <a:gd name="T122" fmla="*/ 25 w 25"/>
              <a:gd name="T123" fmla="*/ 24 h 24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5" h="24">
                <a:moveTo>
                  <a:pt x="25" y="6"/>
                </a:moveTo>
                <a:lnTo>
                  <a:pt x="25" y="2"/>
                </a:lnTo>
                <a:lnTo>
                  <a:pt x="23" y="2"/>
                </a:lnTo>
                <a:lnTo>
                  <a:pt x="23" y="0"/>
                </a:lnTo>
                <a:lnTo>
                  <a:pt x="15" y="0"/>
                </a:lnTo>
                <a:lnTo>
                  <a:pt x="15" y="2"/>
                </a:lnTo>
                <a:lnTo>
                  <a:pt x="13" y="2"/>
                </a:lnTo>
                <a:lnTo>
                  <a:pt x="13" y="6"/>
                </a:lnTo>
                <a:lnTo>
                  <a:pt x="15" y="4"/>
                </a:lnTo>
                <a:lnTo>
                  <a:pt x="13" y="4"/>
                </a:lnTo>
                <a:lnTo>
                  <a:pt x="13" y="6"/>
                </a:lnTo>
                <a:lnTo>
                  <a:pt x="11" y="6"/>
                </a:lnTo>
                <a:lnTo>
                  <a:pt x="9" y="14"/>
                </a:lnTo>
                <a:lnTo>
                  <a:pt x="15" y="8"/>
                </a:lnTo>
                <a:lnTo>
                  <a:pt x="8" y="10"/>
                </a:lnTo>
                <a:lnTo>
                  <a:pt x="8" y="12"/>
                </a:lnTo>
                <a:lnTo>
                  <a:pt x="4" y="12"/>
                </a:lnTo>
                <a:lnTo>
                  <a:pt x="4" y="14"/>
                </a:lnTo>
                <a:lnTo>
                  <a:pt x="6" y="12"/>
                </a:lnTo>
                <a:lnTo>
                  <a:pt x="2" y="12"/>
                </a:lnTo>
                <a:lnTo>
                  <a:pt x="2" y="14"/>
                </a:lnTo>
                <a:lnTo>
                  <a:pt x="0" y="14"/>
                </a:lnTo>
                <a:lnTo>
                  <a:pt x="0" y="22"/>
                </a:lnTo>
                <a:lnTo>
                  <a:pt x="2" y="22"/>
                </a:lnTo>
                <a:lnTo>
                  <a:pt x="2" y="24"/>
                </a:lnTo>
                <a:lnTo>
                  <a:pt x="6" y="24"/>
                </a:lnTo>
                <a:lnTo>
                  <a:pt x="11" y="22"/>
                </a:lnTo>
                <a:lnTo>
                  <a:pt x="11" y="20"/>
                </a:lnTo>
                <a:lnTo>
                  <a:pt x="15" y="20"/>
                </a:lnTo>
                <a:lnTo>
                  <a:pt x="15" y="18"/>
                </a:lnTo>
                <a:lnTo>
                  <a:pt x="15" y="20"/>
                </a:lnTo>
                <a:lnTo>
                  <a:pt x="19" y="20"/>
                </a:lnTo>
                <a:lnTo>
                  <a:pt x="19" y="18"/>
                </a:lnTo>
                <a:lnTo>
                  <a:pt x="21" y="18"/>
                </a:lnTo>
                <a:lnTo>
                  <a:pt x="21" y="14"/>
                </a:lnTo>
                <a:lnTo>
                  <a:pt x="19" y="14"/>
                </a:lnTo>
                <a:lnTo>
                  <a:pt x="21" y="14"/>
                </a:lnTo>
                <a:lnTo>
                  <a:pt x="21" y="12"/>
                </a:lnTo>
                <a:lnTo>
                  <a:pt x="23" y="12"/>
                </a:lnTo>
                <a:lnTo>
                  <a:pt x="25" y="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8" name="Freeform 217"/>
          <xdr:cNvSpPr>
            <a:spLocks/>
          </xdr:cNvSpPr>
        </xdr:nvSpPr>
        <xdr:spPr bwMode="auto">
          <a:xfrm>
            <a:off x="244" y="2262"/>
            <a:ext cx="3" cy="3"/>
          </a:xfrm>
          <a:custGeom>
            <a:avLst/>
            <a:gdLst>
              <a:gd name="T0" fmla="*/ 1 w 13"/>
              <a:gd name="T1" fmla="*/ 0 h 12"/>
              <a:gd name="T2" fmla="*/ 0 w 13"/>
              <a:gd name="T3" fmla="*/ 0 h 12"/>
              <a:gd name="T4" fmla="*/ 0 w 13"/>
              <a:gd name="T5" fmla="*/ 1 h 12"/>
              <a:gd name="T6" fmla="*/ 0 w 13"/>
              <a:gd name="T7" fmla="*/ 1 h 12"/>
              <a:gd name="T8" fmla="*/ 0 w 13"/>
              <a:gd name="T9" fmla="*/ 3 h 12"/>
              <a:gd name="T10" fmla="*/ 0 w 13"/>
              <a:gd name="T11" fmla="*/ 3 h 12"/>
              <a:gd name="T12" fmla="*/ 0 w 13"/>
              <a:gd name="T13" fmla="*/ 3 h 12"/>
              <a:gd name="T14" fmla="*/ 3 w 13"/>
              <a:gd name="T15" fmla="*/ 3 h 12"/>
              <a:gd name="T16" fmla="*/ 3 w 13"/>
              <a:gd name="T17" fmla="*/ 3 h 12"/>
              <a:gd name="T18" fmla="*/ 3 w 13"/>
              <a:gd name="T19" fmla="*/ 3 h 12"/>
              <a:gd name="T20" fmla="*/ 3 w 13"/>
              <a:gd name="T21" fmla="*/ 1 h 12"/>
              <a:gd name="T22" fmla="*/ 3 w 13"/>
              <a:gd name="T23" fmla="*/ 1 h 12"/>
              <a:gd name="T24" fmla="*/ 3 w 13"/>
              <a:gd name="T25" fmla="*/ 0 h 12"/>
              <a:gd name="T26" fmla="*/ 2 w 13"/>
              <a:gd name="T27" fmla="*/ 0 h 12"/>
              <a:gd name="T28" fmla="*/ 1 w 13"/>
              <a:gd name="T29" fmla="*/ 0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3"/>
              <a:gd name="T46" fmla="*/ 0 h 12"/>
              <a:gd name="T47" fmla="*/ 13 w 13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3" h="12">
                <a:moveTo>
                  <a:pt x="5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11" y="12"/>
                </a:lnTo>
                <a:lnTo>
                  <a:pt x="11" y="10"/>
                </a:lnTo>
                <a:lnTo>
                  <a:pt x="13" y="10"/>
                </a:lnTo>
                <a:lnTo>
                  <a:pt x="13" y="2"/>
                </a:lnTo>
                <a:lnTo>
                  <a:pt x="11" y="2"/>
                </a:lnTo>
                <a:lnTo>
                  <a:pt x="11" y="0"/>
                </a:lnTo>
                <a:lnTo>
                  <a:pt x="7" y="0"/>
                </a:lnTo>
                <a:lnTo>
                  <a:pt x="5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19" name="Freeform 218"/>
          <xdr:cNvSpPr>
            <a:spLocks/>
          </xdr:cNvSpPr>
        </xdr:nvSpPr>
        <xdr:spPr bwMode="auto">
          <a:xfrm>
            <a:off x="244" y="2247"/>
            <a:ext cx="3" cy="8"/>
          </a:xfrm>
          <a:custGeom>
            <a:avLst/>
            <a:gdLst>
              <a:gd name="T0" fmla="*/ 3 w 11"/>
              <a:gd name="T1" fmla="*/ 1 h 35"/>
              <a:gd name="T2" fmla="*/ 3 w 11"/>
              <a:gd name="T3" fmla="*/ 0 h 35"/>
              <a:gd name="T4" fmla="*/ 2 w 11"/>
              <a:gd name="T5" fmla="*/ 0 h 35"/>
              <a:gd name="T6" fmla="*/ 2 w 11"/>
              <a:gd name="T7" fmla="*/ 0 h 35"/>
              <a:gd name="T8" fmla="*/ 1 w 11"/>
              <a:gd name="T9" fmla="*/ 0 h 35"/>
              <a:gd name="T10" fmla="*/ 1 w 11"/>
              <a:gd name="T11" fmla="*/ 0 h 35"/>
              <a:gd name="T12" fmla="*/ 0 w 11"/>
              <a:gd name="T13" fmla="*/ 0 h 35"/>
              <a:gd name="T14" fmla="*/ 0 w 11"/>
              <a:gd name="T15" fmla="*/ 8 h 35"/>
              <a:gd name="T16" fmla="*/ 1 w 11"/>
              <a:gd name="T17" fmla="*/ 8 h 35"/>
              <a:gd name="T18" fmla="*/ 1 w 11"/>
              <a:gd name="T19" fmla="*/ 8 h 35"/>
              <a:gd name="T20" fmla="*/ 2 w 11"/>
              <a:gd name="T21" fmla="*/ 8 h 35"/>
              <a:gd name="T22" fmla="*/ 2 w 11"/>
              <a:gd name="T23" fmla="*/ 8 h 35"/>
              <a:gd name="T24" fmla="*/ 3 w 11"/>
              <a:gd name="T25" fmla="*/ 8 h 35"/>
              <a:gd name="T26" fmla="*/ 3 w 11"/>
              <a:gd name="T27" fmla="*/ 7 h 35"/>
              <a:gd name="T28" fmla="*/ 3 w 11"/>
              <a:gd name="T29" fmla="*/ 1 h 35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35"/>
              <a:gd name="T47" fmla="*/ 11 w 11"/>
              <a:gd name="T48" fmla="*/ 35 h 35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35">
                <a:moveTo>
                  <a:pt x="11" y="6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3"/>
                </a:lnTo>
                <a:lnTo>
                  <a:pt x="2" y="33"/>
                </a:lnTo>
                <a:lnTo>
                  <a:pt x="2" y="35"/>
                </a:lnTo>
                <a:lnTo>
                  <a:pt x="9" y="35"/>
                </a:lnTo>
                <a:lnTo>
                  <a:pt x="9" y="33"/>
                </a:lnTo>
                <a:lnTo>
                  <a:pt x="11" y="33"/>
                </a:lnTo>
                <a:lnTo>
                  <a:pt x="11" y="29"/>
                </a:lnTo>
                <a:lnTo>
                  <a:pt x="11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20" name="Freeform 219"/>
          <xdr:cNvSpPr>
            <a:spLocks/>
          </xdr:cNvSpPr>
        </xdr:nvSpPr>
        <xdr:spPr bwMode="auto">
          <a:xfrm>
            <a:off x="332" y="2188"/>
            <a:ext cx="5" cy="5"/>
          </a:xfrm>
          <a:custGeom>
            <a:avLst/>
            <a:gdLst>
              <a:gd name="T0" fmla="*/ 1 w 26"/>
              <a:gd name="T1" fmla="*/ 1 h 25"/>
              <a:gd name="T2" fmla="*/ 0 w 26"/>
              <a:gd name="T3" fmla="*/ 1 h 25"/>
              <a:gd name="T4" fmla="*/ 0 w 26"/>
              <a:gd name="T5" fmla="*/ 1 h 25"/>
              <a:gd name="T6" fmla="*/ 0 w 26"/>
              <a:gd name="T7" fmla="*/ 2 h 25"/>
              <a:gd name="T8" fmla="*/ 0 w 26"/>
              <a:gd name="T9" fmla="*/ 3 h 25"/>
              <a:gd name="T10" fmla="*/ 0 w 26"/>
              <a:gd name="T11" fmla="*/ 3 h 25"/>
              <a:gd name="T12" fmla="*/ 2 w 26"/>
              <a:gd name="T13" fmla="*/ 3 h 25"/>
              <a:gd name="T14" fmla="*/ 3 w 26"/>
              <a:gd name="T15" fmla="*/ 2 h 25"/>
              <a:gd name="T16" fmla="*/ 2 w 26"/>
              <a:gd name="T17" fmla="*/ 2 h 25"/>
              <a:gd name="T18" fmla="*/ 3 w 26"/>
              <a:gd name="T19" fmla="*/ 4 h 25"/>
              <a:gd name="T20" fmla="*/ 3 w 26"/>
              <a:gd name="T21" fmla="*/ 2 h 25"/>
              <a:gd name="T22" fmla="*/ 2 w 26"/>
              <a:gd name="T23" fmla="*/ 3 h 25"/>
              <a:gd name="T24" fmla="*/ 2 w 26"/>
              <a:gd name="T25" fmla="*/ 3 h 25"/>
              <a:gd name="T26" fmla="*/ 1 w 26"/>
              <a:gd name="T27" fmla="*/ 3 h 25"/>
              <a:gd name="T28" fmla="*/ 1 w 26"/>
              <a:gd name="T29" fmla="*/ 4 h 25"/>
              <a:gd name="T30" fmla="*/ 2 w 26"/>
              <a:gd name="T31" fmla="*/ 5 h 25"/>
              <a:gd name="T32" fmla="*/ 2 w 26"/>
              <a:gd name="T33" fmla="*/ 5 h 25"/>
              <a:gd name="T34" fmla="*/ 3 w 26"/>
              <a:gd name="T35" fmla="*/ 5 h 25"/>
              <a:gd name="T36" fmla="*/ 4 w 26"/>
              <a:gd name="T37" fmla="*/ 4 h 25"/>
              <a:gd name="T38" fmla="*/ 5 w 26"/>
              <a:gd name="T39" fmla="*/ 4 h 25"/>
              <a:gd name="T40" fmla="*/ 5 w 26"/>
              <a:gd name="T41" fmla="*/ 4 h 25"/>
              <a:gd name="T42" fmla="*/ 5 w 26"/>
              <a:gd name="T43" fmla="*/ 3 h 25"/>
              <a:gd name="T44" fmla="*/ 5 w 26"/>
              <a:gd name="T45" fmla="*/ 2 h 25"/>
              <a:gd name="T46" fmla="*/ 4 w 26"/>
              <a:gd name="T47" fmla="*/ 0 h 25"/>
              <a:gd name="T48" fmla="*/ 3 w 26"/>
              <a:gd name="T49" fmla="*/ 0 h 25"/>
              <a:gd name="T50" fmla="*/ 3 w 26"/>
              <a:gd name="T51" fmla="*/ 0 h 25"/>
              <a:gd name="T52" fmla="*/ 2 w 26"/>
              <a:gd name="T53" fmla="*/ 0 h 25"/>
              <a:gd name="T54" fmla="*/ 1 w 26"/>
              <a:gd name="T55" fmla="*/ 1 h 25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26"/>
              <a:gd name="T85" fmla="*/ 0 h 25"/>
              <a:gd name="T86" fmla="*/ 26 w 26"/>
              <a:gd name="T87" fmla="*/ 25 h 25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26" h="25">
                <a:moveTo>
                  <a:pt x="4" y="4"/>
                </a:moveTo>
                <a:lnTo>
                  <a:pt x="2" y="6"/>
                </a:lnTo>
                <a:lnTo>
                  <a:pt x="0" y="6"/>
                </a:lnTo>
                <a:lnTo>
                  <a:pt x="0" y="11"/>
                </a:lnTo>
                <a:lnTo>
                  <a:pt x="2" y="13"/>
                </a:lnTo>
                <a:lnTo>
                  <a:pt x="2" y="15"/>
                </a:lnTo>
                <a:lnTo>
                  <a:pt x="8" y="15"/>
                </a:lnTo>
                <a:lnTo>
                  <a:pt x="16" y="11"/>
                </a:lnTo>
                <a:lnTo>
                  <a:pt x="8" y="9"/>
                </a:lnTo>
                <a:lnTo>
                  <a:pt x="14" y="19"/>
                </a:lnTo>
                <a:lnTo>
                  <a:pt x="18" y="9"/>
                </a:lnTo>
                <a:lnTo>
                  <a:pt x="10" y="13"/>
                </a:lnTo>
                <a:lnTo>
                  <a:pt x="8" y="15"/>
                </a:lnTo>
                <a:lnTo>
                  <a:pt x="6" y="15"/>
                </a:lnTo>
                <a:lnTo>
                  <a:pt x="6" y="21"/>
                </a:lnTo>
                <a:lnTo>
                  <a:pt x="8" y="23"/>
                </a:lnTo>
                <a:lnTo>
                  <a:pt x="8" y="25"/>
                </a:lnTo>
                <a:lnTo>
                  <a:pt x="14" y="25"/>
                </a:lnTo>
                <a:lnTo>
                  <a:pt x="22" y="21"/>
                </a:lnTo>
                <a:lnTo>
                  <a:pt x="24" y="21"/>
                </a:lnTo>
                <a:lnTo>
                  <a:pt x="24" y="19"/>
                </a:lnTo>
                <a:lnTo>
                  <a:pt x="26" y="17"/>
                </a:lnTo>
                <a:lnTo>
                  <a:pt x="26" y="11"/>
                </a:lnTo>
                <a:lnTo>
                  <a:pt x="20" y="2"/>
                </a:lnTo>
                <a:lnTo>
                  <a:pt x="18" y="2"/>
                </a:lnTo>
                <a:lnTo>
                  <a:pt x="18" y="0"/>
                </a:lnTo>
                <a:lnTo>
                  <a:pt x="12" y="0"/>
                </a:lnTo>
                <a:lnTo>
                  <a:pt x="4" y="4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1" name="Freeform 220"/>
          <xdr:cNvSpPr>
            <a:spLocks/>
          </xdr:cNvSpPr>
        </xdr:nvSpPr>
        <xdr:spPr bwMode="auto">
          <a:xfrm>
            <a:off x="328" y="2177"/>
            <a:ext cx="5" cy="5"/>
          </a:xfrm>
          <a:custGeom>
            <a:avLst/>
            <a:gdLst>
              <a:gd name="T0" fmla="*/ 0 w 26"/>
              <a:gd name="T1" fmla="*/ 4 h 23"/>
              <a:gd name="T2" fmla="*/ 0 w 26"/>
              <a:gd name="T3" fmla="*/ 5 h 23"/>
              <a:gd name="T4" fmla="*/ 0 w 26"/>
              <a:gd name="T5" fmla="*/ 5 h 23"/>
              <a:gd name="T6" fmla="*/ 0 w 26"/>
              <a:gd name="T7" fmla="*/ 5 h 23"/>
              <a:gd name="T8" fmla="*/ 2 w 26"/>
              <a:gd name="T9" fmla="*/ 5 h 23"/>
              <a:gd name="T10" fmla="*/ 2 w 26"/>
              <a:gd name="T11" fmla="*/ 5 h 23"/>
              <a:gd name="T12" fmla="*/ 2 w 26"/>
              <a:gd name="T13" fmla="*/ 5 h 23"/>
              <a:gd name="T14" fmla="*/ 2 w 26"/>
              <a:gd name="T15" fmla="*/ 4 h 23"/>
              <a:gd name="T16" fmla="*/ 2 w 26"/>
              <a:gd name="T17" fmla="*/ 2 h 23"/>
              <a:gd name="T18" fmla="*/ 2 w 26"/>
              <a:gd name="T19" fmla="*/ 3 h 23"/>
              <a:gd name="T20" fmla="*/ 2 w 26"/>
              <a:gd name="T21" fmla="*/ 3 h 23"/>
              <a:gd name="T22" fmla="*/ 2 w 26"/>
              <a:gd name="T23" fmla="*/ 3 h 23"/>
              <a:gd name="T24" fmla="*/ 3 w 26"/>
              <a:gd name="T25" fmla="*/ 2 h 23"/>
              <a:gd name="T26" fmla="*/ 3 w 26"/>
              <a:gd name="T27" fmla="*/ 3 h 23"/>
              <a:gd name="T28" fmla="*/ 4 w 26"/>
              <a:gd name="T29" fmla="*/ 3 h 23"/>
              <a:gd name="T30" fmla="*/ 3 w 26"/>
              <a:gd name="T31" fmla="*/ 3 h 23"/>
              <a:gd name="T32" fmla="*/ 5 w 26"/>
              <a:gd name="T33" fmla="*/ 3 h 23"/>
              <a:gd name="T34" fmla="*/ 5 w 26"/>
              <a:gd name="T35" fmla="*/ 3 h 23"/>
              <a:gd name="T36" fmla="*/ 5 w 26"/>
              <a:gd name="T37" fmla="*/ 2 h 23"/>
              <a:gd name="T38" fmla="*/ 5 w 26"/>
              <a:gd name="T39" fmla="*/ 1 h 23"/>
              <a:gd name="T40" fmla="*/ 5 w 26"/>
              <a:gd name="T41" fmla="*/ 1 h 23"/>
              <a:gd name="T42" fmla="*/ 4 w 26"/>
              <a:gd name="T43" fmla="*/ 0 h 23"/>
              <a:gd name="T44" fmla="*/ 4 w 26"/>
              <a:gd name="T45" fmla="*/ 0 h 23"/>
              <a:gd name="T46" fmla="*/ 4 w 26"/>
              <a:gd name="T47" fmla="*/ 1 h 23"/>
              <a:gd name="T48" fmla="*/ 4 w 26"/>
              <a:gd name="T49" fmla="*/ 0 h 23"/>
              <a:gd name="T50" fmla="*/ 2 w 26"/>
              <a:gd name="T51" fmla="*/ 0 h 23"/>
              <a:gd name="T52" fmla="*/ 1 w 26"/>
              <a:gd name="T53" fmla="*/ 0 h 23"/>
              <a:gd name="T54" fmla="*/ 2 w 26"/>
              <a:gd name="T55" fmla="*/ 0 h 23"/>
              <a:gd name="T56" fmla="*/ 0 w 26"/>
              <a:gd name="T57" fmla="*/ 0 h 23"/>
              <a:gd name="T58" fmla="*/ 0 w 26"/>
              <a:gd name="T59" fmla="*/ 4 h 23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26"/>
              <a:gd name="T91" fmla="*/ 0 h 23"/>
              <a:gd name="T92" fmla="*/ 26 w 26"/>
              <a:gd name="T93" fmla="*/ 23 h 23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26" h="23">
                <a:moveTo>
                  <a:pt x="0" y="17"/>
                </a:moveTo>
                <a:lnTo>
                  <a:pt x="0" y="21"/>
                </a:lnTo>
                <a:lnTo>
                  <a:pt x="2" y="21"/>
                </a:lnTo>
                <a:lnTo>
                  <a:pt x="2" y="23"/>
                </a:lnTo>
                <a:lnTo>
                  <a:pt x="10" y="23"/>
                </a:lnTo>
                <a:lnTo>
                  <a:pt x="10" y="21"/>
                </a:lnTo>
                <a:lnTo>
                  <a:pt x="12" y="21"/>
                </a:lnTo>
                <a:lnTo>
                  <a:pt x="12" y="17"/>
                </a:lnTo>
                <a:lnTo>
                  <a:pt x="10" y="10"/>
                </a:lnTo>
                <a:lnTo>
                  <a:pt x="8" y="12"/>
                </a:lnTo>
                <a:lnTo>
                  <a:pt x="10" y="12"/>
                </a:lnTo>
                <a:lnTo>
                  <a:pt x="8" y="12"/>
                </a:lnTo>
                <a:lnTo>
                  <a:pt x="14" y="10"/>
                </a:lnTo>
                <a:lnTo>
                  <a:pt x="14" y="12"/>
                </a:lnTo>
                <a:lnTo>
                  <a:pt x="20" y="14"/>
                </a:lnTo>
                <a:lnTo>
                  <a:pt x="18" y="14"/>
                </a:lnTo>
                <a:lnTo>
                  <a:pt x="24" y="14"/>
                </a:lnTo>
                <a:lnTo>
                  <a:pt x="24" y="12"/>
                </a:lnTo>
                <a:lnTo>
                  <a:pt x="26" y="10"/>
                </a:lnTo>
                <a:lnTo>
                  <a:pt x="26" y="4"/>
                </a:lnTo>
                <a:lnTo>
                  <a:pt x="24" y="4"/>
                </a:lnTo>
                <a:lnTo>
                  <a:pt x="22" y="2"/>
                </a:lnTo>
                <a:lnTo>
                  <a:pt x="20" y="2"/>
                </a:lnTo>
                <a:lnTo>
                  <a:pt x="22" y="4"/>
                </a:lnTo>
                <a:lnTo>
                  <a:pt x="22" y="2"/>
                </a:lnTo>
                <a:lnTo>
                  <a:pt x="8" y="0"/>
                </a:lnTo>
                <a:lnTo>
                  <a:pt x="6" y="0"/>
                </a:lnTo>
                <a:lnTo>
                  <a:pt x="8" y="0"/>
                </a:lnTo>
                <a:lnTo>
                  <a:pt x="2" y="2"/>
                </a:lnTo>
                <a:lnTo>
                  <a:pt x="0" y="17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2" name="Freeform 221"/>
          <xdr:cNvSpPr>
            <a:spLocks/>
          </xdr:cNvSpPr>
        </xdr:nvSpPr>
        <xdr:spPr bwMode="auto">
          <a:xfrm>
            <a:off x="333" y="2175"/>
            <a:ext cx="5" cy="4"/>
          </a:xfrm>
          <a:custGeom>
            <a:avLst/>
            <a:gdLst>
              <a:gd name="T0" fmla="*/ 0 w 24"/>
              <a:gd name="T1" fmla="*/ 2 h 16"/>
              <a:gd name="T2" fmla="*/ 0 w 24"/>
              <a:gd name="T3" fmla="*/ 3 h 16"/>
              <a:gd name="T4" fmla="*/ 0 w 24"/>
              <a:gd name="T5" fmla="*/ 3 h 16"/>
              <a:gd name="T6" fmla="*/ 0 w 24"/>
              <a:gd name="T7" fmla="*/ 3 h 16"/>
              <a:gd name="T8" fmla="*/ 2 w 24"/>
              <a:gd name="T9" fmla="*/ 3 h 16"/>
              <a:gd name="T10" fmla="*/ 2 w 24"/>
              <a:gd name="T11" fmla="*/ 3 h 16"/>
              <a:gd name="T12" fmla="*/ 3 w 24"/>
              <a:gd name="T13" fmla="*/ 3 h 16"/>
              <a:gd name="T14" fmla="*/ 3 w 24"/>
              <a:gd name="T15" fmla="*/ 2 h 16"/>
              <a:gd name="T16" fmla="*/ 2 w 24"/>
              <a:gd name="T17" fmla="*/ 2 h 16"/>
              <a:gd name="T18" fmla="*/ 1 w 24"/>
              <a:gd name="T19" fmla="*/ 2 h 16"/>
              <a:gd name="T20" fmla="*/ 1 w 24"/>
              <a:gd name="T21" fmla="*/ 3 h 16"/>
              <a:gd name="T22" fmla="*/ 3 w 24"/>
              <a:gd name="T23" fmla="*/ 3 h 16"/>
              <a:gd name="T24" fmla="*/ 2 w 24"/>
              <a:gd name="T25" fmla="*/ 3 h 16"/>
              <a:gd name="T26" fmla="*/ 3 w 24"/>
              <a:gd name="T27" fmla="*/ 3 h 16"/>
              <a:gd name="T28" fmla="*/ 3 w 24"/>
              <a:gd name="T29" fmla="*/ 3 h 16"/>
              <a:gd name="T30" fmla="*/ 4 w 24"/>
              <a:gd name="T31" fmla="*/ 2 h 16"/>
              <a:gd name="T32" fmla="*/ 4 w 24"/>
              <a:gd name="T33" fmla="*/ 2 h 16"/>
              <a:gd name="T34" fmla="*/ 3 w 24"/>
              <a:gd name="T35" fmla="*/ 0 h 16"/>
              <a:gd name="T36" fmla="*/ 2 w 24"/>
              <a:gd name="T37" fmla="*/ 3 h 16"/>
              <a:gd name="T38" fmla="*/ 2 w 24"/>
              <a:gd name="T39" fmla="*/ 3 h 16"/>
              <a:gd name="T40" fmla="*/ 2 w 24"/>
              <a:gd name="T41" fmla="*/ 3 h 16"/>
              <a:gd name="T42" fmla="*/ 4 w 24"/>
              <a:gd name="T43" fmla="*/ 4 h 16"/>
              <a:gd name="T44" fmla="*/ 4 w 24"/>
              <a:gd name="T45" fmla="*/ 4 h 16"/>
              <a:gd name="T46" fmla="*/ 5 w 24"/>
              <a:gd name="T47" fmla="*/ 3 h 16"/>
              <a:gd name="T48" fmla="*/ 5 w 24"/>
              <a:gd name="T49" fmla="*/ 3 h 16"/>
              <a:gd name="T50" fmla="*/ 5 w 24"/>
              <a:gd name="T51" fmla="*/ 2 h 16"/>
              <a:gd name="T52" fmla="*/ 5 w 24"/>
              <a:gd name="T53" fmla="*/ 1 h 16"/>
              <a:gd name="T54" fmla="*/ 5 w 24"/>
              <a:gd name="T55" fmla="*/ 1 h 16"/>
              <a:gd name="T56" fmla="*/ 3 w 24"/>
              <a:gd name="T57" fmla="*/ 1 h 16"/>
              <a:gd name="T58" fmla="*/ 4 w 24"/>
              <a:gd name="T59" fmla="*/ 1 h 16"/>
              <a:gd name="T60" fmla="*/ 4 w 24"/>
              <a:gd name="T61" fmla="*/ 1 h 16"/>
              <a:gd name="T62" fmla="*/ 4 w 24"/>
              <a:gd name="T63" fmla="*/ 1 h 16"/>
              <a:gd name="T64" fmla="*/ 3 w 24"/>
              <a:gd name="T65" fmla="*/ 1 h 16"/>
              <a:gd name="T66" fmla="*/ 3 w 24"/>
              <a:gd name="T67" fmla="*/ 3 h 16"/>
              <a:gd name="T68" fmla="*/ 1 w 24"/>
              <a:gd name="T69" fmla="*/ 2 h 16"/>
              <a:gd name="T70" fmla="*/ 3 w 24"/>
              <a:gd name="T71" fmla="*/ 1 h 16"/>
              <a:gd name="T72" fmla="*/ 3 w 24"/>
              <a:gd name="T73" fmla="*/ 1 h 16"/>
              <a:gd name="T74" fmla="*/ 3 w 24"/>
              <a:gd name="T75" fmla="*/ 1 h 16"/>
              <a:gd name="T76" fmla="*/ 3 w 24"/>
              <a:gd name="T77" fmla="*/ 1 h 16"/>
              <a:gd name="T78" fmla="*/ 0 w 24"/>
              <a:gd name="T79" fmla="*/ 1 h 16"/>
              <a:gd name="T80" fmla="*/ 0 w 24"/>
              <a:gd name="T81" fmla="*/ 2 h 1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4"/>
              <a:gd name="T124" fmla="*/ 0 h 16"/>
              <a:gd name="T125" fmla="*/ 24 w 24"/>
              <a:gd name="T126" fmla="*/ 16 h 16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4" h="16">
                <a:moveTo>
                  <a:pt x="0" y="8"/>
                </a:moveTo>
                <a:lnTo>
                  <a:pt x="0" y="12"/>
                </a:lnTo>
                <a:lnTo>
                  <a:pt x="2" y="12"/>
                </a:lnTo>
                <a:lnTo>
                  <a:pt x="2" y="14"/>
                </a:lnTo>
                <a:lnTo>
                  <a:pt x="10" y="14"/>
                </a:lnTo>
                <a:lnTo>
                  <a:pt x="10" y="12"/>
                </a:lnTo>
                <a:lnTo>
                  <a:pt x="12" y="12"/>
                </a:lnTo>
                <a:lnTo>
                  <a:pt x="12" y="8"/>
                </a:lnTo>
                <a:lnTo>
                  <a:pt x="10" y="10"/>
                </a:lnTo>
                <a:lnTo>
                  <a:pt x="6" y="10"/>
                </a:lnTo>
                <a:lnTo>
                  <a:pt x="6" y="12"/>
                </a:lnTo>
                <a:lnTo>
                  <a:pt x="12" y="14"/>
                </a:lnTo>
                <a:lnTo>
                  <a:pt x="10" y="14"/>
                </a:lnTo>
                <a:lnTo>
                  <a:pt x="16" y="14"/>
                </a:lnTo>
                <a:lnTo>
                  <a:pt x="16" y="12"/>
                </a:lnTo>
                <a:lnTo>
                  <a:pt x="18" y="10"/>
                </a:lnTo>
                <a:lnTo>
                  <a:pt x="18" y="8"/>
                </a:lnTo>
                <a:lnTo>
                  <a:pt x="12" y="0"/>
                </a:lnTo>
                <a:lnTo>
                  <a:pt x="8" y="12"/>
                </a:lnTo>
                <a:lnTo>
                  <a:pt x="10" y="12"/>
                </a:lnTo>
                <a:lnTo>
                  <a:pt x="10" y="14"/>
                </a:lnTo>
                <a:lnTo>
                  <a:pt x="18" y="16"/>
                </a:lnTo>
                <a:lnTo>
                  <a:pt x="20" y="16"/>
                </a:lnTo>
                <a:lnTo>
                  <a:pt x="22" y="14"/>
                </a:lnTo>
                <a:lnTo>
                  <a:pt x="24" y="14"/>
                </a:lnTo>
                <a:lnTo>
                  <a:pt x="24" y="8"/>
                </a:lnTo>
                <a:lnTo>
                  <a:pt x="22" y="6"/>
                </a:lnTo>
                <a:lnTo>
                  <a:pt x="22" y="4"/>
                </a:lnTo>
                <a:lnTo>
                  <a:pt x="16" y="4"/>
                </a:lnTo>
                <a:lnTo>
                  <a:pt x="18" y="4"/>
                </a:lnTo>
                <a:lnTo>
                  <a:pt x="18" y="6"/>
                </a:lnTo>
                <a:lnTo>
                  <a:pt x="18" y="4"/>
                </a:lnTo>
                <a:lnTo>
                  <a:pt x="16" y="4"/>
                </a:lnTo>
                <a:lnTo>
                  <a:pt x="12" y="12"/>
                </a:lnTo>
                <a:lnTo>
                  <a:pt x="6" y="8"/>
                </a:lnTo>
                <a:lnTo>
                  <a:pt x="14" y="2"/>
                </a:lnTo>
                <a:lnTo>
                  <a:pt x="12" y="2"/>
                </a:lnTo>
                <a:lnTo>
                  <a:pt x="14" y="4"/>
                </a:lnTo>
                <a:lnTo>
                  <a:pt x="14" y="2"/>
                </a:lnTo>
                <a:lnTo>
                  <a:pt x="2" y="2"/>
                </a:lnTo>
                <a:lnTo>
                  <a:pt x="0" y="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3" name="Freeform 222"/>
          <xdr:cNvSpPr>
            <a:spLocks/>
          </xdr:cNvSpPr>
        </xdr:nvSpPr>
        <xdr:spPr bwMode="auto">
          <a:xfrm>
            <a:off x="337" y="2181"/>
            <a:ext cx="2" cy="4"/>
          </a:xfrm>
          <a:custGeom>
            <a:avLst/>
            <a:gdLst>
              <a:gd name="T0" fmla="*/ 2 w 15"/>
              <a:gd name="T1" fmla="*/ 1 h 21"/>
              <a:gd name="T2" fmla="*/ 2 w 15"/>
              <a:gd name="T3" fmla="*/ 0 h 21"/>
              <a:gd name="T4" fmla="*/ 2 w 15"/>
              <a:gd name="T5" fmla="*/ 0 h 21"/>
              <a:gd name="T6" fmla="*/ 2 w 15"/>
              <a:gd name="T7" fmla="*/ 0 h 21"/>
              <a:gd name="T8" fmla="*/ 1 w 15"/>
              <a:gd name="T9" fmla="*/ 0 h 21"/>
              <a:gd name="T10" fmla="*/ 1 w 15"/>
              <a:gd name="T11" fmla="*/ 0 h 21"/>
              <a:gd name="T12" fmla="*/ 1 w 15"/>
              <a:gd name="T13" fmla="*/ 1 h 21"/>
              <a:gd name="T14" fmla="*/ 1 w 15"/>
              <a:gd name="T15" fmla="*/ 0 h 21"/>
              <a:gd name="T16" fmla="*/ 1 w 15"/>
              <a:gd name="T17" fmla="*/ 0 h 21"/>
              <a:gd name="T18" fmla="*/ 1 w 15"/>
              <a:gd name="T19" fmla="*/ 3 h 21"/>
              <a:gd name="T20" fmla="*/ 1 w 15"/>
              <a:gd name="T21" fmla="*/ 3 h 21"/>
              <a:gd name="T22" fmla="*/ 1 w 15"/>
              <a:gd name="T23" fmla="*/ 2 h 21"/>
              <a:gd name="T24" fmla="*/ 1 w 15"/>
              <a:gd name="T25" fmla="*/ 3 h 21"/>
              <a:gd name="T26" fmla="*/ 1 w 15"/>
              <a:gd name="T27" fmla="*/ 2 h 21"/>
              <a:gd name="T28" fmla="*/ 1 w 15"/>
              <a:gd name="T29" fmla="*/ 1 h 21"/>
              <a:gd name="T30" fmla="*/ 0 w 15"/>
              <a:gd name="T31" fmla="*/ 2 h 21"/>
              <a:gd name="T32" fmla="*/ 0 w 15"/>
              <a:gd name="T33" fmla="*/ 3 h 21"/>
              <a:gd name="T34" fmla="*/ 0 w 15"/>
              <a:gd name="T35" fmla="*/ 4 h 21"/>
              <a:gd name="T36" fmla="*/ 0 w 15"/>
              <a:gd name="T37" fmla="*/ 4 h 21"/>
              <a:gd name="T38" fmla="*/ 0 w 15"/>
              <a:gd name="T39" fmla="*/ 4 h 21"/>
              <a:gd name="T40" fmla="*/ 1 w 15"/>
              <a:gd name="T41" fmla="*/ 4 h 21"/>
              <a:gd name="T42" fmla="*/ 1 w 15"/>
              <a:gd name="T43" fmla="*/ 4 h 21"/>
              <a:gd name="T44" fmla="*/ 2 w 15"/>
              <a:gd name="T45" fmla="*/ 4 h 21"/>
              <a:gd name="T46" fmla="*/ 2 w 15"/>
              <a:gd name="T47" fmla="*/ 3 h 21"/>
              <a:gd name="T48" fmla="*/ 1 w 15"/>
              <a:gd name="T49" fmla="*/ 3 h 21"/>
              <a:gd name="T50" fmla="*/ 1 w 15"/>
              <a:gd name="T51" fmla="*/ 4 h 21"/>
              <a:gd name="T52" fmla="*/ 2 w 15"/>
              <a:gd name="T53" fmla="*/ 2 h 21"/>
              <a:gd name="T54" fmla="*/ 2 w 15"/>
              <a:gd name="T55" fmla="*/ 2 h 21"/>
              <a:gd name="T56" fmla="*/ 2 w 15"/>
              <a:gd name="T57" fmla="*/ 2 h 21"/>
              <a:gd name="T58" fmla="*/ 2 w 15"/>
              <a:gd name="T59" fmla="*/ 1 h 21"/>
              <a:gd name="T60" fmla="*/ 2 w 15"/>
              <a:gd name="T61" fmla="*/ 1 h 21"/>
              <a:gd name="T62" fmla="*/ 2 w 15"/>
              <a:gd name="T63" fmla="*/ 2 h 21"/>
              <a:gd name="T64" fmla="*/ 1 w 15"/>
              <a:gd name="T65" fmla="*/ 2 h 21"/>
              <a:gd name="T66" fmla="*/ 2 w 15"/>
              <a:gd name="T67" fmla="*/ 1 h 21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15"/>
              <a:gd name="T103" fmla="*/ 0 h 21"/>
              <a:gd name="T104" fmla="*/ 15 w 15"/>
              <a:gd name="T105" fmla="*/ 21 h 21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15" h="21">
                <a:moveTo>
                  <a:pt x="15" y="7"/>
                </a:moveTo>
                <a:lnTo>
                  <a:pt x="15" y="2"/>
                </a:lnTo>
                <a:lnTo>
                  <a:pt x="14" y="2"/>
                </a:lnTo>
                <a:lnTo>
                  <a:pt x="12" y="0"/>
                </a:lnTo>
                <a:lnTo>
                  <a:pt x="6" y="0"/>
                </a:lnTo>
                <a:lnTo>
                  <a:pt x="6" y="2"/>
                </a:lnTo>
                <a:lnTo>
                  <a:pt x="4" y="3"/>
                </a:lnTo>
                <a:lnTo>
                  <a:pt x="10" y="0"/>
                </a:lnTo>
                <a:lnTo>
                  <a:pt x="4" y="2"/>
                </a:lnTo>
                <a:lnTo>
                  <a:pt x="4" y="15"/>
                </a:lnTo>
                <a:lnTo>
                  <a:pt x="6" y="15"/>
                </a:lnTo>
                <a:lnTo>
                  <a:pt x="4" y="13"/>
                </a:lnTo>
                <a:lnTo>
                  <a:pt x="4" y="15"/>
                </a:lnTo>
                <a:lnTo>
                  <a:pt x="4" y="13"/>
                </a:lnTo>
                <a:lnTo>
                  <a:pt x="10" y="7"/>
                </a:lnTo>
                <a:lnTo>
                  <a:pt x="2" y="9"/>
                </a:lnTo>
                <a:lnTo>
                  <a:pt x="0" y="15"/>
                </a:lnTo>
                <a:lnTo>
                  <a:pt x="0" y="19"/>
                </a:lnTo>
                <a:lnTo>
                  <a:pt x="2" y="19"/>
                </a:lnTo>
                <a:lnTo>
                  <a:pt x="2" y="21"/>
                </a:lnTo>
                <a:lnTo>
                  <a:pt x="10" y="21"/>
                </a:lnTo>
                <a:lnTo>
                  <a:pt x="10" y="19"/>
                </a:lnTo>
                <a:lnTo>
                  <a:pt x="12" y="19"/>
                </a:lnTo>
                <a:lnTo>
                  <a:pt x="12" y="15"/>
                </a:lnTo>
                <a:lnTo>
                  <a:pt x="10" y="17"/>
                </a:lnTo>
                <a:lnTo>
                  <a:pt x="10" y="19"/>
                </a:lnTo>
                <a:lnTo>
                  <a:pt x="15" y="13"/>
                </a:lnTo>
                <a:lnTo>
                  <a:pt x="15" y="11"/>
                </a:lnTo>
                <a:lnTo>
                  <a:pt x="15" y="13"/>
                </a:lnTo>
                <a:lnTo>
                  <a:pt x="14" y="7"/>
                </a:lnTo>
                <a:lnTo>
                  <a:pt x="12" y="7"/>
                </a:lnTo>
                <a:lnTo>
                  <a:pt x="12" y="9"/>
                </a:lnTo>
                <a:lnTo>
                  <a:pt x="10" y="11"/>
                </a:lnTo>
                <a:lnTo>
                  <a:pt x="15" y="7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4" name="Freeform 223"/>
          <xdr:cNvSpPr>
            <a:spLocks/>
          </xdr:cNvSpPr>
        </xdr:nvSpPr>
        <xdr:spPr bwMode="auto">
          <a:xfrm>
            <a:off x="332" y="2185"/>
            <a:ext cx="5" cy="4"/>
          </a:xfrm>
          <a:custGeom>
            <a:avLst/>
            <a:gdLst>
              <a:gd name="T0" fmla="*/ 5 w 28"/>
              <a:gd name="T1" fmla="*/ 2 h 20"/>
              <a:gd name="T2" fmla="*/ 5 w 28"/>
              <a:gd name="T3" fmla="*/ 2 h 20"/>
              <a:gd name="T4" fmla="*/ 5 w 28"/>
              <a:gd name="T5" fmla="*/ 0 h 20"/>
              <a:gd name="T6" fmla="*/ 5 w 28"/>
              <a:gd name="T7" fmla="*/ 0 h 20"/>
              <a:gd name="T8" fmla="*/ 5 w 28"/>
              <a:gd name="T9" fmla="*/ 0 h 20"/>
              <a:gd name="T10" fmla="*/ 3 w 28"/>
              <a:gd name="T11" fmla="*/ 0 h 20"/>
              <a:gd name="T12" fmla="*/ 3 w 28"/>
              <a:gd name="T13" fmla="*/ 0 h 20"/>
              <a:gd name="T14" fmla="*/ 4 w 28"/>
              <a:gd name="T15" fmla="*/ 0 h 20"/>
              <a:gd name="T16" fmla="*/ 3 w 28"/>
              <a:gd name="T17" fmla="*/ 0 h 20"/>
              <a:gd name="T18" fmla="*/ 3 w 28"/>
              <a:gd name="T19" fmla="*/ 1 h 20"/>
              <a:gd name="T20" fmla="*/ 2 w 28"/>
              <a:gd name="T21" fmla="*/ 1 h 20"/>
              <a:gd name="T22" fmla="*/ 2 w 28"/>
              <a:gd name="T23" fmla="*/ 1 h 20"/>
              <a:gd name="T24" fmla="*/ 1 w 28"/>
              <a:gd name="T25" fmla="*/ 1 h 20"/>
              <a:gd name="T26" fmla="*/ 1 w 28"/>
              <a:gd name="T27" fmla="*/ 3 h 20"/>
              <a:gd name="T28" fmla="*/ 2 w 28"/>
              <a:gd name="T29" fmla="*/ 2 h 20"/>
              <a:gd name="T30" fmla="*/ 2 w 28"/>
              <a:gd name="T31" fmla="*/ 1 h 20"/>
              <a:gd name="T32" fmla="*/ 2 w 28"/>
              <a:gd name="T33" fmla="*/ 2 h 20"/>
              <a:gd name="T34" fmla="*/ 2 w 28"/>
              <a:gd name="T35" fmla="*/ 2 h 20"/>
              <a:gd name="T36" fmla="*/ 1 w 28"/>
              <a:gd name="T37" fmla="*/ 3 h 20"/>
              <a:gd name="T38" fmla="*/ 2 w 28"/>
              <a:gd name="T39" fmla="*/ 3 h 20"/>
              <a:gd name="T40" fmla="*/ 2 w 28"/>
              <a:gd name="T41" fmla="*/ 3 h 20"/>
              <a:gd name="T42" fmla="*/ 2 w 28"/>
              <a:gd name="T43" fmla="*/ 3 h 20"/>
              <a:gd name="T44" fmla="*/ 2 w 28"/>
              <a:gd name="T45" fmla="*/ 1 h 20"/>
              <a:gd name="T46" fmla="*/ 2 w 28"/>
              <a:gd name="T47" fmla="*/ 1 h 20"/>
              <a:gd name="T48" fmla="*/ 2 w 28"/>
              <a:gd name="T49" fmla="*/ 1 h 20"/>
              <a:gd name="T50" fmla="*/ 1 w 28"/>
              <a:gd name="T51" fmla="*/ 1 h 20"/>
              <a:gd name="T52" fmla="*/ 0 w 28"/>
              <a:gd name="T53" fmla="*/ 2 h 20"/>
              <a:gd name="T54" fmla="*/ 0 w 28"/>
              <a:gd name="T55" fmla="*/ 3 h 20"/>
              <a:gd name="T56" fmla="*/ 1 w 28"/>
              <a:gd name="T57" fmla="*/ 4 h 20"/>
              <a:gd name="T58" fmla="*/ 1 w 28"/>
              <a:gd name="T59" fmla="*/ 4 h 20"/>
              <a:gd name="T60" fmla="*/ 3 w 28"/>
              <a:gd name="T61" fmla="*/ 4 h 20"/>
              <a:gd name="T62" fmla="*/ 3 w 28"/>
              <a:gd name="T63" fmla="*/ 4 h 20"/>
              <a:gd name="T64" fmla="*/ 3 w 28"/>
              <a:gd name="T65" fmla="*/ 4 h 20"/>
              <a:gd name="T66" fmla="*/ 3 w 28"/>
              <a:gd name="T67" fmla="*/ 3 h 20"/>
              <a:gd name="T68" fmla="*/ 3 w 28"/>
              <a:gd name="T69" fmla="*/ 3 h 20"/>
              <a:gd name="T70" fmla="*/ 4 w 28"/>
              <a:gd name="T71" fmla="*/ 3 h 20"/>
              <a:gd name="T72" fmla="*/ 4 w 28"/>
              <a:gd name="T73" fmla="*/ 2 h 20"/>
              <a:gd name="T74" fmla="*/ 4 w 28"/>
              <a:gd name="T75" fmla="*/ 2 h 20"/>
              <a:gd name="T76" fmla="*/ 4 w 28"/>
              <a:gd name="T77" fmla="*/ 2 h 20"/>
              <a:gd name="T78" fmla="*/ 4 w 28"/>
              <a:gd name="T79" fmla="*/ 2 h 20"/>
              <a:gd name="T80" fmla="*/ 5 w 28"/>
              <a:gd name="T81" fmla="*/ 2 h 20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8"/>
              <a:gd name="T124" fmla="*/ 0 h 20"/>
              <a:gd name="T125" fmla="*/ 28 w 28"/>
              <a:gd name="T126" fmla="*/ 20 h 20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8" h="20">
                <a:moveTo>
                  <a:pt x="26" y="10"/>
                </a:moveTo>
                <a:lnTo>
                  <a:pt x="28" y="10"/>
                </a:lnTo>
                <a:lnTo>
                  <a:pt x="28" y="2"/>
                </a:lnTo>
                <a:lnTo>
                  <a:pt x="26" y="2"/>
                </a:lnTo>
                <a:lnTo>
                  <a:pt x="26" y="0"/>
                </a:lnTo>
                <a:lnTo>
                  <a:pt x="18" y="0"/>
                </a:lnTo>
                <a:lnTo>
                  <a:pt x="18" y="2"/>
                </a:lnTo>
                <a:lnTo>
                  <a:pt x="22" y="0"/>
                </a:lnTo>
                <a:lnTo>
                  <a:pt x="16" y="2"/>
                </a:lnTo>
                <a:lnTo>
                  <a:pt x="16" y="4"/>
                </a:lnTo>
                <a:lnTo>
                  <a:pt x="12" y="4"/>
                </a:lnTo>
                <a:lnTo>
                  <a:pt x="12" y="6"/>
                </a:lnTo>
                <a:lnTo>
                  <a:pt x="8" y="6"/>
                </a:lnTo>
                <a:lnTo>
                  <a:pt x="6" y="14"/>
                </a:lnTo>
                <a:lnTo>
                  <a:pt x="12" y="8"/>
                </a:lnTo>
                <a:lnTo>
                  <a:pt x="10" y="6"/>
                </a:lnTo>
                <a:lnTo>
                  <a:pt x="10" y="8"/>
                </a:lnTo>
                <a:lnTo>
                  <a:pt x="12" y="10"/>
                </a:lnTo>
                <a:lnTo>
                  <a:pt x="6" y="16"/>
                </a:lnTo>
                <a:lnTo>
                  <a:pt x="10" y="16"/>
                </a:lnTo>
                <a:lnTo>
                  <a:pt x="10" y="14"/>
                </a:lnTo>
                <a:lnTo>
                  <a:pt x="12" y="14"/>
                </a:lnTo>
                <a:lnTo>
                  <a:pt x="12" y="6"/>
                </a:lnTo>
                <a:lnTo>
                  <a:pt x="10" y="6"/>
                </a:lnTo>
                <a:lnTo>
                  <a:pt x="10" y="4"/>
                </a:lnTo>
                <a:lnTo>
                  <a:pt x="6" y="4"/>
                </a:lnTo>
                <a:lnTo>
                  <a:pt x="0" y="10"/>
                </a:lnTo>
                <a:lnTo>
                  <a:pt x="2" y="16"/>
                </a:lnTo>
                <a:lnTo>
                  <a:pt x="6" y="18"/>
                </a:lnTo>
                <a:lnTo>
                  <a:pt x="8" y="20"/>
                </a:lnTo>
                <a:lnTo>
                  <a:pt x="16" y="20"/>
                </a:lnTo>
                <a:lnTo>
                  <a:pt x="16" y="18"/>
                </a:lnTo>
                <a:lnTo>
                  <a:pt x="18" y="18"/>
                </a:lnTo>
                <a:lnTo>
                  <a:pt x="18" y="14"/>
                </a:lnTo>
                <a:lnTo>
                  <a:pt x="16" y="14"/>
                </a:lnTo>
                <a:lnTo>
                  <a:pt x="20" y="14"/>
                </a:lnTo>
                <a:lnTo>
                  <a:pt x="20" y="12"/>
                </a:lnTo>
                <a:lnTo>
                  <a:pt x="24" y="12"/>
                </a:lnTo>
                <a:lnTo>
                  <a:pt x="24" y="10"/>
                </a:lnTo>
                <a:lnTo>
                  <a:pt x="22" y="12"/>
                </a:lnTo>
                <a:lnTo>
                  <a:pt x="26" y="1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5" name="Freeform 224"/>
          <xdr:cNvSpPr>
            <a:spLocks/>
          </xdr:cNvSpPr>
        </xdr:nvSpPr>
        <xdr:spPr bwMode="auto">
          <a:xfrm>
            <a:off x="336" y="2184"/>
            <a:ext cx="3" cy="4"/>
          </a:xfrm>
          <a:custGeom>
            <a:avLst/>
            <a:gdLst>
              <a:gd name="T0" fmla="*/ 0 w 22"/>
              <a:gd name="T1" fmla="*/ 1 h 18"/>
              <a:gd name="T2" fmla="*/ 0 w 22"/>
              <a:gd name="T3" fmla="*/ 2 h 18"/>
              <a:gd name="T4" fmla="*/ 0 w 22"/>
              <a:gd name="T5" fmla="*/ 2 h 18"/>
              <a:gd name="T6" fmla="*/ 0 w 22"/>
              <a:gd name="T7" fmla="*/ 4 h 18"/>
              <a:gd name="T8" fmla="*/ 0 w 22"/>
              <a:gd name="T9" fmla="*/ 4 h 18"/>
              <a:gd name="T10" fmla="*/ 1 w 22"/>
              <a:gd name="T11" fmla="*/ 4 h 18"/>
              <a:gd name="T12" fmla="*/ 1 w 22"/>
              <a:gd name="T13" fmla="*/ 4 h 18"/>
              <a:gd name="T14" fmla="*/ 3 w 22"/>
              <a:gd name="T15" fmla="*/ 3 h 18"/>
              <a:gd name="T16" fmla="*/ 3 w 22"/>
              <a:gd name="T17" fmla="*/ 2 h 18"/>
              <a:gd name="T18" fmla="*/ 3 w 22"/>
              <a:gd name="T19" fmla="*/ 2 h 18"/>
              <a:gd name="T20" fmla="*/ 3 w 22"/>
              <a:gd name="T21" fmla="*/ 0 h 18"/>
              <a:gd name="T22" fmla="*/ 3 w 22"/>
              <a:gd name="T23" fmla="*/ 0 h 18"/>
              <a:gd name="T24" fmla="*/ 2 w 22"/>
              <a:gd name="T25" fmla="*/ 0 h 18"/>
              <a:gd name="T26" fmla="*/ 2 w 22"/>
              <a:gd name="T27" fmla="*/ 0 h 18"/>
              <a:gd name="T28" fmla="*/ 0 w 22"/>
              <a:gd name="T29" fmla="*/ 1 h 18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2"/>
              <a:gd name="T46" fmla="*/ 0 h 18"/>
              <a:gd name="T47" fmla="*/ 22 w 22"/>
              <a:gd name="T48" fmla="*/ 18 h 18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2" h="18">
                <a:moveTo>
                  <a:pt x="2" y="6"/>
                </a:moveTo>
                <a:lnTo>
                  <a:pt x="2" y="8"/>
                </a:lnTo>
                <a:lnTo>
                  <a:pt x="0" y="10"/>
                </a:lnTo>
                <a:lnTo>
                  <a:pt x="0" y="16"/>
                </a:lnTo>
                <a:lnTo>
                  <a:pt x="2" y="16"/>
                </a:lnTo>
                <a:lnTo>
                  <a:pt x="4" y="18"/>
                </a:lnTo>
                <a:lnTo>
                  <a:pt x="10" y="18"/>
                </a:lnTo>
                <a:lnTo>
                  <a:pt x="20" y="12"/>
                </a:lnTo>
                <a:lnTo>
                  <a:pt x="20" y="10"/>
                </a:lnTo>
                <a:lnTo>
                  <a:pt x="22" y="8"/>
                </a:lnTo>
                <a:lnTo>
                  <a:pt x="22" y="2"/>
                </a:lnTo>
                <a:lnTo>
                  <a:pt x="20" y="2"/>
                </a:lnTo>
                <a:lnTo>
                  <a:pt x="18" y="0"/>
                </a:lnTo>
                <a:lnTo>
                  <a:pt x="12" y="0"/>
                </a:lnTo>
                <a:lnTo>
                  <a:pt x="2" y="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6" name="Freeform 225"/>
          <xdr:cNvSpPr>
            <a:spLocks/>
          </xdr:cNvSpPr>
        </xdr:nvSpPr>
        <xdr:spPr bwMode="auto">
          <a:xfrm>
            <a:off x="332" y="2177"/>
            <a:ext cx="4" cy="2"/>
          </a:xfrm>
          <a:custGeom>
            <a:avLst/>
            <a:gdLst>
              <a:gd name="T0" fmla="*/ 1 w 20"/>
              <a:gd name="T1" fmla="*/ 0 h 14"/>
              <a:gd name="T2" fmla="*/ 0 w 20"/>
              <a:gd name="T3" fmla="*/ 1 h 14"/>
              <a:gd name="T4" fmla="*/ 0 w 20"/>
              <a:gd name="T5" fmla="*/ 1 h 14"/>
              <a:gd name="T6" fmla="*/ 0 w 20"/>
              <a:gd name="T7" fmla="*/ 1 h 14"/>
              <a:gd name="T8" fmla="*/ 0 w 20"/>
              <a:gd name="T9" fmla="*/ 2 h 14"/>
              <a:gd name="T10" fmla="*/ 0 w 20"/>
              <a:gd name="T11" fmla="*/ 2 h 14"/>
              <a:gd name="T12" fmla="*/ 2 w 20"/>
              <a:gd name="T13" fmla="*/ 2 h 14"/>
              <a:gd name="T14" fmla="*/ 3 w 20"/>
              <a:gd name="T15" fmla="*/ 2 h 14"/>
              <a:gd name="T16" fmla="*/ 4 w 20"/>
              <a:gd name="T17" fmla="*/ 1 h 14"/>
              <a:gd name="T18" fmla="*/ 4 w 20"/>
              <a:gd name="T19" fmla="*/ 1 h 14"/>
              <a:gd name="T20" fmla="*/ 4 w 20"/>
              <a:gd name="T21" fmla="*/ 1 h 14"/>
              <a:gd name="T22" fmla="*/ 4 w 20"/>
              <a:gd name="T23" fmla="*/ 0 h 14"/>
              <a:gd name="T24" fmla="*/ 4 w 20"/>
              <a:gd name="T25" fmla="*/ 0 h 14"/>
              <a:gd name="T26" fmla="*/ 2 w 20"/>
              <a:gd name="T27" fmla="*/ 0 h 14"/>
              <a:gd name="T28" fmla="*/ 1 w 20"/>
              <a:gd name="T29" fmla="*/ 0 h 1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0"/>
              <a:gd name="T46" fmla="*/ 0 h 14"/>
              <a:gd name="T47" fmla="*/ 20 w 20"/>
              <a:gd name="T48" fmla="*/ 14 h 1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0" h="14">
                <a:moveTo>
                  <a:pt x="4" y="2"/>
                </a:moveTo>
                <a:lnTo>
                  <a:pt x="2" y="4"/>
                </a:lnTo>
                <a:lnTo>
                  <a:pt x="0" y="4"/>
                </a:lnTo>
                <a:lnTo>
                  <a:pt x="0" y="10"/>
                </a:lnTo>
                <a:lnTo>
                  <a:pt x="2" y="12"/>
                </a:lnTo>
                <a:lnTo>
                  <a:pt x="2" y="14"/>
                </a:lnTo>
                <a:lnTo>
                  <a:pt x="8" y="14"/>
                </a:lnTo>
                <a:lnTo>
                  <a:pt x="16" y="12"/>
                </a:lnTo>
                <a:lnTo>
                  <a:pt x="18" y="10"/>
                </a:lnTo>
                <a:lnTo>
                  <a:pt x="20" y="10"/>
                </a:lnTo>
                <a:lnTo>
                  <a:pt x="20" y="4"/>
                </a:lnTo>
                <a:lnTo>
                  <a:pt x="18" y="2"/>
                </a:lnTo>
                <a:lnTo>
                  <a:pt x="18" y="0"/>
                </a:lnTo>
                <a:lnTo>
                  <a:pt x="12" y="0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7" name="Freeform 226"/>
          <xdr:cNvSpPr>
            <a:spLocks/>
          </xdr:cNvSpPr>
        </xdr:nvSpPr>
        <xdr:spPr bwMode="auto">
          <a:xfrm>
            <a:off x="336" y="2177"/>
            <a:ext cx="3" cy="7"/>
          </a:xfrm>
          <a:custGeom>
            <a:avLst/>
            <a:gdLst>
              <a:gd name="T0" fmla="*/ 1 w 21"/>
              <a:gd name="T1" fmla="*/ 0 h 27"/>
              <a:gd name="T2" fmla="*/ 0 w 21"/>
              <a:gd name="T3" fmla="*/ 0 h 27"/>
              <a:gd name="T4" fmla="*/ 0 w 21"/>
              <a:gd name="T5" fmla="*/ 1 h 27"/>
              <a:gd name="T6" fmla="*/ 0 w 21"/>
              <a:gd name="T7" fmla="*/ 1 h 27"/>
              <a:gd name="T8" fmla="*/ 0 w 21"/>
              <a:gd name="T9" fmla="*/ 3 h 27"/>
              <a:gd name="T10" fmla="*/ 0 w 21"/>
              <a:gd name="T11" fmla="*/ 3 h 27"/>
              <a:gd name="T12" fmla="*/ 0 w 21"/>
              <a:gd name="T13" fmla="*/ 3 h 27"/>
              <a:gd name="T14" fmla="*/ 1 w 21"/>
              <a:gd name="T15" fmla="*/ 3 h 27"/>
              <a:gd name="T16" fmla="*/ 0 w 21"/>
              <a:gd name="T17" fmla="*/ 3 h 27"/>
              <a:gd name="T18" fmla="*/ 1 w 21"/>
              <a:gd name="T19" fmla="*/ 4 h 27"/>
              <a:gd name="T20" fmla="*/ 1 w 21"/>
              <a:gd name="T21" fmla="*/ 5 h 27"/>
              <a:gd name="T22" fmla="*/ 2 w 21"/>
              <a:gd name="T23" fmla="*/ 5 h 27"/>
              <a:gd name="T24" fmla="*/ 1 w 21"/>
              <a:gd name="T25" fmla="*/ 3 h 27"/>
              <a:gd name="T26" fmla="*/ 1 w 21"/>
              <a:gd name="T27" fmla="*/ 5 h 27"/>
              <a:gd name="T28" fmla="*/ 1 w 21"/>
              <a:gd name="T29" fmla="*/ 5 h 27"/>
              <a:gd name="T30" fmla="*/ 1 w 21"/>
              <a:gd name="T31" fmla="*/ 6 h 27"/>
              <a:gd name="T32" fmla="*/ 2 w 21"/>
              <a:gd name="T33" fmla="*/ 7 h 27"/>
              <a:gd name="T34" fmla="*/ 2 w 21"/>
              <a:gd name="T35" fmla="*/ 6 h 27"/>
              <a:gd name="T36" fmla="*/ 2 w 21"/>
              <a:gd name="T37" fmla="*/ 7 h 27"/>
              <a:gd name="T38" fmla="*/ 3 w 21"/>
              <a:gd name="T39" fmla="*/ 7 h 27"/>
              <a:gd name="T40" fmla="*/ 3 w 21"/>
              <a:gd name="T41" fmla="*/ 6 h 27"/>
              <a:gd name="T42" fmla="*/ 3 w 21"/>
              <a:gd name="T43" fmla="*/ 5 h 27"/>
              <a:gd name="T44" fmla="*/ 3 w 21"/>
              <a:gd name="T45" fmla="*/ 5 h 27"/>
              <a:gd name="T46" fmla="*/ 2 w 21"/>
              <a:gd name="T47" fmla="*/ 4 h 27"/>
              <a:gd name="T48" fmla="*/ 3 w 21"/>
              <a:gd name="T49" fmla="*/ 5 h 27"/>
              <a:gd name="T50" fmla="*/ 3 w 21"/>
              <a:gd name="T51" fmla="*/ 4 h 27"/>
              <a:gd name="T52" fmla="*/ 2 w 21"/>
              <a:gd name="T53" fmla="*/ 4 h 27"/>
              <a:gd name="T54" fmla="*/ 3 w 21"/>
              <a:gd name="T55" fmla="*/ 3 h 27"/>
              <a:gd name="T56" fmla="*/ 2 w 21"/>
              <a:gd name="T57" fmla="*/ 2 h 27"/>
              <a:gd name="T58" fmla="*/ 2 w 21"/>
              <a:gd name="T59" fmla="*/ 2 h 27"/>
              <a:gd name="T60" fmla="*/ 1 w 21"/>
              <a:gd name="T61" fmla="*/ 1 h 27"/>
              <a:gd name="T62" fmla="*/ 1 w 21"/>
              <a:gd name="T63" fmla="*/ 0 h 27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21"/>
              <a:gd name="T97" fmla="*/ 0 h 27"/>
              <a:gd name="T98" fmla="*/ 21 w 21"/>
              <a:gd name="T99" fmla="*/ 27 h 27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21" h="27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2" y="10"/>
                </a:lnTo>
                <a:lnTo>
                  <a:pt x="8" y="16"/>
                </a:lnTo>
                <a:lnTo>
                  <a:pt x="8" y="18"/>
                </a:lnTo>
                <a:lnTo>
                  <a:pt x="12" y="18"/>
                </a:lnTo>
                <a:lnTo>
                  <a:pt x="6" y="12"/>
                </a:lnTo>
                <a:lnTo>
                  <a:pt x="8" y="21"/>
                </a:lnTo>
                <a:lnTo>
                  <a:pt x="10" y="21"/>
                </a:lnTo>
                <a:lnTo>
                  <a:pt x="10" y="25"/>
                </a:lnTo>
                <a:lnTo>
                  <a:pt x="16" y="27"/>
                </a:lnTo>
                <a:lnTo>
                  <a:pt x="12" y="25"/>
                </a:lnTo>
                <a:lnTo>
                  <a:pt x="14" y="27"/>
                </a:lnTo>
                <a:lnTo>
                  <a:pt x="18" y="27"/>
                </a:lnTo>
                <a:lnTo>
                  <a:pt x="21" y="23"/>
                </a:lnTo>
                <a:lnTo>
                  <a:pt x="21" y="19"/>
                </a:lnTo>
                <a:lnTo>
                  <a:pt x="20" y="18"/>
                </a:lnTo>
                <a:lnTo>
                  <a:pt x="16" y="16"/>
                </a:lnTo>
                <a:lnTo>
                  <a:pt x="18" y="18"/>
                </a:lnTo>
                <a:lnTo>
                  <a:pt x="18" y="14"/>
                </a:lnTo>
                <a:lnTo>
                  <a:pt x="16" y="14"/>
                </a:lnTo>
                <a:lnTo>
                  <a:pt x="18" y="12"/>
                </a:lnTo>
                <a:lnTo>
                  <a:pt x="12" y="6"/>
                </a:lnTo>
                <a:lnTo>
                  <a:pt x="16" y="8"/>
                </a:lnTo>
                <a:lnTo>
                  <a:pt x="10" y="2"/>
                </a:lnTo>
                <a:lnTo>
                  <a:pt x="6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8" name="Freeform 227"/>
          <xdr:cNvSpPr>
            <a:spLocks/>
          </xdr:cNvSpPr>
        </xdr:nvSpPr>
        <xdr:spPr bwMode="auto">
          <a:xfrm>
            <a:off x="332" y="2179"/>
            <a:ext cx="5" cy="6"/>
          </a:xfrm>
          <a:custGeom>
            <a:avLst/>
            <a:gdLst>
              <a:gd name="T0" fmla="*/ 1 w 20"/>
              <a:gd name="T1" fmla="*/ 0 h 29"/>
              <a:gd name="T2" fmla="*/ 0 w 20"/>
              <a:gd name="T3" fmla="*/ 0 h 29"/>
              <a:gd name="T4" fmla="*/ 0 w 20"/>
              <a:gd name="T5" fmla="*/ 1 h 29"/>
              <a:gd name="T6" fmla="*/ 1 w 20"/>
              <a:gd name="T7" fmla="*/ 1 h 29"/>
              <a:gd name="T8" fmla="*/ 1 w 20"/>
              <a:gd name="T9" fmla="*/ 1 h 29"/>
              <a:gd name="T10" fmla="*/ 1 w 20"/>
              <a:gd name="T11" fmla="*/ 1 h 29"/>
              <a:gd name="T12" fmla="*/ 1 w 20"/>
              <a:gd name="T13" fmla="*/ 2 h 29"/>
              <a:gd name="T14" fmla="*/ 1 w 20"/>
              <a:gd name="T15" fmla="*/ 2 h 29"/>
              <a:gd name="T16" fmla="*/ 1 w 20"/>
              <a:gd name="T17" fmla="*/ 2 h 29"/>
              <a:gd name="T18" fmla="*/ 2 w 20"/>
              <a:gd name="T19" fmla="*/ 2 h 29"/>
              <a:gd name="T20" fmla="*/ 2 w 20"/>
              <a:gd name="T21" fmla="*/ 2 h 29"/>
              <a:gd name="T22" fmla="*/ 3 w 20"/>
              <a:gd name="T23" fmla="*/ 2 h 29"/>
              <a:gd name="T24" fmla="*/ 3 w 20"/>
              <a:gd name="T25" fmla="*/ 4 h 29"/>
              <a:gd name="T26" fmla="*/ 3 w 20"/>
              <a:gd name="T27" fmla="*/ 4 h 29"/>
              <a:gd name="T28" fmla="*/ 3 w 20"/>
              <a:gd name="T29" fmla="*/ 4 h 29"/>
              <a:gd name="T30" fmla="*/ 3 w 20"/>
              <a:gd name="T31" fmla="*/ 5 h 29"/>
              <a:gd name="T32" fmla="*/ 3 w 20"/>
              <a:gd name="T33" fmla="*/ 6 h 29"/>
              <a:gd name="T34" fmla="*/ 4 w 20"/>
              <a:gd name="T35" fmla="*/ 6 h 29"/>
              <a:gd name="T36" fmla="*/ 4 w 20"/>
              <a:gd name="T37" fmla="*/ 6 h 29"/>
              <a:gd name="T38" fmla="*/ 5 w 20"/>
              <a:gd name="T39" fmla="*/ 6 h 29"/>
              <a:gd name="T40" fmla="*/ 5 w 20"/>
              <a:gd name="T41" fmla="*/ 5 h 29"/>
              <a:gd name="T42" fmla="*/ 5 w 20"/>
              <a:gd name="T43" fmla="*/ 6 h 29"/>
              <a:gd name="T44" fmla="*/ 5 w 20"/>
              <a:gd name="T45" fmla="*/ 5 h 29"/>
              <a:gd name="T46" fmla="*/ 5 w 20"/>
              <a:gd name="T47" fmla="*/ 5 h 29"/>
              <a:gd name="T48" fmla="*/ 4 w 20"/>
              <a:gd name="T49" fmla="*/ 4 h 29"/>
              <a:gd name="T50" fmla="*/ 4 w 20"/>
              <a:gd name="T51" fmla="*/ 3 h 29"/>
              <a:gd name="T52" fmla="*/ 3 w 20"/>
              <a:gd name="T53" fmla="*/ 3 h 29"/>
              <a:gd name="T54" fmla="*/ 3 w 20"/>
              <a:gd name="T55" fmla="*/ 2 h 29"/>
              <a:gd name="T56" fmla="*/ 3 w 20"/>
              <a:gd name="T57" fmla="*/ 2 h 29"/>
              <a:gd name="T58" fmla="*/ 3 w 20"/>
              <a:gd name="T59" fmla="*/ 1 h 29"/>
              <a:gd name="T60" fmla="*/ 3 w 20"/>
              <a:gd name="T61" fmla="*/ 1 h 29"/>
              <a:gd name="T62" fmla="*/ 3 w 20"/>
              <a:gd name="T63" fmla="*/ 1 h 29"/>
              <a:gd name="T64" fmla="*/ 2 w 20"/>
              <a:gd name="T65" fmla="*/ 1 h 29"/>
              <a:gd name="T66" fmla="*/ 2 w 20"/>
              <a:gd name="T67" fmla="*/ 0 h 29"/>
              <a:gd name="T68" fmla="*/ 1 w 20"/>
              <a:gd name="T69" fmla="*/ 0 h 29"/>
              <a:gd name="T70" fmla="*/ 1 w 20"/>
              <a:gd name="T71" fmla="*/ 0 h 29"/>
              <a:gd name="T72" fmla="*/ 1 w 20"/>
              <a:gd name="T73" fmla="*/ 0 h 29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20"/>
              <a:gd name="T112" fmla="*/ 0 h 29"/>
              <a:gd name="T113" fmla="*/ 20 w 20"/>
              <a:gd name="T114" fmla="*/ 29 h 29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20" h="29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2" y="6"/>
                </a:lnTo>
                <a:lnTo>
                  <a:pt x="4" y="6"/>
                </a:lnTo>
                <a:lnTo>
                  <a:pt x="4" y="8"/>
                </a:lnTo>
                <a:lnTo>
                  <a:pt x="6" y="8"/>
                </a:lnTo>
                <a:lnTo>
                  <a:pt x="6" y="9"/>
                </a:lnTo>
                <a:lnTo>
                  <a:pt x="8" y="9"/>
                </a:lnTo>
                <a:lnTo>
                  <a:pt x="8" y="11"/>
                </a:lnTo>
                <a:lnTo>
                  <a:pt x="10" y="11"/>
                </a:lnTo>
                <a:lnTo>
                  <a:pt x="10" y="19"/>
                </a:lnTo>
                <a:lnTo>
                  <a:pt x="12" y="19"/>
                </a:lnTo>
                <a:lnTo>
                  <a:pt x="12" y="21"/>
                </a:lnTo>
                <a:lnTo>
                  <a:pt x="14" y="23"/>
                </a:lnTo>
                <a:lnTo>
                  <a:pt x="14" y="27"/>
                </a:lnTo>
                <a:lnTo>
                  <a:pt x="16" y="27"/>
                </a:lnTo>
                <a:lnTo>
                  <a:pt x="16" y="29"/>
                </a:lnTo>
                <a:lnTo>
                  <a:pt x="20" y="29"/>
                </a:lnTo>
                <a:lnTo>
                  <a:pt x="20" y="25"/>
                </a:lnTo>
                <a:lnTo>
                  <a:pt x="20" y="27"/>
                </a:lnTo>
                <a:lnTo>
                  <a:pt x="20" y="23"/>
                </a:lnTo>
                <a:lnTo>
                  <a:pt x="18" y="23"/>
                </a:lnTo>
                <a:lnTo>
                  <a:pt x="16" y="21"/>
                </a:lnTo>
                <a:lnTo>
                  <a:pt x="16" y="15"/>
                </a:lnTo>
                <a:lnTo>
                  <a:pt x="14" y="15"/>
                </a:lnTo>
                <a:lnTo>
                  <a:pt x="14" y="8"/>
                </a:lnTo>
                <a:lnTo>
                  <a:pt x="12" y="8"/>
                </a:lnTo>
                <a:lnTo>
                  <a:pt x="12" y="6"/>
                </a:lnTo>
                <a:lnTo>
                  <a:pt x="10" y="6"/>
                </a:lnTo>
                <a:lnTo>
                  <a:pt x="10" y="4"/>
                </a:lnTo>
                <a:lnTo>
                  <a:pt x="8" y="4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29" name="Freeform 228"/>
          <xdr:cNvSpPr>
            <a:spLocks/>
          </xdr:cNvSpPr>
        </xdr:nvSpPr>
        <xdr:spPr bwMode="auto">
          <a:xfrm>
            <a:off x="329" y="2179"/>
            <a:ext cx="7" cy="9"/>
          </a:xfrm>
          <a:custGeom>
            <a:avLst/>
            <a:gdLst>
              <a:gd name="T0" fmla="*/ 1 w 28"/>
              <a:gd name="T1" fmla="*/ 0 h 35"/>
              <a:gd name="T2" fmla="*/ 0 w 28"/>
              <a:gd name="T3" fmla="*/ 0 h 35"/>
              <a:gd name="T4" fmla="*/ 0 w 28"/>
              <a:gd name="T5" fmla="*/ 1 h 35"/>
              <a:gd name="T6" fmla="*/ 1 w 28"/>
              <a:gd name="T7" fmla="*/ 1 h 35"/>
              <a:gd name="T8" fmla="*/ 1 w 28"/>
              <a:gd name="T9" fmla="*/ 2 h 35"/>
              <a:gd name="T10" fmla="*/ 2 w 28"/>
              <a:gd name="T11" fmla="*/ 2 h 35"/>
              <a:gd name="T12" fmla="*/ 2 w 28"/>
              <a:gd name="T13" fmla="*/ 2 h 35"/>
              <a:gd name="T14" fmla="*/ 3 w 28"/>
              <a:gd name="T15" fmla="*/ 2 h 35"/>
              <a:gd name="T16" fmla="*/ 3 w 28"/>
              <a:gd name="T17" fmla="*/ 2 h 35"/>
              <a:gd name="T18" fmla="*/ 3 w 28"/>
              <a:gd name="T19" fmla="*/ 3 h 35"/>
              <a:gd name="T20" fmla="*/ 4 w 28"/>
              <a:gd name="T21" fmla="*/ 3 h 35"/>
              <a:gd name="T22" fmla="*/ 4 w 28"/>
              <a:gd name="T23" fmla="*/ 3 h 35"/>
              <a:gd name="T24" fmla="*/ 4 w 28"/>
              <a:gd name="T25" fmla="*/ 3 h 35"/>
              <a:gd name="T26" fmla="*/ 4 w 28"/>
              <a:gd name="T27" fmla="*/ 4 h 35"/>
              <a:gd name="T28" fmla="*/ 5 w 28"/>
              <a:gd name="T29" fmla="*/ 4 h 35"/>
              <a:gd name="T30" fmla="*/ 5 w 28"/>
              <a:gd name="T31" fmla="*/ 5 h 35"/>
              <a:gd name="T32" fmla="*/ 5 w 28"/>
              <a:gd name="T33" fmla="*/ 5 h 35"/>
              <a:gd name="T34" fmla="*/ 5 w 28"/>
              <a:gd name="T35" fmla="*/ 6 h 35"/>
              <a:gd name="T36" fmla="*/ 6 w 28"/>
              <a:gd name="T37" fmla="*/ 7 h 35"/>
              <a:gd name="T38" fmla="*/ 6 w 28"/>
              <a:gd name="T39" fmla="*/ 8 h 35"/>
              <a:gd name="T40" fmla="*/ 6 w 28"/>
              <a:gd name="T41" fmla="*/ 8 h 35"/>
              <a:gd name="T42" fmla="*/ 6 w 28"/>
              <a:gd name="T43" fmla="*/ 9 h 35"/>
              <a:gd name="T44" fmla="*/ 7 w 28"/>
              <a:gd name="T45" fmla="*/ 9 h 35"/>
              <a:gd name="T46" fmla="*/ 7 w 28"/>
              <a:gd name="T47" fmla="*/ 8 h 35"/>
              <a:gd name="T48" fmla="*/ 7 w 28"/>
              <a:gd name="T49" fmla="*/ 7 h 35"/>
              <a:gd name="T50" fmla="*/ 7 w 28"/>
              <a:gd name="T51" fmla="*/ 7 h 35"/>
              <a:gd name="T52" fmla="*/ 7 w 28"/>
              <a:gd name="T53" fmla="*/ 7 h 35"/>
              <a:gd name="T54" fmla="*/ 6 w 28"/>
              <a:gd name="T55" fmla="*/ 6 h 35"/>
              <a:gd name="T56" fmla="*/ 6 w 28"/>
              <a:gd name="T57" fmla="*/ 4 h 35"/>
              <a:gd name="T58" fmla="*/ 6 w 28"/>
              <a:gd name="T59" fmla="*/ 4 h 35"/>
              <a:gd name="T60" fmla="*/ 6 w 28"/>
              <a:gd name="T61" fmla="*/ 3 h 35"/>
              <a:gd name="T62" fmla="*/ 5 w 28"/>
              <a:gd name="T63" fmla="*/ 3 h 35"/>
              <a:gd name="T64" fmla="*/ 5 w 28"/>
              <a:gd name="T65" fmla="*/ 2 h 35"/>
              <a:gd name="T66" fmla="*/ 5 w 28"/>
              <a:gd name="T67" fmla="*/ 2 h 35"/>
              <a:gd name="T68" fmla="*/ 5 w 28"/>
              <a:gd name="T69" fmla="*/ 2 h 35"/>
              <a:gd name="T70" fmla="*/ 4 w 28"/>
              <a:gd name="T71" fmla="*/ 2 h 35"/>
              <a:gd name="T72" fmla="*/ 4 w 28"/>
              <a:gd name="T73" fmla="*/ 2 h 35"/>
              <a:gd name="T74" fmla="*/ 3 w 28"/>
              <a:gd name="T75" fmla="*/ 2 h 35"/>
              <a:gd name="T76" fmla="*/ 3 w 28"/>
              <a:gd name="T77" fmla="*/ 1 h 35"/>
              <a:gd name="T78" fmla="*/ 3 w 28"/>
              <a:gd name="T79" fmla="*/ 1 h 35"/>
              <a:gd name="T80" fmla="*/ 2 w 28"/>
              <a:gd name="T81" fmla="*/ 1 h 35"/>
              <a:gd name="T82" fmla="*/ 2 w 28"/>
              <a:gd name="T83" fmla="*/ 0 h 35"/>
              <a:gd name="T84" fmla="*/ 1 w 28"/>
              <a:gd name="T85" fmla="*/ 0 h 35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28"/>
              <a:gd name="T130" fmla="*/ 0 h 35"/>
              <a:gd name="T131" fmla="*/ 28 w 28"/>
              <a:gd name="T132" fmla="*/ 35 h 35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28" h="35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2" y="6"/>
                </a:lnTo>
                <a:lnTo>
                  <a:pt x="6" y="6"/>
                </a:lnTo>
                <a:lnTo>
                  <a:pt x="6" y="8"/>
                </a:lnTo>
                <a:lnTo>
                  <a:pt x="10" y="8"/>
                </a:lnTo>
                <a:lnTo>
                  <a:pt x="12" y="9"/>
                </a:lnTo>
                <a:lnTo>
                  <a:pt x="12" y="11"/>
                </a:lnTo>
                <a:lnTo>
                  <a:pt x="14" y="11"/>
                </a:lnTo>
                <a:lnTo>
                  <a:pt x="14" y="13"/>
                </a:lnTo>
                <a:lnTo>
                  <a:pt x="16" y="13"/>
                </a:lnTo>
                <a:lnTo>
                  <a:pt x="16" y="17"/>
                </a:lnTo>
                <a:lnTo>
                  <a:pt x="18" y="17"/>
                </a:lnTo>
                <a:lnTo>
                  <a:pt x="18" y="21"/>
                </a:lnTo>
                <a:lnTo>
                  <a:pt x="20" y="21"/>
                </a:lnTo>
                <a:lnTo>
                  <a:pt x="20" y="25"/>
                </a:lnTo>
                <a:lnTo>
                  <a:pt x="22" y="27"/>
                </a:lnTo>
                <a:lnTo>
                  <a:pt x="22" y="33"/>
                </a:lnTo>
                <a:lnTo>
                  <a:pt x="24" y="33"/>
                </a:lnTo>
                <a:lnTo>
                  <a:pt x="24" y="35"/>
                </a:lnTo>
                <a:lnTo>
                  <a:pt x="28" y="35"/>
                </a:lnTo>
                <a:lnTo>
                  <a:pt x="28" y="33"/>
                </a:lnTo>
                <a:lnTo>
                  <a:pt x="28" y="29"/>
                </a:lnTo>
                <a:lnTo>
                  <a:pt x="26" y="29"/>
                </a:lnTo>
                <a:lnTo>
                  <a:pt x="26" y="27"/>
                </a:lnTo>
                <a:lnTo>
                  <a:pt x="24" y="25"/>
                </a:lnTo>
                <a:lnTo>
                  <a:pt x="24" y="17"/>
                </a:lnTo>
                <a:lnTo>
                  <a:pt x="22" y="17"/>
                </a:lnTo>
                <a:lnTo>
                  <a:pt x="22" y="13"/>
                </a:lnTo>
                <a:lnTo>
                  <a:pt x="20" y="13"/>
                </a:lnTo>
                <a:lnTo>
                  <a:pt x="20" y="9"/>
                </a:lnTo>
                <a:lnTo>
                  <a:pt x="18" y="9"/>
                </a:lnTo>
                <a:lnTo>
                  <a:pt x="18" y="8"/>
                </a:lnTo>
                <a:lnTo>
                  <a:pt x="16" y="8"/>
                </a:lnTo>
                <a:lnTo>
                  <a:pt x="16" y="6"/>
                </a:lnTo>
                <a:lnTo>
                  <a:pt x="12" y="6"/>
                </a:lnTo>
                <a:lnTo>
                  <a:pt x="10" y="4"/>
                </a:lnTo>
                <a:lnTo>
                  <a:pt x="10" y="2"/>
                </a:lnTo>
                <a:lnTo>
                  <a:pt x="6" y="2"/>
                </a:lnTo>
                <a:lnTo>
                  <a:pt x="6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0" name="Freeform 229"/>
          <xdr:cNvSpPr>
            <a:spLocks/>
          </xdr:cNvSpPr>
        </xdr:nvSpPr>
        <xdr:spPr bwMode="auto">
          <a:xfrm>
            <a:off x="329" y="2181"/>
            <a:ext cx="4" cy="7"/>
          </a:xfrm>
          <a:custGeom>
            <a:avLst/>
            <a:gdLst>
              <a:gd name="T0" fmla="*/ 0 w 18"/>
              <a:gd name="T1" fmla="*/ 0 h 29"/>
              <a:gd name="T2" fmla="*/ 0 w 18"/>
              <a:gd name="T3" fmla="*/ 0 h 29"/>
              <a:gd name="T4" fmla="*/ 0 w 18"/>
              <a:gd name="T5" fmla="*/ 1 h 29"/>
              <a:gd name="T6" fmla="*/ 0 w 18"/>
              <a:gd name="T7" fmla="*/ 1 h 29"/>
              <a:gd name="T8" fmla="*/ 0 w 18"/>
              <a:gd name="T9" fmla="*/ 1 h 29"/>
              <a:gd name="T10" fmla="*/ 1 w 18"/>
              <a:gd name="T11" fmla="*/ 1 h 29"/>
              <a:gd name="T12" fmla="*/ 1 w 18"/>
              <a:gd name="T13" fmla="*/ 2 h 29"/>
              <a:gd name="T14" fmla="*/ 1 w 18"/>
              <a:gd name="T15" fmla="*/ 2 h 29"/>
              <a:gd name="T16" fmla="*/ 1 w 18"/>
              <a:gd name="T17" fmla="*/ 2 h 29"/>
              <a:gd name="T18" fmla="*/ 2 w 18"/>
              <a:gd name="T19" fmla="*/ 2 h 29"/>
              <a:gd name="T20" fmla="*/ 2 w 18"/>
              <a:gd name="T21" fmla="*/ 3 h 29"/>
              <a:gd name="T22" fmla="*/ 2 w 18"/>
              <a:gd name="T23" fmla="*/ 3 h 29"/>
              <a:gd name="T24" fmla="*/ 2 w 18"/>
              <a:gd name="T25" fmla="*/ 4 h 29"/>
              <a:gd name="T26" fmla="*/ 3 w 18"/>
              <a:gd name="T27" fmla="*/ 4 h 29"/>
              <a:gd name="T28" fmla="*/ 3 w 18"/>
              <a:gd name="T29" fmla="*/ 5 h 29"/>
              <a:gd name="T30" fmla="*/ 3 w 18"/>
              <a:gd name="T31" fmla="*/ 6 h 29"/>
              <a:gd name="T32" fmla="*/ 3 w 18"/>
              <a:gd name="T33" fmla="*/ 7 h 29"/>
              <a:gd name="T34" fmla="*/ 4 w 18"/>
              <a:gd name="T35" fmla="*/ 7 h 29"/>
              <a:gd name="T36" fmla="*/ 4 w 18"/>
              <a:gd name="T37" fmla="*/ 7 h 29"/>
              <a:gd name="T38" fmla="*/ 4 w 18"/>
              <a:gd name="T39" fmla="*/ 6 h 29"/>
              <a:gd name="T40" fmla="*/ 4 w 18"/>
              <a:gd name="T41" fmla="*/ 5 h 29"/>
              <a:gd name="T42" fmla="*/ 4 w 18"/>
              <a:gd name="T43" fmla="*/ 3 h 29"/>
              <a:gd name="T44" fmla="*/ 3 w 18"/>
              <a:gd name="T45" fmla="*/ 3 h 29"/>
              <a:gd name="T46" fmla="*/ 3 w 18"/>
              <a:gd name="T47" fmla="*/ 2 h 29"/>
              <a:gd name="T48" fmla="*/ 3 w 18"/>
              <a:gd name="T49" fmla="*/ 2 h 29"/>
              <a:gd name="T50" fmla="*/ 3 w 18"/>
              <a:gd name="T51" fmla="*/ 1 h 29"/>
              <a:gd name="T52" fmla="*/ 2 w 18"/>
              <a:gd name="T53" fmla="*/ 1 h 29"/>
              <a:gd name="T54" fmla="*/ 2 w 18"/>
              <a:gd name="T55" fmla="*/ 1 h 29"/>
              <a:gd name="T56" fmla="*/ 2 w 18"/>
              <a:gd name="T57" fmla="*/ 1 h 29"/>
              <a:gd name="T58" fmla="*/ 2 w 18"/>
              <a:gd name="T59" fmla="*/ 0 h 29"/>
              <a:gd name="T60" fmla="*/ 1 w 18"/>
              <a:gd name="T61" fmla="*/ 0 h 29"/>
              <a:gd name="T62" fmla="*/ 1 w 18"/>
              <a:gd name="T63" fmla="*/ 0 h 29"/>
              <a:gd name="T64" fmla="*/ 0 w 18"/>
              <a:gd name="T65" fmla="*/ 0 h 2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8"/>
              <a:gd name="T100" fmla="*/ 0 h 29"/>
              <a:gd name="T101" fmla="*/ 18 w 18"/>
              <a:gd name="T102" fmla="*/ 29 h 2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8" h="29">
                <a:moveTo>
                  <a:pt x="2" y="0"/>
                </a:moveTo>
                <a:lnTo>
                  <a:pt x="0" y="0"/>
                </a:lnTo>
                <a:lnTo>
                  <a:pt x="0" y="3"/>
                </a:lnTo>
                <a:lnTo>
                  <a:pt x="2" y="3"/>
                </a:lnTo>
                <a:lnTo>
                  <a:pt x="2" y="5"/>
                </a:lnTo>
                <a:lnTo>
                  <a:pt x="4" y="5"/>
                </a:lnTo>
                <a:lnTo>
                  <a:pt x="4" y="7"/>
                </a:lnTo>
                <a:lnTo>
                  <a:pt x="6" y="7"/>
                </a:lnTo>
                <a:lnTo>
                  <a:pt x="6" y="9"/>
                </a:lnTo>
                <a:lnTo>
                  <a:pt x="8" y="9"/>
                </a:lnTo>
                <a:lnTo>
                  <a:pt x="8" y="11"/>
                </a:lnTo>
                <a:lnTo>
                  <a:pt x="10" y="11"/>
                </a:lnTo>
                <a:lnTo>
                  <a:pt x="10" y="17"/>
                </a:lnTo>
                <a:lnTo>
                  <a:pt x="12" y="17"/>
                </a:lnTo>
                <a:lnTo>
                  <a:pt x="12" y="21"/>
                </a:lnTo>
                <a:lnTo>
                  <a:pt x="14" y="23"/>
                </a:lnTo>
                <a:lnTo>
                  <a:pt x="14" y="29"/>
                </a:lnTo>
                <a:lnTo>
                  <a:pt x="18" y="29"/>
                </a:lnTo>
                <a:lnTo>
                  <a:pt x="18" y="27"/>
                </a:lnTo>
                <a:lnTo>
                  <a:pt x="18" y="23"/>
                </a:lnTo>
                <a:lnTo>
                  <a:pt x="16" y="21"/>
                </a:lnTo>
                <a:lnTo>
                  <a:pt x="16" y="13"/>
                </a:lnTo>
                <a:lnTo>
                  <a:pt x="14" y="13"/>
                </a:lnTo>
                <a:lnTo>
                  <a:pt x="14" y="7"/>
                </a:lnTo>
                <a:lnTo>
                  <a:pt x="12" y="7"/>
                </a:lnTo>
                <a:lnTo>
                  <a:pt x="12" y="5"/>
                </a:lnTo>
                <a:lnTo>
                  <a:pt x="10" y="5"/>
                </a:lnTo>
                <a:lnTo>
                  <a:pt x="10" y="3"/>
                </a:lnTo>
                <a:lnTo>
                  <a:pt x="8" y="3"/>
                </a:lnTo>
                <a:lnTo>
                  <a:pt x="8" y="2"/>
                </a:lnTo>
                <a:lnTo>
                  <a:pt x="6" y="2"/>
                </a:lnTo>
                <a:lnTo>
                  <a:pt x="6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1" name="Freeform 230"/>
          <xdr:cNvSpPr>
            <a:spLocks/>
          </xdr:cNvSpPr>
        </xdr:nvSpPr>
        <xdr:spPr bwMode="auto">
          <a:xfrm>
            <a:off x="331" y="2185"/>
            <a:ext cx="2" cy="4"/>
          </a:xfrm>
          <a:custGeom>
            <a:avLst/>
            <a:gdLst>
              <a:gd name="T0" fmla="*/ 1 w 16"/>
              <a:gd name="T1" fmla="*/ 4 h 12"/>
              <a:gd name="T2" fmla="*/ 2 w 16"/>
              <a:gd name="T3" fmla="*/ 4 h 12"/>
              <a:gd name="T4" fmla="*/ 2 w 16"/>
              <a:gd name="T5" fmla="*/ 3 h 12"/>
              <a:gd name="T6" fmla="*/ 2 w 16"/>
              <a:gd name="T7" fmla="*/ 3 h 12"/>
              <a:gd name="T8" fmla="*/ 2 w 16"/>
              <a:gd name="T9" fmla="*/ 1 h 12"/>
              <a:gd name="T10" fmla="*/ 2 w 16"/>
              <a:gd name="T11" fmla="*/ 1 h 12"/>
              <a:gd name="T12" fmla="*/ 2 w 16"/>
              <a:gd name="T13" fmla="*/ 0 h 12"/>
              <a:gd name="T14" fmla="*/ 0 w 16"/>
              <a:gd name="T15" fmla="*/ 0 h 12"/>
              <a:gd name="T16" fmla="*/ 0 w 16"/>
              <a:gd name="T17" fmla="*/ 1 h 12"/>
              <a:gd name="T18" fmla="*/ 0 w 16"/>
              <a:gd name="T19" fmla="*/ 1 h 12"/>
              <a:gd name="T20" fmla="*/ 0 w 16"/>
              <a:gd name="T21" fmla="*/ 3 h 12"/>
              <a:gd name="T22" fmla="*/ 0 w 16"/>
              <a:gd name="T23" fmla="*/ 3 h 12"/>
              <a:gd name="T24" fmla="*/ 0 w 16"/>
              <a:gd name="T25" fmla="*/ 4 h 12"/>
              <a:gd name="T26" fmla="*/ 1 w 16"/>
              <a:gd name="T27" fmla="*/ 4 h 12"/>
              <a:gd name="T28" fmla="*/ 1 w 16"/>
              <a:gd name="T29" fmla="*/ 4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6"/>
              <a:gd name="T46" fmla="*/ 0 h 12"/>
              <a:gd name="T47" fmla="*/ 16 w 16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6" h="12">
                <a:moveTo>
                  <a:pt x="10" y="12"/>
                </a:moveTo>
                <a:lnTo>
                  <a:pt x="14" y="12"/>
                </a:lnTo>
                <a:lnTo>
                  <a:pt x="14" y="10"/>
                </a:lnTo>
                <a:lnTo>
                  <a:pt x="16" y="10"/>
                </a:lnTo>
                <a:lnTo>
                  <a:pt x="16" y="2"/>
                </a:lnTo>
                <a:lnTo>
                  <a:pt x="14" y="2"/>
                </a:lnTo>
                <a:lnTo>
                  <a:pt x="14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10" y="1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2" name="Freeform 231"/>
          <xdr:cNvSpPr>
            <a:spLocks/>
          </xdr:cNvSpPr>
        </xdr:nvSpPr>
        <xdr:spPr bwMode="auto">
          <a:xfrm>
            <a:off x="244" y="2258"/>
            <a:ext cx="3" cy="8"/>
          </a:xfrm>
          <a:custGeom>
            <a:avLst/>
            <a:gdLst>
              <a:gd name="T0" fmla="*/ 0 w 11"/>
              <a:gd name="T1" fmla="*/ 7 h 37"/>
              <a:gd name="T2" fmla="*/ 0 w 11"/>
              <a:gd name="T3" fmla="*/ 8 h 37"/>
              <a:gd name="T4" fmla="*/ 0 w 11"/>
              <a:gd name="T5" fmla="*/ 8 h 37"/>
              <a:gd name="T6" fmla="*/ 0 w 11"/>
              <a:gd name="T7" fmla="*/ 8 h 37"/>
              <a:gd name="T8" fmla="*/ 2 w 11"/>
              <a:gd name="T9" fmla="*/ 8 h 37"/>
              <a:gd name="T10" fmla="*/ 2 w 11"/>
              <a:gd name="T11" fmla="*/ 8 h 37"/>
              <a:gd name="T12" fmla="*/ 3 w 11"/>
              <a:gd name="T13" fmla="*/ 8 h 37"/>
              <a:gd name="T14" fmla="*/ 3 w 11"/>
              <a:gd name="T15" fmla="*/ 0 h 37"/>
              <a:gd name="T16" fmla="*/ 2 w 11"/>
              <a:gd name="T17" fmla="*/ 0 h 37"/>
              <a:gd name="T18" fmla="*/ 2 w 11"/>
              <a:gd name="T19" fmla="*/ 0 h 37"/>
              <a:gd name="T20" fmla="*/ 0 w 11"/>
              <a:gd name="T21" fmla="*/ 0 h 37"/>
              <a:gd name="T22" fmla="*/ 0 w 11"/>
              <a:gd name="T23" fmla="*/ 0 h 37"/>
              <a:gd name="T24" fmla="*/ 0 w 11"/>
              <a:gd name="T25" fmla="*/ 0 h 37"/>
              <a:gd name="T26" fmla="*/ 0 w 11"/>
              <a:gd name="T27" fmla="*/ 1 h 37"/>
              <a:gd name="T28" fmla="*/ 0 w 11"/>
              <a:gd name="T29" fmla="*/ 7 h 3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37"/>
              <a:gd name="T47" fmla="*/ 11 w 11"/>
              <a:gd name="T48" fmla="*/ 37 h 3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37">
                <a:moveTo>
                  <a:pt x="0" y="31"/>
                </a:moveTo>
                <a:lnTo>
                  <a:pt x="0" y="35"/>
                </a:lnTo>
                <a:lnTo>
                  <a:pt x="1" y="35"/>
                </a:lnTo>
                <a:lnTo>
                  <a:pt x="1" y="37"/>
                </a:lnTo>
                <a:lnTo>
                  <a:pt x="9" y="37"/>
                </a:lnTo>
                <a:lnTo>
                  <a:pt x="9" y="35"/>
                </a:lnTo>
                <a:lnTo>
                  <a:pt x="11" y="35"/>
                </a:ln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1" y="0"/>
                </a:lnTo>
                <a:lnTo>
                  <a:pt x="1" y="2"/>
                </a:lnTo>
                <a:lnTo>
                  <a:pt x="0" y="2"/>
                </a:lnTo>
                <a:lnTo>
                  <a:pt x="0" y="5"/>
                </a:lnTo>
                <a:lnTo>
                  <a:pt x="0" y="31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33" name="Freeform 232"/>
          <xdr:cNvSpPr>
            <a:spLocks/>
          </xdr:cNvSpPr>
        </xdr:nvSpPr>
        <xdr:spPr bwMode="auto">
          <a:xfrm>
            <a:off x="313" y="2258"/>
            <a:ext cx="18" cy="3"/>
          </a:xfrm>
          <a:custGeom>
            <a:avLst/>
            <a:gdLst>
              <a:gd name="T0" fmla="*/ 1 w 81"/>
              <a:gd name="T1" fmla="*/ 0 h 11"/>
              <a:gd name="T2" fmla="*/ 0 w 81"/>
              <a:gd name="T3" fmla="*/ 0 h 11"/>
              <a:gd name="T4" fmla="*/ 0 w 81"/>
              <a:gd name="T5" fmla="*/ 1 h 11"/>
              <a:gd name="T6" fmla="*/ 0 w 81"/>
              <a:gd name="T7" fmla="*/ 1 h 11"/>
              <a:gd name="T8" fmla="*/ 0 w 81"/>
              <a:gd name="T9" fmla="*/ 2 h 11"/>
              <a:gd name="T10" fmla="*/ 0 w 81"/>
              <a:gd name="T11" fmla="*/ 2 h 11"/>
              <a:gd name="T12" fmla="*/ 0 w 81"/>
              <a:gd name="T13" fmla="*/ 3 h 11"/>
              <a:gd name="T14" fmla="*/ 18 w 81"/>
              <a:gd name="T15" fmla="*/ 3 h 11"/>
              <a:gd name="T16" fmla="*/ 18 w 81"/>
              <a:gd name="T17" fmla="*/ 2 h 11"/>
              <a:gd name="T18" fmla="*/ 18 w 81"/>
              <a:gd name="T19" fmla="*/ 2 h 11"/>
              <a:gd name="T20" fmla="*/ 18 w 81"/>
              <a:gd name="T21" fmla="*/ 1 h 11"/>
              <a:gd name="T22" fmla="*/ 18 w 81"/>
              <a:gd name="T23" fmla="*/ 1 h 11"/>
              <a:gd name="T24" fmla="*/ 18 w 81"/>
              <a:gd name="T25" fmla="*/ 0 h 11"/>
              <a:gd name="T26" fmla="*/ 17 w 81"/>
              <a:gd name="T27" fmla="*/ 0 h 11"/>
              <a:gd name="T28" fmla="*/ 1 w 81"/>
              <a:gd name="T29" fmla="*/ 0 h 1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81"/>
              <a:gd name="T46" fmla="*/ 0 h 11"/>
              <a:gd name="T47" fmla="*/ 81 w 81"/>
              <a:gd name="T48" fmla="*/ 11 h 1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81" h="11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9"/>
                </a:lnTo>
                <a:lnTo>
                  <a:pt x="2" y="9"/>
                </a:lnTo>
                <a:lnTo>
                  <a:pt x="2" y="11"/>
                </a:lnTo>
                <a:lnTo>
                  <a:pt x="79" y="11"/>
                </a:lnTo>
                <a:lnTo>
                  <a:pt x="79" y="9"/>
                </a:lnTo>
                <a:lnTo>
                  <a:pt x="81" y="9"/>
                </a:lnTo>
                <a:lnTo>
                  <a:pt x="81" y="2"/>
                </a:lnTo>
                <a:lnTo>
                  <a:pt x="79" y="2"/>
                </a:lnTo>
                <a:lnTo>
                  <a:pt x="79" y="0"/>
                </a:lnTo>
                <a:lnTo>
                  <a:pt x="75" y="0"/>
                </a:lnTo>
                <a:lnTo>
                  <a:pt x="6" y="0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34" name="Freeform 233"/>
          <xdr:cNvSpPr>
            <a:spLocks/>
          </xdr:cNvSpPr>
        </xdr:nvSpPr>
        <xdr:spPr bwMode="auto">
          <a:xfrm>
            <a:off x="259" y="2259"/>
            <a:ext cx="58" cy="0"/>
          </a:xfrm>
          <a:custGeom>
            <a:avLst/>
            <a:gdLst>
              <a:gd name="T0" fmla="*/ 0 w 283"/>
              <a:gd name="T1" fmla="*/ 0 h 3"/>
              <a:gd name="T2" fmla="*/ 0 w 283"/>
              <a:gd name="T3" fmla="*/ 0 h 3"/>
              <a:gd name="T4" fmla="*/ 0 w 283"/>
              <a:gd name="T5" fmla="*/ 0 h 3"/>
              <a:gd name="T6" fmla="*/ 58 w 283"/>
              <a:gd name="T7" fmla="*/ 0 h 3"/>
              <a:gd name="T8" fmla="*/ 58 w 283"/>
              <a:gd name="T9" fmla="*/ 0 h 3"/>
              <a:gd name="T10" fmla="*/ 58 w 283"/>
              <a:gd name="T11" fmla="*/ 0 h 3"/>
              <a:gd name="T12" fmla="*/ 0 w 283"/>
              <a:gd name="T13" fmla="*/ 0 h 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83"/>
              <a:gd name="T22" fmla="*/ 0 h 3"/>
              <a:gd name="T23" fmla="*/ 283 w 283"/>
              <a:gd name="T24" fmla="*/ 0 h 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83" h="3">
                <a:moveTo>
                  <a:pt x="2" y="0"/>
                </a:moveTo>
                <a:lnTo>
                  <a:pt x="0" y="0"/>
                </a:lnTo>
                <a:lnTo>
                  <a:pt x="0" y="3"/>
                </a:lnTo>
                <a:lnTo>
                  <a:pt x="283" y="3"/>
                </a:lnTo>
                <a:lnTo>
                  <a:pt x="283" y="0"/>
                </a:lnTo>
                <a:lnTo>
                  <a:pt x="281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5" name="Freeform 234"/>
          <xdr:cNvSpPr>
            <a:spLocks/>
          </xdr:cNvSpPr>
        </xdr:nvSpPr>
        <xdr:spPr bwMode="auto">
          <a:xfrm>
            <a:off x="247" y="2265"/>
            <a:ext cx="86" cy="1"/>
          </a:xfrm>
          <a:custGeom>
            <a:avLst/>
            <a:gdLst>
              <a:gd name="T0" fmla="*/ 0 w 418"/>
              <a:gd name="T1" fmla="*/ 0 h 4"/>
              <a:gd name="T2" fmla="*/ 0 w 418"/>
              <a:gd name="T3" fmla="*/ 0 h 4"/>
              <a:gd name="T4" fmla="*/ 0 w 418"/>
              <a:gd name="T5" fmla="*/ 1 h 4"/>
              <a:gd name="T6" fmla="*/ 86 w 418"/>
              <a:gd name="T7" fmla="*/ 1 h 4"/>
              <a:gd name="T8" fmla="*/ 86 w 418"/>
              <a:gd name="T9" fmla="*/ 0 h 4"/>
              <a:gd name="T10" fmla="*/ 86 w 418"/>
              <a:gd name="T11" fmla="*/ 0 h 4"/>
              <a:gd name="T12" fmla="*/ 0 w 418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18"/>
              <a:gd name="T22" fmla="*/ 0 h 4"/>
              <a:gd name="T23" fmla="*/ 418 w 418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18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18" y="4"/>
                </a:lnTo>
                <a:lnTo>
                  <a:pt x="418" y="0"/>
                </a:lnTo>
                <a:lnTo>
                  <a:pt x="416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6" name="Oval 235"/>
          <xdr:cNvSpPr>
            <a:spLocks noChangeArrowheads="1"/>
          </xdr:cNvSpPr>
        </xdr:nvSpPr>
        <xdr:spPr bwMode="auto">
          <a:xfrm>
            <a:off x="277" y="2259"/>
            <a:ext cx="7" cy="9"/>
          </a:xfrm>
          <a:prstGeom prst="ellipse">
            <a:avLst/>
          </a:pr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7" name="Freeform 236"/>
          <xdr:cNvSpPr>
            <a:spLocks/>
          </xdr:cNvSpPr>
        </xdr:nvSpPr>
        <xdr:spPr bwMode="auto">
          <a:xfrm>
            <a:off x="277" y="2259"/>
            <a:ext cx="7" cy="9"/>
          </a:xfrm>
          <a:custGeom>
            <a:avLst/>
            <a:gdLst>
              <a:gd name="T0" fmla="*/ 0 w 34"/>
              <a:gd name="T1" fmla="*/ 6 h 34"/>
              <a:gd name="T2" fmla="*/ 0 w 34"/>
              <a:gd name="T3" fmla="*/ 7 h 34"/>
              <a:gd name="T4" fmla="*/ 1 w 34"/>
              <a:gd name="T5" fmla="*/ 8 h 34"/>
              <a:gd name="T6" fmla="*/ 1 w 34"/>
              <a:gd name="T7" fmla="*/ 8 h 34"/>
              <a:gd name="T8" fmla="*/ 2 w 34"/>
              <a:gd name="T9" fmla="*/ 9 h 34"/>
              <a:gd name="T10" fmla="*/ 4 w 34"/>
              <a:gd name="T11" fmla="*/ 8 h 34"/>
              <a:gd name="T12" fmla="*/ 5 w 34"/>
              <a:gd name="T13" fmla="*/ 8 h 34"/>
              <a:gd name="T14" fmla="*/ 6 w 34"/>
              <a:gd name="T15" fmla="*/ 7 h 34"/>
              <a:gd name="T16" fmla="*/ 6 w 34"/>
              <a:gd name="T17" fmla="*/ 6 h 34"/>
              <a:gd name="T18" fmla="*/ 7 w 34"/>
              <a:gd name="T19" fmla="*/ 5 h 34"/>
              <a:gd name="T20" fmla="*/ 7 w 34"/>
              <a:gd name="T21" fmla="*/ 3 h 34"/>
              <a:gd name="T22" fmla="*/ 7 w 34"/>
              <a:gd name="T23" fmla="*/ 2 h 34"/>
              <a:gd name="T24" fmla="*/ 6 w 34"/>
              <a:gd name="T25" fmla="*/ 1 h 34"/>
              <a:gd name="T26" fmla="*/ 6 w 34"/>
              <a:gd name="T27" fmla="*/ 1 h 34"/>
              <a:gd name="T28" fmla="*/ 5 w 34"/>
              <a:gd name="T29" fmla="*/ 0 h 34"/>
              <a:gd name="T30" fmla="*/ 2 w 34"/>
              <a:gd name="T31" fmla="*/ 1 h 34"/>
              <a:gd name="T32" fmla="*/ 1 w 34"/>
              <a:gd name="T33" fmla="*/ 1 h 34"/>
              <a:gd name="T34" fmla="*/ 0 w 34"/>
              <a:gd name="T35" fmla="*/ 2 h 34"/>
              <a:gd name="T36" fmla="*/ 0 w 34"/>
              <a:gd name="T37" fmla="*/ 4 h 34"/>
              <a:gd name="T38" fmla="*/ 1 w 34"/>
              <a:gd name="T39" fmla="*/ 3 h 34"/>
              <a:gd name="T40" fmla="*/ 2 w 34"/>
              <a:gd name="T41" fmla="*/ 2 h 34"/>
              <a:gd name="T42" fmla="*/ 2 w 34"/>
              <a:gd name="T43" fmla="*/ 1 h 34"/>
              <a:gd name="T44" fmla="*/ 4 w 34"/>
              <a:gd name="T45" fmla="*/ 2 h 34"/>
              <a:gd name="T46" fmla="*/ 5 w 34"/>
              <a:gd name="T47" fmla="*/ 2 h 34"/>
              <a:gd name="T48" fmla="*/ 5 w 34"/>
              <a:gd name="T49" fmla="*/ 3 h 34"/>
              <a:gd name="T50" fmla="*/ 6 w 34"/>
              <a:gd name="T51" fmla="*/ 4 h 34"/>
              <a:gd name="T52" fmla="*/ 6 w 34"/>
              <a:gd name="T53" fmla="*/ 5 h 34"/>
              <a:gd name="T54" fmla="*/ 6 w 34"/>
              <a:gd name="T55" fmla="*/ 6 h 34"/>
              <a:gd name="T56" fmla="*/ 5 w 34"/>
              <a:gd name="T57" fmla="*/ 6 h 34"/>
              <a:gd name="T58" fmla="*/ 5 w 34"/>
              <a:gd name="T59" fmla="*/ 7 h 34"/>
              <a:gd name="T60" fmla="*/ 4 w 34"/>
              <a:gd name="T61" fmla="*/ 8 h 34"/>
              <a:gd name="T62" fmla="*/ 3 w 34"/>
              <a:gd name="T63" fmla="*/ 7 h 34"/>
              <a:gd name="T64" fmla="*/ 2 w 34"/>
              <a:gd name="T65" fmla="*/ 7 h 34"/>
              <a:gd name="T66" fmla="*/ 2 w 34"/>
              <a:gd name="T67" fmla="*/ 6 h 34"/>
              <a:gd name="T68" fmla="*/ 1 w 34"/>
              <a:gd name="T69" fmla="*/ 5 h 34"/>
              <a:gd name="T70" fmla="*/ 1 w 34"/>
              <a:gd name="T71" fmla="*/ 4 h 34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34"/>
              <a:gd name="T109" fmla="*/ 0 h 34"/>
              <a:gd name="T110" fmla="*/ 34 w 34"/>
              <a:gd name="T111" fmla="*/ 34 h 34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34" h="34">
                <a:moveTo>
                  <a:pt x="0" y="16"/>
                </a:moveTo>
                <a:lnTo>
                  <a:pt x="0" y="24"/>
                </a:lnTo>
                <a:lnTo>
                  <a:pt x="2" y="24"/>
                </a:lnTo>
                <a:lnTo>
                  <a:pt x="2" y="28"/>
                </a:lnTo>
                <a:lnTo>
                  <a:pt x="4" y="28"/>
                </a:lnTo>
                <a:lnTo>
                  <a:pt x="4" y="30"/>
                </a:lnTo>
                <a:lnTo>
                  <a:pt x="6" y="30"/>
                </a:lnTo>
                <a:lnTo>
                  <a:pt x="6" y="32"/>
                </a:lnTo>
                <a:lnTo>
                  <a:pt x="10" y="32"/>
                </a:lnTo>
                <a:lnTo>
                  <a:pt x="10" y="34"/>
                </a:lnTo>
                <a:lnTo>
                  <a:pt x="18" y="34"/>
                </a:lnTo>
                <a:lnTo>
                  <a:pt x="20" y="32"/>
                </a:lnTo>
                <a:lnTo>
                  <a:pt x="22" y="32"/>
                </a:lnTo>
                <a:lnTo>
                  <a:pt x="24" y="30"/>
                </a:lnTo>
                <a:lnTo>
                  <a:pt x="28" y="30"/>
                </a:lnTo>
                <a:lnTo>
                  <a:pt x="28" y="28"/>
                </a:lnTo>
                <a:lnTo>
                  <a:pt x="30" y="28"/>
                </a:lnTo>
                <a:lnTo>
                  <a:pt x="30" y="24"/>
                </a:lnTo>
                <a:lnTo>
                  <a:pt x="32" y="22"/>
                </a:lnTo>
                <a:lnTo>
                  <a:pt x="32" y="20"/>
                </a:lnTo>
                <a:lnTo>
                  <a:pt x="34" y="18"/>
                </a:lnTo>
                <a:lnTo>
                  <a:pt x="34" y="10"/>
                </a:lnTo>
                <a:lnTo>
                  <a:pt x="32" y="10"/>
                </a:lnTo>
                <a:lnTo>
                  <a:pt x="32" y="6"/>
                </a:lnTo>
                <a:lnTo>
                  <a:pt x="30" y="6"/>
                </a:lnTo>
                <a:lnTo>
                  <a:pt x="30" y="4"/>
                </a:lnTo>
                <a:lnTo>
                  <a:pt x="28" y="4"/>
                </a:lnTo>
                <a:lnTo>
                  <a:pt x="28" y="2"/>
                </a:lnTo>
                <a:lnTo>
                  <a:pt x="24" y="2"/>
                </a:lnTo>
                <a:lnTo>
                  <a:pt x="24" y="0"/>
                </a:lnTo>
                <a:lnTo>
                  <a:pt x="10" y="0"/>
                </a:lnTo>
                <a:lnTo>
                  <a:pt x="8" y="2"/>
                </a:lnTo>
                <a:lnTo>
                  <a:pt x="4" y="2"/>
                </a:lnTo>
                <a:lnTo>
                  <a:pt x="4" y="4"/>
                </a:lnTo>
                <a:lnTo>
                  <a:pt x="2" y="4"/>
                </a:lnTo>
                <a:lnTo>
                  <a:pt x="2" y="8"/>
                </a:lnTo>
                <a:lnTo>
                  <a:pt x="0" y="10"/>
                </a:lnTo>
                <a:lnTo>
                  <a:pt x="0" y="16"/>
                </a:lnTo>
                <a:lnTo>
                  <a:pt x="4" y="16"/>
                </a:lnTo>
                <a:lnTo>
                  <a:pt x="4" y="10"/>
                </a:lnTo>
                <a:lnTo>
                  <a:pt x="6" y="8"/>
                </a:lnTo>
                <a:lnTo>
                  <a:pt x="8" y="8"/>
                </a:lnTo>
                <a:lnTo>
                  <a:pt x="8" y="6"/>
                </a:lnTo>
                <a:lnTo>
                  <a:pt x="10" y="4"/>
                </a:lnTo>
                <a:lnTo>
                  <a:pt x="20" y="4"/>
                </a:lnTo>
                <a:lnTo>
                  <a:pt x="20" y="6"/>
                </a:lnTo>
                <a:lnTo>
                  <a:pt x="24" y="6"/>
                </a:lnTo>
                <a:lnTo>
                  <a:pt x="24" y="8"/>
                </a:lnTo>
                <a:lnTo>
                  <a:pt x="26" y="8"/>
                </a:lnTo>
                <a:lnTo>
                  <a:pt x="26" y="10"/>
                </a:lnTo>
                <a:lnTo>
                  <a:pt x="28" y="10"/>
                </a:lnTo>
                <a:lnTo>
                  <a:pt x="28" y="14"/>
                </a:lnTo>
                <a:lnTo>
                  <a:pt x="30" y="14"/>
                </a:lnTo>
                <a:lnTo>
                  <a:pt x="30" y="18"/>
                </a:lnTo>
                <a:lnTo>
                  <a:pt x="28" y="20"/>
                </a:lnTo>
                <a:lnTo>
                  <a:pt x="28" y="22"/>
                </a:lnTo>
                <a:lnTo>
                  <a:pt x="26" y="24"/>
                </a:lnTo>
                <a:lnTo>
                  <a:pt x="24" y="24"/>
                </a:lnTo>
                <a:lnTo>
                  <a:pt x="24" y="26"/>
                </a:lnTo>
                <a:lnTo>
                  <a:pt x="22" y="28"/>
                </a:lnTo>
                <a:lnTo>
                  <a:pt x="20" y="28"/>
                </a:lnTo>
                <a:lnTo>
                  <a:pt x="18" y="30"/>
                </a:lnTo>
                <a:lnTo>
                  <a:pt x="14" y="30"/>
                </a:lnTo>
                <a:lnTo>
                  <a:pt x="14" y="28"/>
                </a:lnTo>
                <a:lnTo>
                  <a:pt x="10" y="28"/>
                </a:lnTo>
                <a:lnTo>
                  <a:pt x="10" y="26"/>
                </a:lnTo>
                <a:lnTo>
                  <a:pt x="8" y="26"/>
                </a:lnTo>
                <a:lnTo>
                  <a:pt x="8" y="24"/>
                </a:lnTo>
                <a:lnTo>
                  <a:pt x="6" y="24"/>
                </a:lnTo>
                <a:lnTo>
                  <a:pt x="6" y="20"/>
                </a:lnTo>
                <a:lnTo>
                  <a:pt x="4" y="20"/>
                </a:lnTo>
                <a:lnTo>
                  <a:pt x="4" y="16"/>
                </a:lnTo>
                <a:lnTo>
                  <a:pt x="0" y="1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8" name="Oval 237"/>
          <xdr:cNvSpPr>
            <a:spLocks noChangeArrowheads="1"/>
          </xdr:cNvSpPr>
        </xdr:nvSpPr>
        <xdr:spPr bwMode="auto">
          <a:xfrm>
            <a:off x="279" y="2262"/>
            <a:ext cx="2" cy="3"/>
          </a:xfrm>
          <a:prstGeom prst="ellipse">
            <a:avLst/>
          </a:pr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39" name="Freeform 238"/>
          <xdr:cNvSpPr>
            <a:spLocks/>
          </xdr:cNvSpPr>
        </xdr:nvSpPr>
        <xdr:spPr bwMode="auto">
          <a:xfrm>
            <a:off x="279" y="2262"/>
            <a:ext cx="2" cy="3"/>
          </a:xfrm>
          <a:custGeom>
            <a:avLst/>
            <a:gdLst>
              <a:gd name="T0" fmla="*/ 0 w 16"/>
              <a:gd name="T1" fmla="*/ 2 h 16"/>
              <a:gd name="T2" fmla="*/ 0 w 16"/>
              <a:gd name="T3" fmla="*/ 3 h 16"/>
              <a:gd name="T4" fmla="*/ 0 w 16"/>
              <a:gd name="T5" fmla="*/ 3 h 16"/>
              <a:gd name="T6" fmla="*/ 0 w 16"/>
              <a:gd name="T7" fmla="*/ 3 h 16"/>
              <a:gd name="T8" fmla="*/ 1 w 16"/>
              <a:gd name="T9" fmla="*/ 3 h 16"/>
              <a:gd name="T10" fmla="*/ 1 w 16"/>
              <a:gd name="T11" fmla="*/ 3 h 16"/>
              <a:gd name="T12" fmla="*/ 2 w 16"/>
              <a:gd name="T13" fmla="*/ 3 h 16"/>
              <a:gd name="T14" fmla="*/ 2 w 16"/>
              <a:gd name="T15" fmla="*/ 2 h 16"/>
              <a:gd name="T16" fmla="*/ 2 w 16"/>
              <a:gd name="T17" fmla="*/ 2 h 16"/>
              <a:gd name="T18" fmla="*/ 2 w 16"/>
              <a:gd name="T19" fmla="*/ 0 h 16"/>
              <a:gd name="T20" fmla="*/ 2 w 16"/>
              <a:gd name="T21" fmla="*/ 0 h 16"/>
              <a:gd name="T22" fmla="*/ 2 w 16"/>
              <a:gd name="T23" fmla="*/ 0 h 16"/>
              <a:gd name="T24" fmla="*/ 0 w 16"/>
              <a:gd name="T25" fmla="*/ 0 h 16"/>
              <a:gd name="T26" fmla="*/ 0 w 16"/>
              <a:gd name="T27" fmla="*/ 0 h 16"/>
              <a:gd name="T28" fmla="*/ 0 w 16"/>
              <a:gd name="T29" fmla="*/ 0 h 16"/>
              <a:gd name="T30" fmla="*/ 0 w 16"/>
              <a:gd name="T31" fmla="*/ 2 h 16"/>
              <a:gd name="T32" fmla="*/ 1 w 16"/>
              <a:gd name="T33" fmla="*/ 2 h 16"/>
              <a:gd name="T34" fmla="*/ 1 w 16"/>
              <a:gd name="T35" fmla="*/ 1 h 16"/>
              <a:gd name="T36" fmla="*/ 1 w 16"/>
              <a:gd name="T37" fmla="*/ 1 h 16"/>
              <a:gd name="T38" fmla="*/ 1 w 16"/>
              <a:gd name="T39" fmla="*/ 1 h 16"/>
              <a:gd name="T40" fmla="*/ 1 w 16"/>
              <a:gd name="T41" fmla="*/ 1 h 16"/>
              <a:gd name="T42" fmla="*/ 1 w 16"/>
              <a:gd name="T43" fmla="*/ 1 h 16"/>
              <a:gd name="T44" fmla="*/ 1 w 16"/>
              <a:gd name="T45" fmla="*/ 1 h 16"/>
              <a:gd name="T46" fmla="*/ 1 w 16"/>
              <a:gd name="T47" fmla="*/ 2 h 16"/>
              <a:gd name="T48" fmla="*/ 1 w 16"/>
              <a:gd name="T49" fmla="*/ 2 h 16"/>
              <a:gd name="T50" fmla="*/ 1 w 16"/>
              <a:gd name="T51" fmla="*/ 2 h 16"/>
              <a:gd name="T52" fmla="*/ 1 w 16"/>
              <a:gd name="T53" fmla="*/ 2 h 16"/>
              <a:gd name="T54" fmla="*/ 1 w 16"/>
              <a:gd name="T55" fmla="*/ 2 h 16"/>
              <a:gd name="T56" fmla="*/ 1 w 16"/>
              <a:gd name="T57" fmla="*/ 2 h 16"/>
              <a:gd name="T58" fmla="*/ 1 w 16"/>
              <a:gd name="T59" fmla="*/ 2 h 16"/>
              <a:gd name="T60" fmla="*/ 1 w 16"/>
              <a:gd name="T61" fmla="*/ 2 h 16"/>
              <a:gd name="T62" fmla="*/ 1 w 16"/>
              <a:gd name="T63" fmla="*/ 2 h 16"/>
              <a:gd name="T64" fmla="*/ 0 w 16"/>
              <a:gd name="T65" fmla="*/ 2 h 1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6"/>
              <a:gd name="T100" fmla="*/ 0 h 16"/>
              <a:gd name="T101" fmla="*/ 16 w 16"/>
              <a:gd name="T102" fmla="*/ 16 h 1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6" h="16">
                <a:moveTo>
                  <a:pt x="0" y="8"/>
                </a:moveTo>
                <a:lnTo>
                  <a:pt x="0" y="14"/>
                </a:lnTo>
                <a:lnTo>
                  <a:pt x="2" y="14"/>
                </a:lnTo>
                <a:lnTo>
                  <a:pt x="2" y="16"/>
                </a:lnTo>
                <a:lnTo>
                  <a:pt x="12" y="16"/>
                </a:lnTo>
                <a:lnTo>
                  <a:pt x="12" y="14"/>
                </a:lnTo>
                <a:lnTo>
                  <a:pt x="14" y="14"/>
                </a:lnTo>
                <a:lnTo>
                  <a:pt x="14" y="12"/>
                </a:lnTo>
                <a:lnTo>
                  <a:pt x="16" y="12"/>
                </a:lnTo>
                <a:lnTo>
                  <a:pt x="16" y="2"/>
                </a:lnTo>
                <a:lnTo>
                  <a:pt x="14" y="2"/>
                </a:lnTo>
                <a:lnTo>
                  <a:pt x="14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4" y="8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10" y="4"/>
                </a:lnTo>
                <a:lnTo>
                  <a:pt x="10" y="6"/>
                </a:lnTo>
                <a:lnTo>
                  <a:pt x="12" y="6"/>
                </a:lnTo>
                <a:lnTo>
                  <a:pt x="12" y="8"/>
                </a:lnTo>
                <a:lnTo>
                  <a:pt x="10" y="8"/>
                </a:lnTo>
                <a:lnTo>
                  <a:pt x="10" y="10"/>
                </a:lnTo>
                <a:lnTo>
                  <a:pt x="8" y="10"/>
                </a:lnTo>
                <a:lnTo>
                  <a:pt x="8" y="12"/>
                </a:lnTo>
                <a:lnTo>
                  <a:pt x="6" y="12"/>
                </a:lnTo>
                <a:lnTo>
                  <a:pt x="6" y="10"/>
                </a:lnTo>
                <a:lnTo>
                  <a:pt x="4" y="10"/>
                </a:lnTo>
                <a:lnTo>
                  <a:pt x="4" y="8"/>
                </a:lnTo>
                <a:lnTo>
                  <a:pt x="0" y="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0" name="Oval 239"/>
          <xdr:cNvSpPr>
            <a:spLocks noChangeArrowheads="1"/>
          </xdr:cNvSpPr>
        </xdr:nvSpPr>
        <xdr:spPr bwMode="auto">
          <a:xfrm>
            <a:off x="291" y="2259"/>
            <a:ext cx="7" cy="9"/>
          </a:xfrm>
          <a:prstGeom prst="ellipse">
            <a:avLst/>
          </a:pr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1" name="Freeform 240"/>
          <xdr:cNvSpPr>
            <a:spLocks/>
          </xdr:cNvSpPr>
        </xdr:nvSpPr>
        <xdr:spPr bwMode="auto">
          <a:xfrm>
            <a:off x="291" y="2259"/>
            <a:ext cx="7" cy="9"/>
          </a:xfrm>
          <a:custGeom>
            <a:avLst/>
            <a:gdLst>
              <a:gd name="T0" fmla="*/ 0 w 36"/>
              <a:gd name="T1" fmla="*/ 6 h 34"/>
              <a:gd name="T2" fmla="*/ 2 w 36"/>
              <a:gd name="T3" fmla="*/ 8 h 34"/>
              <a:gd name="T4" fmla="*/ 2 w 36"/>
              <a:gd name="T5" fmla="*/ 8 h 34"/>
              <a:gd name="T6" fmla="*/ 4 w 36"/>
              <a:gd name="T7" fmla="*/ 9 h 34"/>
              <a:gd name="T8" fmla="*/ 5 w 36"/>
              <a:gd name="T9" fmla="*/ 8 h 34"/>
              <a:gd name="T10" fmla="*/ 6 w 36"/>
              <a:gd name="T11" fmla="*/ 8 h 34"/>
              <a:gd name="T12" fmla="*/ 6 w 36"/>
              <a:gd name="T13" fmla="*/ 7 h 34"/>
              <a:gd name="T14" fmla="*/ 7 w 36"/>
              <a:gd name="T15" fmla="*/ 6 h 34"/>
              <a:gd name="T16" fmla="*/ 7 w 36"/>
              <a:gd name="T17" fmla="*/ 5 h 34"/>
              <a:gd name="T18" fmla="*/ 7 w 36"/>
              <a:gd name="T19" fmla="*/ 3 h 34"/>
              <a:gd name="T20" fmla="*/ 6 w 36"/>
              <a:gd name="T21" fmla="*/ 2 h 34"/>
              <a:gd name="T22" fmla="*/ 6 w 36"/>
              <a:gd name="T23" fmla="*/ 1 h 34"/>
              <a:gd name="T24" fmla="*/ 5 w 36"/>
              <a:gd name="T25" fmla="*/ 1 h 34"/>
              <a:gd name="T26" fmla="*/ 2 w 36"/>
              <a:gd name="T27" fmla="*/ 0 h 34"/>
              <a:gd name="T28" fmla="*/ 1 w 36"/>
              <a:gd name="T29" fmla="*/ 1 h 34"/>
              <a:gd name="T30" fmla="*/ 0 w 36"/>
              <a:gd name="T31" fmla="*/ 2 h 34"/>
              <a:gd name="T32" fmla="*/ 0 w 36"/>
              <a:gd name="T33" fmla="*/ 4 h 34"/>
              <a:gd name="T34" fmla="*/ 1 w 36"/>
              <a:gd name="T35" fmla="*/ 3 h 34"/>
              <a:gd name="T36" fmla="*/ 1 w 36"/>
              <a:gd name="T37" fmla="*/ 2 h 34"/>
              <a:gd name="T38" fmla="*/ 2 w 36"/>
              <a:gd name="T39" fmla="*/ 2 h 34"/>
              <a:gd name="T40" fmla="*/ 2 w 36"/>
              <a:gd name="T41" fmla="*/ 1 h 34"/>
              <a:gd name="T42" fmla="*/ 4 w 36"/>
              <a:gd name="T43" fmla="*/ 2 h 34"/>
              <a:gd name="T44" fmla="*/ 5 w 36"/>
              <a:gd name="T45" fmla="*/ 2 h 34"/>
              <a:gd name="T46" fmla="*/ 5 w 36"/>
              <a:gd name="T47" fmla="*/ 3 h 34"/>
              <a:gd name="T48" fmla="*/ 6 w 36"/>
              <a:gd name="T49" fmla="*/ 4 h 34"/>
              <a:gd name="T50" fmla="*/ 6 w 36"/>
              <a:gd name="T51" fmla="*/ 5 h 34"/>
              <a:gd name="T52" fmla="*/ 6 w 36"/>
              <a:gd name="T53" fmla="*/ 6 h 34"/>
              <a:gd name="T54" fmla="*/ 5 w 36"/>
              <a:gd name="T55" fmla="*/ 6 h 34"/>
              <a:gd name="T56" fmla="*/ 5 w 36"/>
              <a:gd name="T57" fmla="*/ 7 h 34"/>
              <a:gd name="T58" fmla="*/ 4 w 36"/>
              <a:gd name="T59" fmla="*/ 8 h 34"/>
              <a:gd name="T60" fmla="*/ 3 w 36"/>
              <a:gd name="T61" fmla="*/ 7 h 34"/>
              <a:gd name="T62" fmla="*/ 2 w 36"/>
              <a:gd name="T63" fmla="*/ 7 h 34"/>
              <a:gd name="T64" fmla="*/ 1 w 36"/>
              <a:gd name="T65" fmla="*/ 6 h 34"/>
              <a:gd name="T66" fmla="*/ 1 w 36"/>
              <a:gd name="T67" fmla="*/ 5 h 34"/>
              <a:gd name="T68" fmla="*/ 0 w 36"/>
              <a:gd name="T69" fmla="*/ 4 h 34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36"/>
              <a:gd name="T106" fmla="*/ 0 h 34"/>
              <a:gd name="T107" fmla="*/ 36 w 36"/>
              <a:gd name="T108" fmla="*/ 34 h 34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36" h="34">
                <a:moveTo>
                  <a:pt x="0" y="16"/>
                </a:moveTo>
                <a:lnTo>
                  <a:pt x="0" y="24"/>
                </a:lnTo>
                <a:lnTo>
                  <a:pt x="2" y="24"/>
                </a:lnTo>
                <a:lnTo>
                  <a:pt x="8" y="30"/>
                </a:lnTo>
                <a:lnTo>
                  <a:pt x="8" y="32"/>
                </a:lnTo>
                <a:lnTo>
                  <a:pt x="12" y="32"/>
                </a:lnTo>
                <a:lnTo>
                  <a:pt x="12" y="34"/>
                </a:lnTo>
                <a:lnTo>
                  <a:pt x="20" y="34"/>
                </a:lnTo>
                <a:lnTo>
                  <a:pt x="22" y="32"/>
                </a:lnTo>
                <a:lnTo>
                  <a:pt x="24" y="32"/>
                </a:lnTo>
                <a:lnTo>
                  <a:pt x="26" y="30"/>
                </a:lnTo>
                <a:lnTo>
                  <a:pt x="30" y="30"/>
                </a:lnTo>
                <a:lnTo>
                  <a:pt x="30" y="28"/>
                </a:lnTo>
                <a:lnTo>
                  <a:pt x="32" y="28"/>
                </a:lnTo>
                <a:lnTo>
                  <a:pt x="32" y="24"/>
                </a:lnTo>
                <a:lnTo>
                  <a:pt x="34" y="22"/>
                </a:lnTo>
                <a:lnTo>
                  <a:pt x="34" y="20"/>
                </a:lnTo>
                <a:lnTo>
                  <a:pt x="36" y="18"/>
                </a:lnTo>
                <a:lnTo>
                  <a:pt x="36" y="10"/>
                </a:lnTo>
                <a:lnTo>
                  <a:pt x="34" y="10"/>
                </a:lnTo>
                <a:lnTo>
                  <a:pt x="34" y="6"/>
                </a:lnTo>
                <a:lnTo>
                  <a:pt x="32" y="6"/>
                </a:lnTo>
                <a:lnTo>
                  <a:pt x="32" y="4"/>
                </a:lnTo>
                <a:lnTo>
                  <a:pt x="30" y="4"/>
                </a:lnTo>
                <a:lnTo>
                  <a:pt x="30" y="2"/>
                </a:lnTo>
                <a:lnTo>
                  <a:pt x="26" y="2"/>
                </a:lnTo>
                <a:lnTo>
                  <a:pt x="26" y="0"/>
                </a:lnTo>
                <a:lnTo>
                  <a:pt x="8" y="0"/>
                </a:lnTo>
                <a:lnTo>
                  <a:pt x="8" y="2"/>
                </a:lnTo>
                <a:lnTo>
                  <a:pt x="6" y="2"/>
                </a:lnTo>
                <a:lnTo>
                  <a:pt x="6" y="4"/>
                </a:lnTo>
                <a:lnTo>
                  <a:pt x="2" y="8"/>
                </a:lnTo>
                <a:lnTo>
                  <a:pt x="0" y="8"/>
                </a:lnTo>
                <a:lnTo>
                  <a:pt x="0" y="16"/>
                </a:lnTo>
                <a:lnTo>
                  <a:pt x="4" y="16"/>
                </a:lnTo>
                <a:lnTo>
                  <a:pt x="4" y="12"/>
                </a:lnTo>
                <a:lnTo>
                  <a:pt x="6" y="12"/>
                </a:lnTo>
                <a:lnTo>
                  <a:pt x="6" y="8"/>
                </a:lnTo>
                <a:lnTo>
                  <a:pt x="10" y="8"/>
                </a:lnTo>
                <a:lnTo>
                  <a:pt x="10" y="6"/>
                </a:lnTo>
                <a:lnTo>
                  <a:pt x="12" y="6"/>
                </a:lnTo>
                <a:lnTo>
                  <a:pt x="12" y="4"/>
                </a:lnTo>
                <a:lnTo>
                  <a:pt x="22" y="4"/>
                </a:lnTo>
                <a:lnTo>
                  <a:pt x="22" y="6"/>
                </a:lnTo>
                <a:lnTo>
                  <a:pt x="26" y="6"/>
                </a:lnTo>
                <a:lnTo>
                  <a:pt x="26" y="8"/>
                </a:lnTo>
                <a:lnTo>
                  <a:pt x="28" y="8"/>
                </a:lnTo>
                <a:lnTo>
                  <a:pt x="28" y="10"/>
                </a:lnTo>
                <a:lnTo>
                  <a:pt x="30" y="10"/>
                </a:lnTo>
                <a:lnTo>
                  <a:pt x="30" y="14"/>
                </a:lnTo>
                <a:lnTo>
                  <a:pt x="32" y="14"/>
                </a:lnTo>
                <a:lnTo>
                  <a:pt x="32" y="18"/>
                </a:lnTo>
                <a:lnTo>
                  <a:pt x="30" y="20"/>
                </a:lnTo>
                <a:lnTo>
                  <a:pt x="30" y="22"/>
                </a:lnTo>
                <a:lnTo>
                  <a:pt x="28" y="24"/>
                </a:lnTo>
                <a:lnTo>
                  <a:pt x="26" y="24"/>
                </a:lnTo>
                <a:lnTo>
                  <a:pt x="26" y="26"/>
                </a:lnTo>
                <a:lnTo>
                  <a:pt x="24" y="28"/>
                </a:lnTo>
                <a:lnTo>
                  <a:pt x="22" y="28"/>
                </a:lnTo>
                <a:lnTo>
                  <a:pt x="20" y="30"/>
                </a:lnTo>
                <a:lnTo>
                  <a:pt x="16" y="30"/>
                </a:lnTo>
                <a:lnTo>
                  <a:pt x="16" y="28"/>
                </a:lnTo>
                <a:lnTo>
                  <a:pt x="12" y="28"/>
                </a:lnTo>
                <a:lnTo>
                  <a:pt x="12" y="26"/>
                </a:lnTo>
                <a:lnTo>
                  <a:pt x="8" y="26"/>
                </a:lnTo>
                <a:lnTo>
                  <a:pt x="6" y="24"/>
                </a:lnTo>
                <a:lnTo>
                  <a:pt x="6" y="20"/>
                </a:lnTo>
                <a:lnTo>
                  <a:pt x="4" y="20"/>
                </a:lnTo>
                <a:lnTo>
                  <a:pt x="4" y="16"/>
                </a:lnTo>
                <a:lnTo>
                  <a:pt x="0" y="1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2" name="Oval 241"/>
          <xdr:cNvSpPr>
            <a:spLocks noChangeArrowheads="1"/>
          </xdr:cNvSpPr>
        </xdr:nvSpPr>
        <xdr:spPr bwMode="auto">
          <a:xfrm>
            <a:off x="294" y="2262"/>
            <a:ext cx="2" cy="3"/>
          </a:xfrm>
          <a:prstGeom prst="ellipse">
            <a:avLst/>
          </a:pr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3" name="Freeform 242"/>
          <xdr:cNvSpPr>
            <a:spLocks/>
          </xdr:cNvSpPr>
        </xdr:nvSpPr>
        <xdr:spPr bwMode="auto">
          <a:xfrm>
            <a:off x="292" y="2262"/>
            <a:ext cx="4" cy="3"/>
          </a:xfrm>
          <a:custGeom>
            <a:avLst/>
            <a:gdLst>
              <a:gd name="T0" fmla="*/ 0 w 16"/>
              <a:gd name="T1" fmla="*/ 2 h 16"/>
              <a:gd name="T2" fmla="*/ 0 w 16"/>
              <a:gd name="T3" fmla="*/ 3 h 16"/>
              <a:gd name="T4" fmla="*/ 1 w 16"/>
              <a:gd name="T5" fmla="*/ 3 h 16"/>
              <a:gd name="T6" fmla="*/ 1 w 16"/>
              <a:gd name="T7" fmla="*/ 3 h 16"/>
              <a:gd name="T8" fmla="*/ 3 w 16"/>
              <a:gd name="T9" fmla="*/ 3 h 16"/>
              <a:gd name="T10" fmla="*/ 3 w 16"/>
              <a:gd name="T11" fmla="*/ 3 h 16"/>
              <a:gd name="T12" fmla="*/ 3 w 16"/>
              <a:gd name="T13" fmla="*/ 3 h 16"/>
              <a:gd name="T14" fmla="*/ 3 w 16"/>
              <a:gd name="T15" fmla="*/ 2 h 16"/>
              <a:gd name="T16" fmla="*/ 4 w 16"/>
              <a:gd name="T17" fmla="*/ 2 h 16"/>
              <a:gd name="T18" fmla="*/ 4 w 16"/>
              <a:gd name="T19" fmla="*/ 0 h 16"/>
              <a:gd name="T20" fmla="*/ 3 w 16"/>
              <a:gd name="T21" fmla="*/ 0 h 16"/>
              <a:gd name="T22" fmla="*/ 3 w 16"/>
              <a:gd name="T23" fmla="*/ 0 h 16"/>
              <a:gd name="T24" fmla="*/ 1 w 16"/>
              <a:gd name="T25" fmla="*/ 0 h 16"/>
              <a:gd name="T26" fmla="*/ 1 w 16"/>
              <a:gd name="T27" fmla="*/ 0 h 16"/>
              <a:gd name="T28" fmla="*/ 0 w 16"/>
              <a:gd name="T29" fmla="*/ 0 h 16"/>
              <a:gd name="T30" fmla="*/ 0 w 16"/>
              <a:gd name="T31" fmla="*/ 2 h 16"/>
              <a:gd name="T32" fmla="*/ 1 w 16"/>
              <a:gd name="T33" fmla="*/ 2 h 16"/>
              <a:gd name="T34" fmla="*/ 1 w 16"/>
              <a:gd name="T35" fmla="*/ 1 h 16"/>
              <a:gd name="T36" fmla="*/ 1 w 16"/>
              <a:gd name="T37" fmla="*/ 1 h 16"/>
              <a:gd name="T38" fmla="*/ 1 w 16"/>
              <a:gd name="T39" fmla="*/ 1 h 16"/>
              <a:gd name="T40" fmla="*/ 2 w 16"/>
              <a:gd name="T41" fmla="*/ 1 h 16"/>
              <a:gd name="T42" fmla="*/ 2 w 16"/>
              <a:gd name="T43" fmla="*/ 1 h 16"/>
              <a:gd name="T44" fmla="*/ 3 w 16"/>
              <a:gd name="T45" fmla="*/ 1 h 16"/>
              <a:gd name="T46" fmla="*/ 3 w 16"/>
              <a:gd name="T47" fmla="*/ 2 h 16"/>
              <a:gd name="T48" fmla="*/ 2 w 16"/>
              <a:gd name="T49" fmla="*/ 2 h 16"/>
              <a:gd name="T50" fmla="*/ 2 w 16"/>
              <a:gd name="T51" fmla="*/ 2 h 16"/>
              <a:gd name="T52" fmla="*/ 2 w 16"/>
              <a:gd name="T53" fmla="*/ 2 h 16"/>
              <a:gd name="T54" fmla="*/ 2 w 16"/>
              <a:gd name="T55" fmla="*/ 2 h 16"/>
              <a:gd name="T56" fmla="*/ 1 w 16"/>
              <a:gd name="T57" fmla="*/ 2 h 16"/>
              <a:gd name="T58" fmla="*/ 1 w 16"/>
              <a:gd name="T59" fmla="*/ 2 h 16"/>
              <a:gd name="T60" fmla="*/ 1 w 16"/>
              <a:gd name="T61" fmla="*/ 2 h 16"/>
              <a:gd name="T62" fmla="*/ 1 w 16"/>
              <a:gd name="T63" fmla="*/ 2 h 16"/>
              <a:gd name="T64" fmla="*/ 0 w 16"/>
              <a:gd name="T65" fmla="*/ 2 h 1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6"/>
              <a:gd name="T100" fmla="*/ 0 h 16"/>
              <a:gd name="T101" fmla="*/ 16 w 16"/>
              <a:gd name="T102" fmla="*/ 16 h 1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6" h="16">
                <a:moveTo>
                  <a:pt x="0" y="8"/>
                </a:moveTo>
                <a:lnTo>
                  <a:pt x="0" y="14"/>
                </a:lnTo>
                <a:lnTo>
                  <a:pt x="2" y="14"/>
                </a:lnTo>
                <a:lnTo>
                  <a:pt x="2" y="16"/>
                </a:lnTo>
                <a:lnTo>
                  <a:pt x="12" y="16"/>
                </a:lnTo>
                <a:lnTo>
                  <a:pt x="12" y="14"/>
                </a:lnTo>
                <a:lnTo>
                  <a:pt x="14" y="14"/>
                </a:lnTo>
                <a:lnTo>
                  <a:pt x="14" y="12"/>
                </a:lnTo>
                <a:lnTo>
                  <a:pt x="16" y="12"/>
                </a:lnTo>
                <a:lnTo>
                  <a:pt x="16" y="2"/>
                </a:lnTo>
                <a:lnTo>
                  <a:pt x="14" y="2"/>
                </a:lnTo>
                <a:lnTo>
                  <a:pt x="14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4" y="8"/>
                </a:lnTo>
                <a:lnTo>
                  <a:pt x="4" y="6"/>
                </a:lnTo>
                <a:lnTo>
                  <a:pt x="6" y="6"/>
                </a:lnTo>
                <a:lnTo>
                  <a:pt x="6" y="4"/>
                </a:lnTo>
                <a:lnTo>
                  <a:pt x="10" y="4"/>
                </a:lnTo>
                <a:lnTo>
                  <a:pt x="10" y="6"/>
                </a:lnTo>
                <a:lnTo>
                  <a:pt x="12" y="6"/>
                </a:lnTo>
                <a:lnTo>
                  <a:pt x="12" y="8"/>
                </a:lnTo>
                <a:lnTo>
                  <a:pt x="10" y="8"/>
                </a:lnTo>
                <a:lnTo>
                  <a:pt x="10" y="10"/>
                </a:lnTo>
                <a:lnTo>
                  <a:pt x="8" y="10"/>
                </a:lnTo>
                <a:lnTo>
                  <a:pt x="8" y="12"/>
                </a:lnTo>
                <a:lnTo>
                  <a:pt x="6" y="12"/>
                </a:lnTo>
                <a:lnTo>
                  <a:pt x="6" y="10"/>
                </a:lnTo>
                <a:lnTo>
                  <a:pt x="4" y="10"/>
                </a:lnTo>
                <a:lnTo>
                  <a:pt x="4" y="8"/>
                </a:lnTo>
                <a:lnTo>
                  <a:pt x="0" y="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4" name="Freeform 243"/>
          <xdr:cNvSpPr>
            <a:spLocks/>
          </xdr:cNvSpPr>
        </xdr:nvSpPr>
        <xdr:spPr bwMode="auto">
          <a:xfrm>
            <a:off x="243" y="2269"/>
            <a:ext cx="89" cy="0"/>
          </a:xfrm>
          <a:custGeom>
            <a:avLst/>
            <a:gdLst>
              <a:gd name="T0" fmla="*/ 0 w 433"/>
              <a:gd name="T1" fmla="*/ 0 h 4"/>
              <a:gd name="T2" fmla="*/ 0 w 433"/>
              <a:gd name="T3" fmla="*/ 0 h 4"/>
              <a:gd name="T4" fmla="*/ 0 w 433"/>
              <a:gd name="T5" fmla="*/ 0 h 4"/>
              <a:gd name="T6" fmla="*/ 89 w 433"/>
              <a:gd name="T7" fmla="*/ 0 h 4"/>
              <a:gd name="T8" fmla="*/ 89 w 433"/>
              <a:gd name="T9" fmla="*/ 0 h 4"/>
              <a:gd name="T10" fmla="*/ 89 w 433"/>
              <a:gd name="T11" fmla="*/ 0 h 4"/>
              <a:gd name="T12" fmla="*/ 0 w 433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33"/>
              <a:gd name="T22" fmla="*/ 0 h 4"/>
              <a:gd name="T23" fmla="*/ 433 w 433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33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33" y="4"/>
                </a:lnTo>
                <a:lnTo>
                  <a:pt x="433" y="0"/>
                </a:lnTo>
                <a:lnTo>
                  <a:pt x="431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5" name="Freeform 244"/>
          <xdr:cNvSpPr>
            <a:spLocks/>
          </xdr:cNvSpPr>
        </xdr:nvSpPr>
        <xdr:spPr bwMode="auto">
          <a:xfrm>
            <a:off x="349" y="2317"/>
            <a:ext cx="5" cy="5"/>
          </a:xfrm>
          <a:custGeom>
            <a:avLst/>
            <a:gdLst>
              <a:gd name="T0" fmla="*/ 1 w 23"/>
              <a:gd name="T1" fmla="*/ 0 h 25"/>
              <a:gd name="T2" fmla="*/ 0 w 23"/>
              <a:gd name="T3" fmla="*/ 0 h 25"/>
              <a:gd name="T4" fmla="*/ 0 w 23"/>
              <a:gd name="T5" fmla="*/ 0 h 25"/>
              <a:gd name="T6" fmla="*/ 0 w 23"/>
              <a:gd name="T7" fmla="*/ 0 h 25"/>
              <a:gd name="T8" fmla="*/ 0 w 23"/>
              <a:gd name="T9" fmla="*/ 2 h 25"/>
              <a:gd name="T10" fmla="*/ 0 w 23"/>
              <a:gd name="T11" fmla="*/ 2 h 25"/>
              <a:gd name="T12" fmla="*/ 0 w 23"/>
              <a:gd name="T13" fmla="*/ 2 h 25"/>
              <a:gd name="T14" fmla="*/ 1 w 23"/>
              <a:gd name="T15" fmla="*/ 2 h 25"/>
              <a:gd name="T16" fmla="*/ 1 w 23"/>
              <a:gd name="T17" fmla="*/ 2 h 25"/>
              <a:gd name="T18" fmla="*/ 1 w 23"/>
              <a:gd name="T19" fmla="*/ 2 h 25"/>
              <a:gd name="T20" fmla="*/ 2 w 23"/>
              <a:gd name="T21" fmla="*/ 2 h 25"/>
              <a:gd name="T22" fmla="*/ 2 w 23"/>
              <a:gd name="T23" fmla="*/ 3 h 25"/>
              <a:gd name="T24" fmla="*/ 3 w 23"/>
              <a:gd name="T25" fmla="*/ 3 h 25"/>
              <a:gd name="T26" fmla="*/ 2 w 23"/>
              <a:gd name="T27" fmla="*/ 2 h 25"/>
              <a:gd name="T28" fmla="*/ 2 w 23"/>
              <a:gd name="T29" fmla="*/ 3 h 25"/>
              <a:gd name="T30" fmla="*/ 3 w 23"/>
              <a:gd name="T31" fmla="*/ 3 h 25"/>
              <a:gd name="T32" fmla="*/ 3 w 23"/>
              <a:gd name="T33" fmla="*/ 3 h 25"/>
              <a:gd name="T34" fmla="*/ 4 w 23"/>
              <a:gd name="T35" fmla="*/ 3 h 25"/>
              <a:gd name="T36" fmla="*/ 4 w 23"/>
              <a:gd name="T37" fmla="*/ 3 h 25"/>
              <a:gd name="T38" fmla="*/ 2 w 23"/>
              <a:gd name="T39" fmla="*/ 2 h 25"/>
              <a:gd name="T40" fmla="*/ 3 w 23"/>
              <a:gd name="T41" fmla="*/ 3 h 25"/>
              <a:gd name="T42" fmla="*/ 3 w 23"/>
              <a:gd name="T43" fmla="*/ 3 h 25"/>
              <a:gd name="T44" fmla="*/ 2 w 23"/>
              <a:gd name="T45" fmla="*/ 3 h 25"/>
              <a:gd name="T46" fmla="*/ 2 w 23"/>
              <a:gd name="T47" fmla="*/ 4 h 25"/>
              <a:gd name="T48" fmla="*/ 3 w 23"/>
              <a:gd name="T49" fmla="*/ 3 h 25"/>
              <a:gd name="T50" fmla="*/ 3 w 23"/>
              <a:gd name="T51" fmla="*/ 3 h 25"/>
              <a:gd name="T52" fmla="*/ 3 w 23"/>
              <a:gd name="T53" fmla="*/ 3 h 25"/>
              <a:gd name="T54" fmla="*/ 2 w 23"/>
              <a:gd name="T55" fmla="*/ 3 h 25"/>
              <a:gd name="T56" fmla="*/ 2 w 23"/>
              <a:gd name="T57" fmla="*/ 5 h 25"/>
              <a:gd name="T58" fmla="*/ 3 w 23"/>
              <a:gd name="T59" fmla="*/ 5 h 25"/>
              <a:gd name="T60" fmla="*/ 3 w 23"/>
              <a:gd name="T61" fmla="*/ 5 h 25"/>
              <a:gd name="T62" fmla="*/ 3 w 23"/>
              <a:gd name="T63" fmla="*/ 5 h 25"/>
              <a:gd name="T64" fmla="*/ 5 w 23"/>
              <a:gd name="T65" fmla="*/ 4 h 25"/>
              <a:gd name="T66" fmla="*/ 5 w 23"/>
              <a:gd name="T67" fmla="*/ 3 h 25"/>
              <a:gd name="T68" fmla="*/ 5 w 23"/>
              <a:gd name="T69" fmla="*/ 2 h 25"/>
              <a:gd name="T70" fmla="*/ 4 w 23"/>
              <a:gd name="T71" fmla="*/ 2 h 25"/>
              <a:gd name="T72" fmla="*/ 5 w 23"/>
              <a:gd name="T73" fmla="*/ 2 h 25"/>
              <a:gd name="T74" fmla="*/ 3 w 23"/>
              <a:gd name="T75" fmla="*/ 2 h 25"/>
              <a:gd name="T76" fmla="*/ 5 w 23"/>
              <a:gd name="T77" fmla="*/ 2 h 25"/>
              <a:gd name="T78" fmla="*/ 5 w 23"/>
              <a:gd name="T79" fmla="*/ 2 h 25"/>
              <a:gd name="T80" fmla="*/ 4 w 23"/>
              <a:gd name="T81" fmla="*/ 1 h 25"/>
              <a:gd name="T82" fmla="*/ 4 w 23"/>
              <a:gd name="T83" fmla="*/ 1 h 25"/>
              <a:gd name="T84" fmla="*/ 4 w 23"/>
              <a:gd name="T85" fmla="*/ 1 h 25"/>
              <a:gd name="T86" fmla="*/ 3 w 23"/>
              <a:gd name="T87" fmla="*/ 1 h 25"/>
              <a:gd name="T88" fmla="*/ 3 w 23"/>
              <a:gd name="T89" fmla="*/ 0 h 25"/>
              <a:gd name="T90" fmla="*/ 1 w 23"/>
              <a:gd name="T91" fmla="*/ 0 h 25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23"/>
              <a:gd name="T139" fmla="*/ 0 h 25"/>
              <a:gd name="T140" fmla="*/ 23 w 23"/>
              <a:gd name="T141" fmla="*/ 25 h 25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23" h="25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1"/>
                </a:lnTo>
                <a:lnTo>
                  <a:pt x="6" y="11"/>
                </a:lnTo>
                <a:lnTo>
                  <a:pt x="6" y="10"/>
                </a:lnTo>
                <a:lnTo>
                  <a:pt x="6" y="11"/>
                </a:lnTo>
                <a:lnTo>
                  <a:pt x="10" y="11"/>
                </a:lnTo>
                <a:lnTo>
                  <a:pt x="10" y="13"/>
                </a:lnTo>
                <a:lnTo>
                  <a:pt x="12" y="13"/>
                </a:lnTo>
                <a:lnTo>
                  <a:pt x="10" y="11"/>
                </a:lnTo>
                <a:lnTo>
                  <a:pt x="10" y="13"/>
                </a:lnTo>
                <a:lnTo>
                  <a:pt x="12" y="15"/>
                </a:lnTo>
                <a:lnTo>
                  <a:pt x="12" y="17"/>
                </a:lnTo>
                <a:lnTo>
                  <a:pt x="18" y="17"/>
                </a:lnTo>
                <a:lnTo>
                  <a:pt x="19" y="15"/>
                </a:lnTo>
                <a:lnTo>
                  <a:pt x="10" y="11"/>
                </a:lnTo>
                <a:lnTo>
                  <a:pt x="12" y="17"/>
                </a:lnTo>
                <a:lnTo>
                  <a:pt x="12" y="15"/>
                </a:lnTo>
                <a:lnTo>
                  <a:pt x="10" y="13"/>
                </a:lnTo>
                <a:lnTo>
                  <a:pt x="10" y="19"/>
                </a:lnTo>
                <a:lnTo>
                  <a:pt x="16" y="13"/>
                </a:lnTo>
                <a:lnTo>
                  <a:pt x="12" y="13"/>
                </a:lnTo>
                <a:lnTo>
                  <a:pt x="12" y="15"/>
                </a:lnTo>
                <a:lnTo>
                  <a:pt x="10" y="15"/>
                </a:lnTo>
                <a:lnTo>
                  <a:pt x="10" y="23"/>
                </a:lnTo>
                <a:lnTo>
                  <a:pt x="12" y="23"/>
                </a:lnTo>
                <a:lnTo>
                  <a:pt x="12" y="25"/>
                </a:lnTo>
                <a:lnTo>
                  <a:pt x="16" y="25"/>
                </a:lnTo>
                <a:lnTo>
                  <a:pt x="21" y="19"/>
                </a:lnTo>
                <a:lnTo>
                  <a:pt x="21" y="17"/>
                </a:lnTo>
                <a:lnTo>
                  <a:pt x="23" y="11"/>
                </a:lnTo>
                <a:lnTo>
                  <a:pt x="19" y="10"/>
                </a:lnTo>
                <a:lnTo>
                  <a:pt x="21" y="11"/>
                </a:lnTo>
                <a:lnTo>
                  <a:pt x="12" y="8"/>
                </a:lnTo>
                <a:lnTo>
                  <a:pt x="21" y="10"/>
                </a:lnTo>
                <a:lnTo>
                  <a:pt x="21" y="11"/>
                </a:lnTo>
                <a:lnTo>
                  <a:pt x="19" y="6"/>
                </a:lnTo>
                <a:lnTo>
                  <a:pt x="18" y="6"/>
                </a:lnTo>
                <a:lnTo>
                  <a:pt x="18" y="4"/>
                </a:lnTo>
                <a:lnTo>
                  <a:pt x="14" y="4"/>
                </a:lnTo>
                <a:lnTo>
                  <a:pt x="14" y="2"/>
                </a:lnTo>
                <a:lnTo>
                  <a:pt x="6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6" name="Freeform 245"/>
          <xdr:cNvSpPr>
            <a:spLocks/>
          </xdr:cNvSpPr>
        </xdr:nvSpPr>
        <xdr:spPr bwMode="auto">
          <a:xfrm>
            <a:off x="347" y="2315"/>
            <a:ext cx="5" cy="4"/>
          </a:xfrm>
          <a:custGeom>
            <a:avLst/>
            <a:gdLst>
              <a:gd name="T0" fmla="*/ 3 w 26"/>
              <a:gd name="T1" fmla="*/ 2 h 17"/>
              <a:gd name="T2" fmla="*/ 3 w 26"/>
              <a:gd name="T3" fmla="*/ 3 h 17"/>
              <a:gd name="T4" fmla="*/ 3 w 26"/>
              <a:gd name="T5" fmla="*/ 3 h 17"/>
              <a:gd name="T6" fmla="*/ 3 w 26"/>
              <a:gd name="T7" fmla="*/ 3 h 17"/>
              <a:gd name="T8" fmla="*/ 5 w 26"/>
              <a:gd name="T9" fmla="*/ 3 h 17"/>
              <a:gd name="T10" fmla="*/ 5 w 26"/>
              <a:gd name="T11" fmla="*/ 3 h 17"/>
              <a:gd name="T12" fmla="*/ 5 w 26"/>
              <a:gd name="T13" fmla="*/ 3 h 17"/>
              <a:gd name="T14" fmla="*/ 5 w 26"/>
              <a:gd name="T15" fmla="*/ 2 h 17"/>
              <a:gd name="T16" fmla="*/ 5 w 26"/>
              <a:gd name="T17" fmla="*/ 0 h 17"/>
              <a:gd name="T18" fmla="*/ 2 w 26"/>
              <a:gd name="T19" fmla="*/ 0 h 17"/>
              <a:gd name="T20" fmla="*/ 1 w 26"/>
              <a:gd name="T21" fmla="*/ 2 h 17"/>
              <a:gd name="T22" fmla="*/ 2 w 26"/>
              <a:gd name="T23" fmla="*/ 3 h 17"/>
              <a:gd name="T24" fmla="*/ 3 w 26"/>
              <a:gd name="T25" fmla="*/ 0 h 17"/>
              <a:gd name="T26" fmla="*/ 2 w 26"/>
              <a:gd name="T27" fmla="*/ 0 h 17"/>
              <a:gd name="T28" fmla="*/ 3 w 26"/>
              <a:gd name="T29" fmla="*/ 1 h 17"/>
              <a:gd name="T30" fmla="*/ 2 w 26"/>
              <a:gd name="T31" fmla="*/ 0 h 17"/>
              <a:gd name="T32" fmla="*/ 1 w 26"/>
              <a:gd name="T33" fmla="*/ 0 h 17"/>
              <a:gd name="T34" fmla="*/ 0 w 26"/>
              <a:gd name="T35" fmla="*/ 1 h 17"/>
              <a:gd name="T36" fmla="*/ 0 w 26"/>
              <a:gd name="T37" fmla="*/ 3 h 17"/>
              <a:gd name="T38" fmla="*/ 0 w 26"/>
              <a:gd name="T39" fmla="*/ 4 h 17"/>
              <a:gd name="T40" fmla="*/ 0 w 26"/>
              <a:gd name="T41" fmla="*/ 4 h 17"/>
              <a:gd name="T42" fmla="*/ 0 w 26"/>
              <a:gd name="T43" fmla="*/ 4 h 17"/>
              <a:gd name="T44" fmla="*/ 2 w 26"/>
              <a:gd name="T45" fmla="*/ 4 h 17"/>
              <a:gd name="T46" fmla="*/ 2 w 26"/>
              <a:gd name="T47" fmla="*/ 4 h 17"/>
              <a:gd name="T48" fmla="*/ 2 w 26"/>
              <a:gd name="T49" fmla="*/ 4 h 17"/>
              <a:gd name="T50" fmla="*/ 2 w 26"/>
              <a:gd name="T51" fmla="*/ 3 h 17"/>
              <a:gd name="T52" fmla="*/ 2 w 26"/>
              <a:gd name="T53" fmla="*/ 3 h 17"/>
              <a:gd name="T54" fmla="*/ 2 w 26"/>
              <a:gd name="T55" fmla="*/ 3 h 17"/>
              <a:gd name="T56" fmla="*/ 2 w 26"/>
              <a:gd name="T57" fmla="*/ 3 h 17"/>
              <a:gd name="T58" fmla="*/ 1 w 26"/>
              <a:gd name="T59" fmla="*/ 3 h 17"/>
              <a:gd name="T60" fmla="*/ 2 w 26"/>
              <a:gd name="T61" fmla="*/ 3 h 17"/>
              <a:gd name="T62" fmla="*/ 2 w 26"/>
              <a:gd name="T63" fmla="*/ 3 h 17"/>
              <a:gd name="T64" fmla="*/ 3 w 26"/>
              <a:gd name="T65" fmla="*/ 3 h 17"/>
              <a:gd name="T66" fmla="*/ 3 w 26"/>
              <a:gd name="T67" fmla="*/ 3 h 17"/>
              <a:gd name="T68" fmla="*/ 3 w 26"/>
              <a:gd name="T69" fmla="*/ 3 h 17"/>
              <a:gd name="T70" fmla="*/ 3 w 26"/>
              <a:gd name="T71" fmla="*/ 1 h 17"/>
              <a:gd name="T72" fmla="*/ 3 w 26"/>
              <a:gd name="T73" fmla="*/ 1 h 17"/>
              <a:gd name="T74" fmla="*/ 3 w 26"/>
              <a:gd name="T75" fmla="*/ 2 h 17"/>
              <a:gd name="T76" fmla="*/ 3 w 26"/>
              <a:gd name="T77" fmla="*/ 2 h 17"/>
              <a:gd name="T78" fmla="*/ 3 w 26"/>
              <a:gd name="T79" fmla="*/ 2 h 17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6"/>
              <a:gd name="T121" fmla="*/ 0 h 17"/>
              <a:gd name="T122" fmla="*/ 26 w 26"/>
              <a:gd name="T123" fmla="*/ 17 h 17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6" h="17">
                <a:moveTo>
                  <a:pt x="14" y="8"/>
                </a:moveTo>
                <a:lnTo>
                  <a:pt x="14" y="12"/>
                </a:lnTo>
                <a:lnTo>
                  <a:pt x="16" y="12"/>
                </a:lnTo>
                <a:lnTo>
                  <a:pt x="16" y="13"/>
                </a:lnTo>
                <a:lnTo>
                  <a:pt x="24" y="13"/>
                </a:lnTo>
                <a:lnTo>
                  <a:pt x="24" y="12"/>
                </a:lnTo>
                <a:lnTo>
                  <a:pt x="26" y="12"/>
                </a:lnTo>
                <a:lnTo>
                  <a:pt x="26" y="8"/>
                </a:lnTo>
                <a:lnTo>
                  <a:pt x="24" y="2"/>
                </a:lnTo>
                <a:lnTo>
                  <a:pt x="8" y="2"/>
                </a:lnTo>
                <a:lnTo>
                  <a:pt x="6" y="8"/>
                </a:lnTo>
                <a:lnTo>
                  <a:pt x="8" y="12"/>
                </a:lnTo>
                <a:lnTo>
                  <a:pt x="14" y="2"/>
                </a:lnTo>
                <a:lnTo>
                  <a:pt x="12" y="2"/>
                </a:lnTo>
                <a:lnTo>
                  <a:pt x="14" y="4"/>
                </a:lnTo>
                <a:lnTo>
                  <a:pt x="12" y="0"/>
                </a:lnTo>
                <a:lnTo>
                  <a:pt x="6" y="2"/>
                </a:lnTo>
                <a:lnTo>
                  <a:pt x="2" y="4"/>
                </a:lnTo>
                <a:lnTo>
                  <a:pt x="0" y="12"/>
                </a:lnTo>
                <a:lnTo>
                  <a:pt x="0" y="15"/>
                </a:lnTo>
                <a:lnTo>
                  <a:pt x="2" y="15"/>
                </a:lnTo>
                <a:lnTo>
                  <a:pt x="2" y="17"/>
                </a:lnTo>
                <a:lnTo>
                  <a:pt x="10" y="17"/>
                </a:lnTo>
                <a:lnTo>
                  <a:pt x="10" y="15"/>
                </a:lnTo>
                <a:lnTo>
                  <a:pt x="12" y="15"/>
                </a:lnTo>
                <a:lnTo>
                  <a:pt x="12" y="12"/>
                </a:lnTo>
                <a:lnTo>
                  <a:pt x="10" y="12"/>
                </a:lnTo>
                <a:lnTo>
                  <a:pt x="10" y="13"/>
                </a:lnTo>
                <a:lnTo>
                  <a:pt x="8" y="12"/>
                </a:lnTo>
                <a:lnTo>
                  <a:pt x="6" y="12"/>
                </a:lnTo>
                <a:lnTo>
                  <a:pt x="12" y="13"/>
                </a:lnTo>
                <a:lnTo>
                  <a:pt x="10" y="13"/>
                </a:lnTo>
                <a:lnTo>
                  <a:pt x="16" y="13"/>
                </a:lnTo>
                <a:lnTo>
                  <a:pt x="16" y="12"/>
                </a:lnTo>
                <a:lnTo>
                  <a:pt x="18" y="12"/>
                </a:lnTo>
                <a:lnTo>
                  <a:pt x="18" y="4"/>
                </a:lnTo>
                <a:lnTo>
                  <a:pt x="16" y="4"/>
                </a:lnTo>
                <a:lnTo>
                  <a:pt x="18" y="8"/>
                </a:lnTo>
                <a:lnTo>
                  <a:pt x="16" y="10"/>
                </a:lnTo>
                <a:lnTo>
                  <a:pt x="14" y="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7" name="Freeform 246"/>
          <xdr:cNvSpPr>
            <a:spLocks/>
          </xdr:cNvSpPr>
        </xdr:nvSpPr>
        <xdr:spPr bwMode="auto">
          <a:xfrm>
            <a:off x="331" y="2272"/>
            <a:ext cx="3" cy="5"/>
          </a:xfrm>
          <a:custGeom>
            <a:avLst/>
            <a:gdLst>
              <a:gd name="T0" fmla="*/ 1 w 22"/>
              <a:gd name="T1" fmla="*/ 0 h 23"/>
              <a:gd name="T2" fmla="*/ 1 w 22"/>
              <a:gd name="T3" fmla="*/ 0 h 23"/>
              <a:gd name="T4" fmla="*/ 0 w 22"/>
              <a:gd name="T5" fmla="*/ 0 h 23"/>
              <a:gd name="T6" fmla="*/ 0 w 22"/>
              <a:gd name="T7" fmla="*/ 0 h 23"/>
              <a:gd name="T8" fmla="*/ 0 w 22"/>
              <a:gd name="T9" fmla="*/ 0 h 23"/>
              <a:gd name="T10" fmla="*/ 0 w 22"/>
              <a:gd name="T11" fmla="*/ 2 h 23"/>
              <a:gd name="T12" fmla="*/ 0 w 22"/>
              <a:gd name="T13" fmla="*/ 2 h 23"/>
              <a:gd name="T14" fmla="*/ 0 w 22"/>
              <a:gd name="T15" fmla="*/ 1 h 23"/>
              <a:gd name="T16" fmla="*/ 0 w 22"/>
              <a:gd name="T17" fmla="*/ 3 h 23"/>
              <a:gd name="T18" fmla="*/ 1 w 22"/>
              <a:gd name="T19" fmla="*/ 3 h 23"/>
              <a:gd name="T20" fmla="*/ 1 w 22"/>
              <a:gd name="T21" fmla="*/ 4 h 23"/>
              <a:gd name="T22" fmla="*/ 1 w 22"/>
              <a:gd name="T23" fmla="*/ 4 h 23"/>
              <a:gd name="T24" fmla="*/ 1 w 22"/>
              <a:gd name="T25" fmla="*/ 4 h 23"/>
              <a:gd name="T26" fmla="*/ 1 w 22"/>
              <a:gd name="T27" fmla="*/ 3 h 23"/>
              <a:gd name="T28" fmla="*/ 1 w 22"/>
              <a:gd name="T29" fmla="*/ 3 h 23"/>
              <a:gd name="T30" fmla="*/ 1 w 22"/>
              <a:gd name="T31" fmla="*/ 4 h 23"/>
              <a:gd name="T32" fmla="*/ 1 w 22"/>
              <a:gd name="T33" fmla="*/ 5 h 23"/>
              <a:gd name="T34" fmla="*/ 2 w 22"/>
              <a:gd name="T35" fmla="*/ 5 h 23"/>
              <a:gd name="T36" fmla="*/ 3 w 22"/>
              <a:gd name="T37" fmla="*/ 5 h 23"/>
              <a:gd name="T38" fmla="*/ 3 w 22"/>
              <a:gd name="T39" fmla="*/ 5 h 23"/>
              <a:gd name="T40" fmla="*/ 3 w 22"/>
              <a:gd name="T41" fmla="*/ 5 h 23"/>
              <a:gd name="T42" fmla="*/ 3 w 22"/>
              <a:gd name="T43" fmla="*/ 3 h 23"/>
              <a:gd name="T44" fmla="*/ 3 w 22"/>
              <a:gd name="T45" fmla="*/ 3 h 23"/>
              <a:gd name="T46" fmla="*/ 3 w 22"/>
              <a:gd name="T47" fmla="*/ 3 h 23"/>
              <a:gd name="T48" fmla="*/ 2 w 22"/>
              <a:gd name="T49" fmla="*/ 3 h 23"/>
              <a:gd name="T50" fmla="*/ 2 w 22"/>
              <a:gd name="T51" fmla="*/ 2 h 23"/>
              <a:gd name="T52" fmla="*/ 2 w 22"/>
              <a:gd name="T53" fmla="*/ 3 h 23"/>
              <a:gd name="T54" fmla="*/ 2 w 22"/>
              <a:gd name="T55" fmla="*/ 3 h 23"/>
              <a:gd name="T56" fmla="*/ 2 w 22"/>
              <a:gd name="T57" fmla="*/ 3 h 23"/>
              <a:gd name="T58" fmla="*/ 2 w 22"/>
              <a:gd name="T59" fmla="*/ 2 h 23"/>
              <a:gd name="T60" fmla="*/ 1 w 22"/>
              <a:gd name="T61" fmla="*/ 2 h 23"/>
              <a:gd name="T62" fmla="*/ 2 w 22"/>
              <a:gd name="T63" fmla="*/ 2 h 23"/>
              <a:gd name="T64" fmla="*/ 2 w 22"/>
              <a:gd name="T65" fmla="*/ 2 h 23"/>
              <a:gd name="T66" fmla="*/ 1 w 22"/>
              <a:gd name="T67" fmla="*/ 2 h 23"/>
              <a:gd name="T68" fmla="*/ 2 w 22"/>
              <a:gd name="T69" fmla="*/ 1 h 23"/>
              <a:gd name="T70" fmla="*/ 1 w 22"/>
              <a:gd name="T71" fmla="*/ 0 h 23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22"/>
              <a:gd name="T109" fmla="*/ 0 h 23"/>
              <a:gd name="T110" fmla="*/ 22 w 22"/>
              <a:gd name="T111" fmla="*/ 23 h 23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22" h="23">
                <a:moveTo>
                  <a:pt x="10" y="2"/>
                </a:move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0" y="6"/>
                </a:lnTo>
                <a:lnTo>
                  <a:pt x="2" y="15"/>
                </a:lnTo>
                <a:lnTo>
                  <a:pt x="4" y="15"/>
                </a:lnTo>
                <a:lnTo>
                  <a:pt x="4" y="17"/>
                </a:lnTo>
                <a:lnTo>
                  <a:pt x="10" y="19"/>
                </a:lnTo>
                <a:lnTo>
                  <a:pt x="6" y="17"/>
                </a:lnTo>
                <a:lnTo>
                  <a:pt x="4" y="15"/>
                </a:lnTo>
                <a:lnTo>
                  <a:pt x="4" y="14"/>
                </a:lnTo>
                <a:lnTo>
                  <a:pt x="6" y="19"/>
                </a:lnTo>
                <a:lnTo>
                  <a:pt x="10" y="21"/>
                </a:lnTo>
                <a:lnTo>
                  <a:pt x="12" y="23"/>
                </a:lnTo>
                <a:lnTo>
                  <a:pt x="20" y="23"/>
                </a:lnTo>
                <a:lnTo>
                  <a:pt x="20" y="21"/>
                </a:lnTo>
                <a:lnTo>
                  <a:pt x="22" y="21"/>
                </a:lnTo>
                <a:lnTo>
                  <a:pt x="22" y="14"/>
                </a:lnTo>
                <a:lnTo>
                  <a:pt x="20" y="14"/>
                </a:lnTo>
                <a:lnTo>
                  <a:pt x="20" y="12"/>
                </a:lnTo>
                <a:lnTo>
                  <a:pt x="16" y="12"/>
                </a:lnTo>
                <a:lnTo>
                  <a:pt x="14" y="10"/>
                </a:lnTo>
                <a:lnTo>
                  <a:pt x="14" y="12"/>
                </a:lnTo>
                <a:lnTo>
                  <a:pt x="16" y="14"/>
                </a:lnTo>
                <a:lnTo>
                  <a:pt x="16" y="12"/>
                </a:lnTo>
                <a:lnTo>
                  <a:pt x="14" y="10"/>
                </a:lnTo>
                <a:lnTo>
                  <a:pt x="10" y="8"/>
                </a:lnTo>
                <a:lnTo>
                  <a:pt x="12" y="10"/>
                </a:lnTo>
                <a:lnTo>
                  <a:pt x="12" y="8"/>
                </a:lnTo>
                <a:lnTo>
                  <a:pt x="10" y="8"/>
                </a:lnTo>
                <a:lnTo>
                  <a:pt x="12" y="6"/>
                </a:lnTo>
                <a:lnTo>
                  <a:pt x="10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8" name="Freeform 247"/>
          <xdr:cNvSpPr>
            <a:spLocks/>
          </xdr:cNvSpPr>
        </xdr:nvSpPr>
        <xdr:spPr bwMode="auto">
          <a:xfrm>
            <a:off x="347" y="2277"/>
            <a:ext cx="7" cy="5"/>
          </a:xfrm>
          <a:custGeom>
            <a:avLst/>
            <a:gdLst>
              <a:gd name="T0" fmla="*/ 6 w 33"/>
              <a:gd name="T1" fmla="*/ 3 h 18"/>
              <a:gd name="T2" fmla="*/ 7 w 33"/>
              <a:gd name="T3" fmla="*/ 3 h 18"/>
              <a:gd name="T4" fmla="*/ 7 w 33"/>
              <a:gd name="T5" fmla="*/ 3 h 18"/>
              <a:gd name="T6" fmla="*/ 7 w 33"/>
              <a:gd name="T7" fmla="*/ 1 h 18"/>
              <a:gd name="T8" fmla="*/ 7 w 33"/>
              <a:gd name="T9" fmla="*/ 1 h 18"/>
              <a:gd name="T10" fmla="*/ 7 w 33"/>
              <a:gd name="T11" fmla="*/ 0 h 18"/>
              <a:gd name="T12" fmla="*/ 6 w 33"/>
              <a:gd name="T13" fmla="*/ 0 h 18"/>
              <a:gd name="T14" fmla="*/ 6 w 33"/>
              <a:gd name="T15" fmla="*/ 0 h 18"/>
              <a:gd name="T16" fmla="*/ 5 w 33"/>
              <a:gd name="T17" fmla="*/ 0 h 18"/>
              <a:gd name="T18" fmla="*/ 5 w 33"/>
              <a:gd name="T19" fmla="*/ 1 h 18"/>
              <a:gd name="T20" fmla="*/ 4 w 33"/>
              <a:gd name="T21" fmla="*/ 1 h 18"/>
              <a:gd name="T22" fmla="*/ 4 w 33"/>
              <a:gd name="T23" fmla="*/ 2 h 18"/>
              <a:gd name="T24" fmla="*/ 3 w 33"/>
              <a:gd name="T25" fmla="*/ 2 h 18"/>
              <a:gd name="T26" fmla="*/ 3 w 33"/>
              <a:gd name="T27" fmla="*/ 2 h 18"/>
              <a:gd name="T28" fmla="*/ 4 w 33"/>
              <a:gd name="T29" fmla="*/ 2 h 18"/>
              <a:gd name="T30" fmla="*/ 4 w 33"/>
              <a:gd name="T31" fmla="*/ 2 h 18"/>
              <a:gd name="T32" fmla="*/ 4 w 33"/>
              <a:gd name="T33" fmla="*/ 2 h 18"/>
              <a:gd name="T34" fmla="*/ 3 w 33"/>
              <a:gd name="T35" fmla="*/ 1 h 18"/>
              <a:gd name="T36" fmla="*/ 2 w 33"/>
              <a:gd name="T37" fmla="*/ 1 h 18"/>
              <a:gd name="T38" fmla="*/ 0 w 33"/>
              <a:gd name="T39" fmla="*/ 1 h 18"/>
              <a:gd name="T40" fmla="*/ 0 w 33"/>
              <a:gd name="T41" fmla="*/ 1 h 18"/>
              <a:gd name="T42" fmla="*/ 0 w 33"/>
              <a:gd name="T43" fmla="*/ 1 h 18"/>
              <a:gd name="T44" fmla="*/ 0 w 33"/>
              <a:gd name="T45" fmla="*/ 3 h 18"/>
              <a:gd name="T46" fmla="*/ 0 w 33"/>
              <a:gd name="T47" fmla="*/ 3 h 18"/>
              <a:gd name="T48" fmla="*/ 0 w 33"/>
              <a:gd name="T49" fmla="*/ 4 h 18"/>
              <a:gd name="T50" fmla="*/ 1 w 33"/>
              <a:gd name="T51" fmla="*/ 4 h 18"/>
              <a:gd name="T52" fmla="*/ 2 w 33"/>
              <a:gd name="T53" fmla="*/ 4 h 18"/>
              <a:gd name="T54" fmla="*/ 2 w 33"/>
              <a:gd name="T55" fmla="*/ 4 h 18"/>
              <a:gd name="T56" fmla="*/ 2 w 33"/>
              <a:gd name="T57" fmla="*/ 4 h 18"/>
              <a:gd name="T58" fmla="*/ 4 w 33"/>
              <a:gd name="T59" fmla="*/ 5 h 18"/>
              <a:gd name="T60" fmla="*/ 5 w 33"/>
              <a:gd name="T61" fmla="*/ 4 h 18"/>
              <a:gd name="T62" fmla="*/ 5 w 33"/>
              <a:gd name="T63" fmla="*/ 4 h 18"/>
              <a:gd name="T64" fmla="*/ 6 w 33"/>
              <a:gd name="T65" fmla="*/ 4 h 18"/>
              <a:gd name="T66" fmla="*/ 6 w 33"/>
              <a:gd name="T67" fmla="*/ 3 h 18"/>
              <a:gd name="T68" fmla="*/ 6 w 33"/>
              <a:gd name="T69" fmla="*/ 4 h 18"/>
              <a:gd name="T70" fmla="*/ 6 w 33"/>
              <a:gd name="T71" fmla="*/ 3 h 18"/>
              <a:gd name="T72" fmla="*/ 6 w 33"/>
              <a:gd name="T73" fmla="*/ 3 h 18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33"/>
              <a:gd name="T112" fmla="*/ 0 h 18"/>
              <a:gd name="T113" fmla="*/ 33 w 33"/>
              <a:gd name="T114" fmla="*/ 18 h 18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33" h="18">
                <a:moveTo>
                  <a:pt x="29" y="12"/>
                </a:moveTo>
                <a:lnTo>
                  <a:pt x="31" y="10"/>
                </a:lnTo>
                <a:lnTo>
                  <a:pt x="33" y="10"/>
                </a:lnTo>
                <a:lnTo>
                  <a:pt x="33" y="4"/>
                </a:lnTo>
                <a:lnTo>
                  <a:pt x="31" y="2"/>
                </a:lnTo>
                <a:lnTo>
                  <a:pt x="31" y="0"/>
                </a:lnTo>
                <a:lnTo>
                  <a:pt x="26" y="0"/>
                </a:lnTo>
                <a:lnTo>
                  <a:pt x="28" y="0"/>
                </a:lnTo>
                <a:lnTo>
                  <a:pt x="24" y="0"/>
                </a:lnTo>
                <a:lnTo>
                  <a:pt x="22" y="2"/>
                </a:lnTo>
                <a:lnTo>
                  <a:pt x="18" y="4"/>
                </a:lnTo>
                <a:lnTo>
                  <a:pt x="18" y="6"/>
                </a:lnTo>
                <a:lnTo>
                  <a:pt x="16" y="6"/>
                </a:lnTo>
                <a:lnTo>
                  <a:pt x="16" y="8"/>
                </a:lnTo>
                <a:lnTo>
                  <a:pt x="18" y="6"/>
                </a:lnTo>
                <a:lnTo>
                  <a:pt x="18" y="8"/>
                </a:lnTo>
                <a:lnTo>
                  <a:pt x="18" y="6"/>
                </a:lnTo>
                <a:lnTo>
                  <a:pt x="12" y="4"/>
                </a:lnTo>
                <a:lnTo>
                  <a:pt x="10" y="2"/>
                </a:lnTo>
                <a:lnTo>
                  <a:pt x="2" y="2"/>
                </a:lnTo>
                <a:lnTo>
                  <a:pt x="2" y="4"/>
                </a:lnTo>
                <a:lnTo>
                  <a:pt x="0" y="4"/>
                </a:lnTo>
                <a:lnTo>
                  <a:pt x="0" y="12"/>
                </a:lnTo>
                <a:lnTo>
                  <a:pt x="2" y="12"/>
                </a:lnTo>
                <a:lnTo>
                  <a:pt x="2" y="14"/>
                </a:lnTo>
                <a:lnTo>
                  <a:pt x="6" y="14"/>
                </a:lnTo>
                <a:lnTo>
                  <a:pt x="8" y="16"/>
                </a:lnTo>
                <a:lnTo>
                  <a:pt x="10" y="14"/>
                </a:lnTo>
                <a:lnTo>
                  <a:pt x="10" y="16"/>
                </a:lnTo>
                <a:lnTo>
                  <a:pt x="18" y="18"/>
                </a:lnTo>
                <a:lnTo>
                  <a:pt x="24" y="16"/>
                </a:lnTo>
                <a:lnTo>
                  <a:pt x="24" y="14"/>
                </a:lnTo>
                <a:lnTo>
                  <a:pt x="26" y="14"/>
                </a:lnTo>
                <a:lnTo>
                  <a:pt x="26" y="12"/>
                </a:lnTo>
                <a:lnTo>
                  <a:pt x="26" y="14"/>
                </a:lnTo>
                <a:lnTo>
                  <a:pt x="28" y="12"/>
                </a:lnTo>
                <a:lnTo>
                  <a:pt x="29" y="1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49" name="Freeform 248"/>
          <xdr:cNvSpPr>
            <a:spLocks/>
          </xdr:cNvSpPr>
        </xdr:nvSpPr>
        <xdr:spPr bwMode="auto">
          <a:xfrm>
            <a:off x="235" y="2333"/>
            <a:ext cx="9" cy="7"/>
          </a:xfrm>
          <a:custGeom>
            <a:avLst/>
            <a:gdLst>
              <a:gd name="T0" fmla="*/ 7 w 38"/>
              <a:gd name="T1" fmla="*/ 7 h 33"/>
              <a:gd name="T2" fmla="*/ 7 w 38"/>
              <a:gd name="T3" fmla="*/ 7 h 33"/>
              <a:gd name="T4" fmla="*/ 8 w 38"/>
              <a:gd name="T5" fmla="*/ 7 h 33"/>
              <a:gd name="T6" fmla="*/ 9 w 38"/>
              <a:gd name="T7" fmla="*/ 6 h 33"/>
              <a:gd name="T8" fmla="*/ 9 w 38"/>
              <a:gd name="T9" fmla="*/ 5 h 33"/>
              <a:gd name="T10" fmla="*/ 9 w 38"/>
              <a:gd name="T11" fmla="*/ 5 h 33"/>
              <a:gd name="T12" fmla="*/ 9 w 38"/>
              <a:gd name="T13" fmla="*/ 6 h 33"/>
              <a:gd name="T14" fmla="*/ 9 w 38"/>
              <a:gd name="T15" fmla="*/ 4 h 33"/>
              <a:gd name="T16" fmla="*/ 8 w 38"/>
              <a:gd name="T17" fmla="*/ 4 h 33"/>
              <a:gd name="T18" fmla="*/ 9 w 38"/>
              <a:gd name="T19" fmla="*/ 4 h 33"/>
              <a:gd name="T20" fmla="*/ 8 w 38"/>
              <a:gd name="T21" fmla="*/ 4 h 33"/>
              <a:gd name="T22" fmla="*/ 8 w 38"/>
              <a:gd name="T23" fmla="*/ 4 h 33"/>
              <a:gd name="T24" fmla="*/ 8 w 38"/>
              <a:gd name="T25" fmla="*/ 3 h 33"/>
              <a:gd name="T26" fmla="*/ 7 w 38"/>
              <a:gd name="T27" fmla="*/ 2 h 33"/>
              <a:gd name="T28" fmla="*/ 6 w 38"/>
              <a:gd name="T29" fmla="*/ 2 h 33"/>
              <a:gd name="T30" fmla="*/ 6 w 38"/>
              <a:gd name="T31" fmla="*/ 2 h 33"/>
              <a:gd name="T32" fmla="*/ 7 w 38"/>
              <a:gd name="T33" fmla="*/ 3 h 33"/>
              <a:gd name="T34" fmla="*/ 7 w 38"/>
              <a:gd name="T35" fmla="*/ 3 h 33"/>
              <a:gd name="T36" fmla="*/ 7 w 38"/>
              <a:gd name="T37" fmla="*/ 2 h 33"/>
              <a:gd name="T38" fmla="*/ 6 w 38"/>
              <a:gd name="T39" fmla="*/ 2 h 33"/>
              <a:gd name="T40" fmla="*/ 6 w 38"/>
              <a:gd name="T41" fmla="*/ 2 h 33"/>
              <a:gd name="T42" fmla="*/ 6 w 38"/>
              <a:gd name="T43" fmla="*/ 2 h 33"/>
              <a:gd name="T44" fmla="*/ 6 w 38"/>
              <a:gd name="T45" fmla="*/ 1 h 33"/>
              <a:gd name="T46" fmla="*/ 4 w 38"/>
              <a:gd name="T47" fmla="*/ 1 h 33"/>
              <a:gd name="T48" fmla="*/ 3 w 38"/>
              <a:gd name="T49" fmla="*/ 0 h 33"/>
              <a:gd name="T50" fmla="*/ 3 w 38"/>
              <a:gd name="T51" fmla="*/ 1 h 33"/>
              <a:gd name="T52" fmla="*/ 3 w 38"/>
              <a:gd name="T53" fmla="*/ 0 h 33"/>
              <a:gd name="T54" fmla="*/ 1 w 38"/>
              <a:gd name="T55" fmla="*/ 0 h 33"/>
              <a:gd name="T56" fmla="*/ 2 w 38"/>
              <a:gd name="T57" fmla="*/ 0 h 33"/>
              <a:gd name="T58" fmla="*/ 2 w 38"/>
              <a:gd name="T59" fmla="*/ 0 h 33"/>
              <a:gd name="T60" fmla="*/ 1 w 38"/>
              <a:gd name="T61" fmla="*/ 0 h 33"/>
              <a:gd name="T62" fmla="*/ 0 w 38"/>
              <a:gd name="T63" fmla="*/ 1 h 33"/>
              <a:gd name="T64" fmla="*/ 0 w 38"/>
              <a:gd name="T65" fmla="*/ 2 h 33"/>
              <a:gd name="T66" fmla="*/ 0 w 38"/>
              <a:gd name="T67" fmla="*/ 2 h 33"/>
              <a:gd name="T68" fmla="*/ 1 w 38"/>
              <a:gd name="T69" fmla="*/ 2 h 33"/>
              <a:gd name="T70" fmla="*/ 1 w 38"/>
              <a:gd name="T71" fmla="*/ 2 h 33"/>
              <a:gd name="T72" fmla="*/ 1 w 38"/>
              <a:gd name="T73" fmla="*/ 2 h 33"/>
              <a:gd name="T74" fmla="*/ 2 w 38"/>
              <a:gd name="T75" fmla="*/ 3 h 33"/>
              <a:gd name="T76" fmla="*/ 3 w 38"/>
              <a:gd name="T77" fmla="*/ 3 h 33"/>
              <a:gd name="T78" fmla="*/ 4 w 38"/>
              <a:gd name="T79" fmla="*/ 3 h 33"/>
              <a:gd name="T80" fmla="*/ 4 w 38"/>
              <a:gd name="T81" fmla="*/ 3 h 33"/>
              <a:gd name="T82" fmla="*/ 4 w 38"/>
              <a:gd name="T83" fmla="*/ 3 h 33"/>
              <a:gd name="T84" fmla="*/ 4 w 38"/>
              <a:gd name="T85" fmla="*/ 4 h 33"/>
              <a:gd name="T86" fmla="*/ 5 w 38"/>
              <a:gd name="T87" fmla="*/ 4 h 33"/>
              <a:gd name="T88" fmla="*/ 4 w 38"/>
              <a:gd name="T89" fmla="*/ 3 h 33"/>
              <a:gd name="T90" fmla="*/ 4 w 38"/>
              <a:gd name="T91" fmla="*/ 4 h 33"/>
              <a:gd name="T92" fmla="*/ 5 w 38"/>
              <a:gd name="T93" fmla="*/ 4 h 33"/>
              <a:gd name="T94" fmla="*/ 5 w 38"/>
              <a:gd name="T95" fmla="*/ 4 h 33"/>
              <a:gd name="T96" fmla="*/ 6 w 38"/>
              <a:gd name="T97" fmla="*/ 4 h 33"/>
              <a:gd name="T98" fmla="*/ 5 w 38"/>
              <a:gd name="T99" fmla="*/ 4 h 33"/>
              <a:gd name="T100" fmla="*/ 5 w 38"/>
              <a:gd name="T101" fmla="*/ 4 h 33"/>
              <a:gd name="T102" fmla="*/ 5 w 38"/>
              <a:gd name="T103" fmla="*/ 4 h 33"/>
              <a:gd name="T104" fmla="*/ 5 w 38"/>
              <a:gd name="T105" fmla="*/ 5 h 33"/>
              <a:gd name="T106" fmla="*/ 6 w 38"/>
              <a:gd name="T107" fmla="*/ 5 h 33"/>
              <a:gd name="T108" fmla="*/ 6 w 38"/>
              <a:gd name="T109" fmla="*/ 6 h 33"/>
              <a:gd name="T110" fmla="*/ 7 w 38"/>
              <a:gd name="T111" fmla="*/ 6 h 33"/>
              <a:gd name="T112" fmla="*/ 6 w 38"/>
              <a:gd name="T113" fmla="*/ 6 h 33"/>
              <a:gd name="T114" fmla="*/ 7 w 38"/>
              <a:gd name="T115" fmla="*/ 7 h 33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38"/>
              <a:gd name="T175" fmla="*/ 0 h 33"/>
              <a:gd name="T176" fmla="*/ 38 w 38"/>
              <a:gd name="T177" fmla="*/ 33 h 33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38" h="33">
                <a:moveTo>
                  <a:pt x="28" y="31"/>
                </a:moveTo>
                <a:lnTo>
                  <a:pt x="30" y="33"/>
                </a:lnTo>
                <a:lnTo>
                  <a:pt x="34" y="33"/>
                </a:lnTo>
                <a:lnTo>
                  <a:pt x="38" y="29"/>
                </a:lnTo>
                <a:lnTo>
                  <a:pt x="38" y="25"/>
                </a:lnTo>
                <a:lnTo>
                  <a:pt x="36" y="23"/>
                </a:lnTo>
                <a:lnTo>
                  <a:pt x="38" y="27"/>
                </a:lnTo>
                <a:lnTo>
                  <a:pt x="36" y="21"/>
                </a:lnTo>
                <a:lnTo>
                  <a:pt x="34" y="21"/>
                </a:lnTo>
                <a:lnTo>
                  <a:pt x="36" y="21"/>
                </a:lnTo>
                <a:lnTo>
                  <a:pt x="34" y="19"/>
                </a:lnTo>
                <a:lnTo>
                  <a:pt x="34" y="17"/>
                </a:lnTo>
                <a:lnTo>
                  <a:pt x="32" y="15"/>
                </a:lnTo>
                <a:lnTo>
                  <a:pt x="30" y="11"/>
                </a:lnTo>
                <a:lnTo>
                  <a:pt x="24" y="10"/>
                </a:lnTo>
                <a:lnTo>
                  <a:pt x="26" y="10"/>
                </a:lnTo>
                <a:lnTo>
                  <a:pt x="30" y="13"/>
                </a:lnTo>
                <a:lnTo>
                  <a:pt x="30" y="15"/>
                </a:lnTo>
                <a:lnTo>
                  <a:pt x="28" y="10"/>
                </a:lnTo>
                <a:lnTo>
                  <a:pt x="26" y="10"/>
                </a:lnTo>
                <a:lnTo>
                  <a:pt x="26" y="8"/>
                </a:lnTo>
                <a:lnTo>
                  <a:pt x="24" y="8"/>
                </a:lnTo>
                <a:lnTo>
                  <a:pt x="24" y="6"/>
                </a:lnTo>
                <a:lnTo>
                  <a:pt x="16" y="4"/>
                </a:lnTo>
                <a:lnTo>
                  <a:pt x="14" y="2"/>
                </a:lnTo>
                <a:lnTo>
                  <a:pt x="12" y="4"/>
                </a:lnTo>
                <a:lnTo>
                  <a:pt x="12" y="2"/>
                </a:lnTo>
                <a:lnTo>
                  <a:pt x="6" y="0"/>
                </a:lnTo>
                <a:lnTo>
                  <a:pt x="10" y="2"/>
                </a:lnTo>
                <a:lnTo>
                  <a:pt x="8" y="0"/>
                </a:lnTo>
                <a:lnTo>
                  <a:pt x="4" y="0"/>
                </a:lnTo>
                <a:lnTo>
                  <a:pt x="0" y="4"/>
                </a:lnTo>
                <a:lnTo>
                  <a:pt x="0" y="8"/>
                </a:lnTo>
                <a:lnTo>
                  <a:pt x="2" y="10"/>
                </a:lnTo>
                <a:lnTo>
                  <a:pt x="6" y="11"/>
                </a:lnTo>
                <a:lnTo>
                  <a:pt x="4" y="10"/>
                </a:lnTo>
                <a:lnTo>
                  <a:pt x="4" y="11"/>
                </a:lnTo>
                <a:lnTo>
                  <a:pt x="10" y="13"/>
                </a:lnTo>
                <a:lnTo>
                  <a:pt x="12" y="15"/>
                </a:lnTo>
                <a:lnTo>
                  <a:pt x="16" y="13"/>
                </a:lnTo>
                <a:lnTo>
                  <a:pt x="16" y="15"/>
                </a:lnTo>
                <a:lnTo>
                  <a:pt x="18" y="15"/>
                </a:lnTo>
                <a:lnTo>
                  <a:pt x="18" y="17"/>
                </a:lnTo>
                <a:lnTo>
                  <a:pt x="20" y="17"/>
                </a:lnTo>
                <a:lnTo>
                  <a:pt x="18" y="15"/>
                </a:lnTo>
                <a:lnTo>
                  <a:pt x="18" y="19"/>
                </a:lnTo>
                <a:lnTo>
                  <a:pt x="20" y="19"/>
                </a:lnTo>
                <a:lnTo>
                  <a:pt x="22" y="21"/>
                </a:lnTo>
                <a:lnTo>
                  <a:pt x="24" y="21"/>
                </a:lnTo>
                <a:lnTo>
                  <a:pt x="22" y="19"/>
                </a:lnTo>
                <a:lnTo>
                  <a:pt x="20" y="19"/>
                </a:lnTo>
                <a:lnTo>
                  <a:pt x="22" y="21"/>
                </a:lnTo>
                <a:lnTo>
                  <a:pt x="22" y="23"/>
                </a:lnTo>
                <a:lnTo>
                  <a:pt x="24" y="25"/>
                </a:lnTo>
                <a:lnTo>
                  <a:pt x="26" y="29"/>
                </a:lnTo>
                <a:lnTo>
                  <a:pt x="28" y="29"/>
                </a:lnTo>
                <a:lnTo>
                  <a:pt x="26" y="27"/>
                </a:lnTo>
                <a:lnTo>
                  <a:pt x="28" y="31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50" name="Freeform 249"/>
          <xdr:cNvSpPr>
            <a:spLocks/>
          </xdr:cNvSpPr>
        </xdr:nvSpPr>
        <xdr:spPr bwMode="auto">
          <a:xfrm>
            <a:off x="227" y="2328"/>
            <a:ext cx="11" cy="8"/>
          </a:xfrm>
          <a:custGeom>
            <a:avLst/>
            <a:gdLst>
              <a:gd name="T0" fmla="*/ 1 w 57"/>
              <a:gd name="T1" fmla="*/ 0 h 35"/>
              <a:gd name="T2" fmla="*/ 0 w 57"/>
              <a:gd name="T3" fmla="*/ 0 h 35"/>
              <a:gd name="T4" fmla="*/ 0 w 57"/>
              <a:gd name="T5" fmla="*/ 2 h 35"/>
              <a:gd name="T6" fmla="*/ 1 w 57"/>
              <a:gd name="T7" fmla="*/ 3 h 35"/>
              <a:gd name="T8" fmla="*/ 1 w 57"/>
              <a:gd name="T9" fmla="*/ 3 h 35"/>
              <a:gd name="T10" fmla="*/ 2 w 57"/>
              <a:gd name="T11" fmla="*/ 4 h 35"/>
              <a:gd name="T12" fmla="*/ 2 w 57"/>
              <a:gd name="T13" fmla="*/ 4 h 35"/>
              <a:gd name="T14" fmla="*/ 2 w 57"/>
              <a:gd name="T15" fmla="*/ 4 h 35"/>
              <a:gd name="T16" fmla="*/ 3 w 57"/>
              <a:gd name="T17" fmla="*/ 5 h 35"/>
              <a:gd name="T18" fmla="*/ 4 w 57"/>
              <a:gd name="T19" fmla="*/ 5 h 35"/>
              <a:gd name="T20" fmla="*/ 5 w 57"/>
              <a:gd name="T21" fmla="*/ 6 h 35"/>
              <a:gd name="T22" fmla="*/ 5 w 57"/>
              <a:gd name="T23" fmla="*/ 5 h 35"/>
              <a:gd name="T24" fmla="*/ 6 w 57"/>
              <a:gd name="T25" fmla="*/ 6 h 35"/>
              <a:gd name="T26" fmla="*/ 7 w 57"/>
              <a:gd name="T27" fmla="*/ 7 h 35"/>
              <a:gd name="T28" fmla="*/ 8 w 57"/>
              <a:gd name="T29" fmla="*/ 7 h 35"/>
              <a:gd name="T30" fmla="*/ 9 w 57"/>
              <a:gd name="T31" fmla="*/ 8 h 35"/>
              <a:gd name="T32" fmla="*/ 10 w 57"/>
              <a:gd name="T33" fmla="*/ 8 h 35"/>
              <a:gd name="T34" fmla="*/ 10 w 57"/>
              <a:gd name="T35" fmla="*/ 8 h 35"/>
              <a:gd name="T36" fmla="*/ 11 w 57"/>
              <a:gd name="T37" fmla="*/ 6 h 35"/>
              <a:gd name="T38" fmla="*/ 10 w 57"/>
              <a:gd name="T39" fmla="*/ 5 h 35"/>
              <a:gd name="T40" fmla="*/ 9 w 57"/>
              <a:gd name="T41" fmla="*/ 5 h 35"/>
              <a:gd name="T42" fmla="*/ 8 w 57"/>
              <a:gd name="T43" fmla="*/ 5 h 35"/>
              <a:gd name="T44" fmla="*/ 7 w 57"/>
              <a:gd name="T45" fmla="*/ 4 h 35"/>
              <a:gd name="T46" fmla="*/ 7 w 57"/>
              <a:gd name="T47" fmla="*/ 4 h 35"/>
              <a:gd name="T48" fmla="*/ 5 w 57"/>
              <a:gd name="T49" fmla="*/ 3 h 35"/>
              <a:gd name="T50" fmla="*/ 6 w 57"/>
              <a:gd name="T51" fmla="*/ 4 h 35"/>
              <a:gd name="T52" fmla="*/ 5 w 57"/>
              <a:gd name="T53" fmla="*/ 3 h 35"/>
              <a:gd name="T54" fmla="*/ 5 w 57"/>
              <a:gd name="T55" fmla="*/ 3 h 35"/>
              <a:gd name="T56" fmla="*/ 4 w 57"/>
              <a:gd name="T57" fmla="*/ 2 h 35"/>
              <a:gd name="T58" fmla="*/ 3 w 57"/>
              <a:gd name="T59" fmla="*/ 2 h 35"/>
              <a:gd name="T60" fmla="*/ 3 w 57"/>
              <a:gd name="T61" fmla="*/ 1 h 35"/>
              <a:gd name="T62" fmla="*/ 2 w 57"/>
              <a:gd name="T63" fmla="*/ 1 h 35"/>
              <a:gd name="T64" fmla="*/ 1 w 57"/>
              <a:gd name="T65" fmla="*/ 0 h 35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57"/>
              <a:gd name="T100" fmla="*/ 0 h 35"/>
              <a:gd name="T101" fmla="*/ 57 w 57"/>
              <a:gd name="T102" fmla="*/ 35 h 35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57" h="35">
                <a:moveTo>
                  <a:pt x="10" y="0"/>
                </a:moveTo>
                <a:lnTo>
                  <a:pt x="4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4" y="10"/>
                </a:lnTo>
                <a:lnTo>
                  <a:pt x="4" y="12"/>
                </a:lnTo>
                <a:lnTo>
                  <a:pt x="8" y="14"/>
                </a:lnTo>
                <a:lnTo>
                  <a:pt x="10" y="16"/>
                </a:lnTo>
                <a:lnTo>
                  <a:pt x="10" y="14"/>
                </a:lnTo>
                <a:lnTo>
                  <a:pt x="10" y="16"/>
                </a:lnTo>
                <a:lnTo>
                  <a:pt x="12" y="16"/>
                </a:lnTo>
                <a:lnTo>
                  <a:pt x="12" y="18"/>
                </a:lnTo>
                <a:lnTo>
                  <a:pt x="16" y="18"/>
                </a:lnTo>
                <a:lnTo>
                  <a:pt x="16" y="20"/>
                </a:lnTo>
                <a:lnTo>
                  <a:pt x="20" y="22"/>
                </a:lnTo>
                <a:lnTo>
                  <a:pt x="22" y="24"/>
                </a:lnTo>
                <a:lnTo>
                  <a:pt x="24" y="24"/>
                </a:lnTo>
                <a:lnTo>
                  <a:pt x="26" y="26"/>
                </a:lnTo>
                <a:lnTo>
                  <a:pt x="28" y="26"/>
                </a:lnTo>
                <a:lnTo>
                  <a:pt x="28" y="24"/>
                </a:lnTo>
                <a:lnTo>
                  <a:pt x="28" y="26"/>
                </a:lnTo>
                <a:lnTo>
                  <a:pt x="31" y="28"/>
                </a:lnTo>
                <a:lnTo>
                  <a:pt x="33" y="30"/>
                </a:lnTo>
                <a:lnTo>
                  <a:pt x="35" y="30"/>
                </a:lnTo>
                <a:lnTo>
                  <a:pt x="37" y="32"/>
                </a:lnTo>
                <a:lnTo>
                  <a:pt x="39" y="32"/>
                </a:lnTo>
                <a:lnTo>
                  <a:pt x="41" y="34"/>
                </a:lnTo>
                <a:lnTo>
                  <a:pt x="45" y="34"/>
                </a:lnTo>
                <a:lnTo>
                  <a:pt x="47" y="35"/>
                </a:lnTo>
                <a:lnTo>
                  <a:pt x="51" y="35"/>
                </a:lnTo>
                <a:lnTo>
                  <a:pt x="49" y="35"/>
                </a:lnTo>
                <a:lnTo>
                  <a:pt x="53" y="35"/>
                </a:lnTo>
                <a:lnTo>
                  <a:pt x="57" y="32"/>
                </a:lnTo>
                <a:lnTo>
                  <a:pt x="57" y="28"/>
                </a:lnTo>
                <a:lnTo>
                  <a:pt x="53" y="24"/>
                </a:lnTo>
                <a:lnTo>
                  <a:pt x="51" y="24"/>
                </a:lnTo>
                <a:lnTo>
                  <a:pt x="49" y="22"/>
                </a:lnTo>
                <a:lnTo>
                  <a:pt x="45" y="22"/>
                </a:lnTo>
                <a:lnTo>
                  <a:pt x="43" y="20"/>
                </a:lnTo>
                <a:lnTo>
                  <a:pt x="41" y="20"/>
                </a:lnTo>
                <a:lnTo>
                  <a:pt x="39" y="18"/>
                </a:lnTo>
                <a:lnTo>
                  <a:pt x="37" y="18"/>
                </a:lnTo>
                <a:lnTo>
                  <a:pt x="35" y="16"/>
                </a:lnTo>
                <a:lnTo>
                  <a:pt x="35" y="18"/>
                </a:lnTo>
                <a:lnTo>
                  <a:pt x="35" y="16"/>
                </a:lnTo>
                <a:lnTo>
                  <a:pt x="28" y="14"/>
                </a:lnTo>
                <a:lnTo>
                  <a:pt x="29" y="14"/>
                </a:lnTo>
                <a:lnTo>
                  <a:pt x="31" y="16"/>
                </a:lnTo>
                <a:lnTo>
                  <a:pt x="28" y="12"/>
                </a:lnTo>
                <a:lnTo>
                  <a:pt x="26" y="12"/>
                </a:lnTo>
                <a:lnTo>
                  <a:pt x="24" y="10"/>
                </a:lnTo>
                <a:lnTo>
                  <a:pt x="24" y="12"/>
                </a:lnTo>
                <a:lnTo>
                  <a:pt x="24" y="10"/>
                </a:lnTo>
                <a:lnTo>
                  <a:pt x="20" y="10"/>
                </a:lnTo>
                <a:lnTo>
                  <a:pt x="20" y="8"/>
                </a:lnTo>
                <a:lnTo>
                  <a:pt x="18" y="8"/>
                </a:lnTo>
                <a:lnTo>
                  <a:pt x="18" y="6"/>
                </a:lnTo>
                <a:lnTo>
                  <a:pt x="14" y="4"/>
                </a:lnTo>
                <a:lnTo>
                  <a:pt x="12" y="2"/>
                </a:lnTo>
                <a:lnTo>
                  <a:pt x="12" y="4"/>
                </a:lnTo>
                <a:lnTo>
                  <a:pt x="12" y="2"/>
                </a:lnTo>
                <a:lnTo>
                  <a:pt x="6" y="0"/>
                </a:lnTo>
                <a:lnTo>
                  <a:pt x="10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1" name="Freeform 250"/>
          <xdr:cNvSpPr>
            <a:spLocks/>
          </xdr:cNvSpPr>
        </xdr:nvSpPr>
        <xdr:spPr bwMode="auto">
          <a:xfrm>
            <a:off x="327" y="2312"/>
            <a:ext cx="5" cy="7"/>
          </a:xfrm>
          <a:custGeom>
            <a:avLst/>
            <a:gdLst>
              <a:gd name="T0" fmla="*/ 2 w 24"/>
              <a:gd name="T1" fmla="*/ 0 h 31"/>
              <a:gd name="T2" fmla="*/ 1 w 24"/>
              <a:gd name="T3" fmla="*/ 0 h 31"/>
              <a:gd name="T4" fmla="*/ 0 w 24"/>
              <a:gd name="T5" fmla="*/ 0 h 31"/>
              <a:gd name="T6" fmla="*/ 0 w 24"/>
              <a:gd name="T7" fmla="*/ 0 h 31"/>
              <a:gd name="T8" fmla="*/ 0 w 24"/>
              <a:gd name="T9" fmla="*/ 2 h 31"/>
              <a:gd name="T10" fmla="*/ 0 w 24"/>
              <a:gd name="T11" fmla="*/ 2 h 31"/>
              <a:gd name="T12" fmla="*/ 0 w 24"/>
              <a:gd name="T13" fmla="*/ 3 h 31"/>
              <a:gd name="T14" fmla="*/ 1 w 24"/>
              <a:gd name="T15" fmla="*/ 3 h 31"/>
              <a:gd name="T16" fmla="*/ 1 w 24"/>
              <a:gd name="T17" fmla="*/ 2 h 31"/>
              <a:gd name="T18" fmla="*/ 1 w 24"/>
              <a:gd name="T19" fmla="*/ 3 h 31"/>
              <a:gd name="T20" fmla="*/ 2 w 24"/>
              <a:gd name="T21" fmla="*/ 3 h 31"/>
              <a:gd name="T22" fmla="*/ 2 w 24"/>
              <a:gd name="T23" fmla="*/ 3 h 31"/>
              <a:gd name="T24" fmla="*/ 3 w 24"/>
              <a:gd name="T25" fmla="*/ 3 h 31"/>
              <a:gd name="T26" fmla="*/ 3 w 24"/>
              <a:gd name="T27" fmla="*/ 4 h 31"/>
              <a:gd name="T28" fmla="*/ 3 w 24"/>
              <a:gd name="T29" fmla="*/ 4 h 31"/>
              <a:gd name="T30" fmla="*/ 3 w 24"/>
              <a:gd name="T31" fmla="*/ 3 h 31"/>
              <a:gd name="T32" fmla="*/ 3 w 24"/>
              <a:gd name="T33" fmla="*/ 4 h 31"/>
              <a:gd name="T34" fmla="*/ 3 w 24"/>
              <a:gd name="T35" fmla="*/ 2 h 31"/>
              <a:gd name="T36" fmla="*/ 4 w 24"/>
              <a:gd name="T37" fmla="*/ 2 h 31"/>
              <a:gd name="T38" fmla="*/ 3 w 24"/>
              <a:gd name="T39" fmla="*/ 2 h 31"/>
              <a:gd name="T40" fmla="*/ 3 w 24"/>
              <a:gd name="T41" fmla="*/ 5 h 31"/>
              <a:gd name="T42" fmla="*/ 5 w 24"/>
              <a:gd name="T43" fmla="*/ 4 h 31"/>
              <a:gd name="T44" fmla="*/ 3 w 24"/>
              <a:gd name="T45" fmla="*/ 3 h 31"/>
              <a:gd name="T46" fmla="*/ 3 w 24"/>
              <a:gd name="T47" fmla="*/ 5 h 31"/>
              <a:gd name="T48" fmla="*/ 2 w 24"/>
              <a:gd name="T49" fmla="*/ 5 h 31"/>
              <a:gd name="T50" fmla="*/ 2 w 24"/>
              <a:gd name="T51" fmla="*/ 6 h 31"/>
              <a:gd name="T52" fmla="*/ 2 w 24"/>
              <a:gd name="T53" fmla="*/ 5 h 31"/>
              <a:gd name="T54" fmla="*/ 2 w 24"/>
              <a:gd name="T55" fmla="*/ 5 h 31"/>
              <a:gd name="T56" fmla="*/ 2 w 24"/>
              <a:gd name="T57" fmla="*/ 7 h 31"/>
              <a:gd name="T58" fmla="*/ 2 w 24"/>
              <a:gd name="T59" fmla="*/ 7 h 31"/>
              <a:gd name="T60" fmla="*/ 2 w 24"/>
              <a:gd name="T61" fmla="*/ 7 h 31"/>
              <a:gd name="T62" fmla="*/ 4 w 24"/>
              <a:gd name="T63" fmla="*/ 7 h 31"/>
              <a:gd name="T64" fmla="*/ 4 w 24"/>
              <a:gd name="T65" fmla="*/ 7 h 31"/>
              <a:gd name="T66" fmla="*/ 4 w 24"/>
              <a:gd name="T67" fmla="*/ 6 h 31"/>
              <a:gd name="T68" fmla="*/ 4 w 24"/>
              <a:gd name="T69" fmla="*/ 6 h 31"/>
              <a:gd name="T70" fmla="*/ 4 w 24"/>
              <a:gd name="T71" fmla="*/ 6 h 31"/>
              <a:gd name="T72" fmla="*/ 4 w 24"/>
              <a:gd name="T73" fmla="*/ 5 h 31"/>
              <a:gd name="T74" fmla="*/ 3 w 24"/>
              <a:gd name="T75" fmla="*/ 4 h 31"/>
              <a:gd name="T76" fmla="*/ 4 w 24"/>
              <a:gd name="T77" fmla="*/ 3 h 31"/>
              <a:gd name="T78" fmla="*/ 4 w 24"/>
              <a:gd name="T79" fmla="*/ 4 h 31"/>
              <a:gd name="T80" fmla="*/ 4 w 24"/>
              <a:gd name="T81" fmla="*/ 5 h 31"/>
              <a:gd name="T82" fmla="*/ 5 w 24"/>
              <a:gd name="T83" fmla="*/ 4 h 31"/>
              <a:gd name="T84" fmla="*/ 5 w 24"/>
              <a:gd name="T85" fmla="*/ 4 h 31"/>
              <a:gd name="T86" fmla="*/ 5 w 24"/>
              <a:gd name="T87" fmla="*/ 3 h 31"/>
              <a:gd name="T88" fmla="*/ 5 w 24"/>
              <a:gd name="T89" fmla="*/ 3 h 31"/>
              <a:gd name="T90" fmla="*/ 5 w 24"/>
              <a:gd name="T91" fmla="*/ 2 h 31"/>
              <a:gd name="T92" fmla="*/ 4 w 24"/>
              <a:gd name="T93" fmla="*/ 2 h 31"/>
              <a:gd name="T94" fmla="*/ 4 w 24"/>
              <a:gd name="T95" fmla="*/ 1 h 31"/>
              <a:gd name="T96" fmla="*/ 4 w 24"/>
              <a:gd name="T97" fmla="*/ 1 h 31"/>
              <a:gd name="T98" fmla="*/ 4 w 24"/>
              <a:gd name="T99" fmla="*/ 1 h 31"/>
              <a:gd name="T100" fmla="*/ 3 w 24"/>
              <a:gd name="T101" fmla="*/ 1 h 31"/>
              <a:gd name="T102" fmla="*/ 3 w 24"/>
              <a:gd name="T103" fmla="*/ 0 h 31"/>
              <a:gd name="T104" fmla="*/ 1 w 24"/>
              <a:gd name="T105" fmla="*/ 0 h 31"/>
              <a:gd name="T106" fmla="*/ 2 w 24"/>
              <a:gd name="T107" fmla="*/ 0 h 31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24"/>
              <a:gd name="T163" fmla="*/ 0 h 31"/>
              <a:gd name="T164" fmla="*/ 24 w 24"/>
              <a:gd name="T165" fmla="*/ 31 h 31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24" h="31">
                <a:moveTo>
                  <a:pt x="8" y="0"/>
                </a:moveTo>
                <a:lnTo>
                  <a:pt x="4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6" y="10"/>
                </a:lnTo>
                <a:lnTo>
                  <a:pt x="6" y="12"/>
                </a:lnTo>
                <a:lnTo>
                  <a:pt x="10" y="12"/>
                </a:lnTo>
                <a:lnTo>
                  <a:pt x="10" y="14"/>
                </a:lnTo>
                <a:lnTo>
                  <a:pt x="12" y="14"/>
                </a:lnTo>
                <a:lnTo>
                  <a:pt x="12" y="16"/>
                </a:lnTo>
                <a:lnTo>
                  <a:pt x="14" y="16"/>
                </a:lnTo>
                <a:lnTo>
                  <a:pt x="12" y="14"/>
                </a:lnTo>
                <a:lnTo>
                  <a:pt x="12" y="16"/>
                </a:lnTo>
                <a:lnTo>
                  <a:pt x="14" y="10"/>
                </a:lnTo>
                <a:lnTo>
                  <a:pt x="18" y="8"/>
                </a:lnTo>
                <a:lnTo>
                  <a:pt x="12" y="10"/>
                </a:lnTo>
                <a:lnTo>
                  <a:pt x="12" y="22"/>
                </a:lnTo>
                <a:lnTo>
                  <a:pt x="24" y="18"/>
                </a:lnTo>
                <a:lnTo>
                  <a:pt x="12" y="14"/>
                </a:lnTo>
                <a:lnTo>
                  <a:pt x="12" y="20"/>
                </a:lnTo>
                <a:lnTo>
                  <a:pt x="10" y="20"/>
                </a:lnTo>
                <a:lnTo>
                  <a:pt x="8" y="26"/>
                </a:lnTo>
                <a:lnTo>
                  <a:pt x="10" y="22"/>
                </a:lnTo>
                <a:lnTo>
                  <a:pt x="8" y="22"/>
                </a:lnTo>
                <a:lnTo>
                  <a:pt x="8" y="29"/>
                </a:lnTo>
                <a:lnTo>
                  <a:pt x="10" y="29"/>
                </a:lnTo>
                <a:lnTo>
                  <a:pt x="10" y="31"/>
                </a:lnTo>
                <a:lnTo>
                  <a:pt x="18" y="31"/>
                </a:lnTo>
                <a:lnTo>
                  <a:pt x="18" y="29"/>
                </a:lnTo>
                <a:lnTo>
                  <a:pt x="20" y="26"/>
                </a:lnTo>
                <a:lnTo>
                  <a:pt x="18" y="27"/>
                </a:lnTo>
                <a:lnTo>
                  <a:pt x="20" y="27"/>
                </a:lnTo>
                <a:lnTo>
                  <a:pt x="20" y="22"/>
                </a:lnTo>
                <a:lnTo>
                  <a:pt x="12" y="18"/>
                </a:lnTo>
                <a:lnTo>
                  <a:pt x="20" y="14"/>
                </a:lnTo>
                <a:lnTo>
                  <a:pt x="20" y="18"/>
                </a:lnTo>
                <a:lnTo>
                  <a:pt x="18" y="20"/>
                </a:lnTo>
                <a:lnTo>
                  <a:pt x="22" y="18"/>
                </a:lnTo>
                <a:lnTo>
                  <a:pt x="24" y="16"/>
                </a:lnTo>
                <a:lnTo>
                  <a:pt x="24" y="12"/>
                </a:lnTo>
                <a:lnTo>
                  <a:pt x="24" y="14"/>
                </a:lnTo>
                <a:lnTo>
                  <a:pt x="22" y="8"/>
                </a:lnTo>
                <a:lnTo>
                  <a:pt x="20" y="8"/>
                </a:lnTo>
                <a:lnTo>
                  <a:pt x="20" y="6"/>
                </a:lnTo>
                <a:lnTo>
                  <a:pt x="18" y="6"/>
                </a:lnTo>
                <a:lnTo>
                  <a:pt x="18" y="4"/>
                </a:lnTo>
                <a:lnTo>
                  <a:pt x="14" y="4"/>
                </a:lnTo>
                <a:lnTo>
                  <a:pt x="14" y="2"/>
                </a:lnTo>
                <a:lnTo>
                  <a:pt x="6" y="0"/>
                </a:lnTo>
                <a:lnTo>
                  <a:pt x="8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2" name="Freeform 251"/>
          <xdr:cNvSpPr>
            <a:spLocks/>
          </xdr:cNvSpPr>
        </xdr:nvSpPr>
        <xdr:spPr bwMode="auto">
          <a:xfrm>
            <a:off x="311" y="2335"/>
            <a:ext cx="9" cy="4"/>
          </a:xfrm>
          <a:custGeom>
            <a:avLst/>
            <a:gdLst>
              <a:gd name="T0" fmla="*/ 9 w 37"/>
              <a:gd name="T1" fmla="*/ 2 h 21"/>
              <a:gd name="T2" fmla="*/ 9 w 37"/>
              <a:gd name="T3" fmla="*/ 2 h 21"/>
              <a:gd name="T4" fmla="*/ 9 w 37"/>
              <a:gd name="T5" fmla="*/ 0 h 21"/>
              <a:gd name="T6" fmla="*/ 9 w 37"/>
              <a:gd name="T7" fmla="*/ 0 h 21"/>
              <a:gd name="T8" fmla="*/ 9 w 37"/>
              <a:gd name="T9" fmla="*/ 0 h 21"/>
              <a:gd name="T10" fmla="*/ 7 w 37"/>
              <a:gd name="T11" fmla="*/ 0 h 21"/>
              <a:gd name="T12" fmla="*/ 7 w 37"/>
              <a:gd name="T13" fmla="*/ 0 h 21"/>
              <a:gd name="T14" fmla="*/ 8 w 37"/>
              <a:gd name="T15" fmla="*/ 0 h 21"/>
              <a:gd name="T16" fmla="*/ 7 w 37"/>
              <a:gd name="T17" fmla="*/ 0 h 21"/>
              <a:gd name="T18" fmla="*/ 6 w 37"/>
              <a:gd name="T19" fmla="*/ 0 h 21"/>
              <a:gd name="T20" fmla="*/ 5 w 37"/>
              <a:gd name="T21" fmla="*/ 1 h 21"/>
              <a:gd name="T22" fmla="*/ 5 w 37"/>
              <a:gd name="T23" fmla="*/ 1 h 21"/>
              <a:gd name="T24" fmla="*/ 5 w 37"/>
              <a:gd name="T25" fmla="*/ 1 h 21"/>
              <a:gd name="T26" fmla="*/ 5 w 37"/>
              <a:gd name="T27" fmla="*/ 1 h 21"/>
              <a:gd name="T28" fmla="*/ 4 w 37"/>
              <a:gd name="T29" fmla="*/ 1 h 21"/>
              <a:gd name="T30" fmla="*/ 4 w 37"/>
              <a:gd name="T31" fmla="*/ 2 h 21"/>
              <a:gd name="T32" fmla="*/ 3 w 37"/>
              <a:gd name="T33" fmla="*/ 2 h 21"/>
              <a:gd name="T34" fmla="*/ 3 w 37"/>
              <a:gd name="T35" fmla="*/ 3 h 21"/>
              <a:gd name="T36" fmla="*/ 5 w 37"/>
              <a:gd name="T37" fmla="*/ 2 h 21"/>
              <a:gd name="T38" fmla="*/ 4 w 37"/>
              <a:gd name="T39" fmla="*/ 2 h 21"/>
              <a:gd name="T40" fmla="*/ 5 w 37"/>
              <a:gd name="T41" fmla="*/ 2 h 21"/>
              <a:gd name="T42" fmla="*/ 5 w 37"/>
              <a:gd name="T43" fmla="*/ 2 h 21"/>
              <a:gd name="T44" fmla="*/ 1 w 37"/>
              <a:gd name="T45" fmla="*/ 1 h 21"/>
              <a:gd name="T46" fmla="*/ 2 w 37"/>
              <a:gd name="T47" fmla="*/ 2 h 21"/>
              <a:gd name="T48" fmla="*/ 2 w 37"/>
              <a:gd name="T49" fmla="*/ 1 h 21"/>
              <a:gd name="T50" fmla="*/ 0 w 37"/>
              <a:gd name="T51" fmla="*/ 1 h 21"/>
              <a:gd name="T52" fmla="*/ 0 w 37"/>
              <a:gd name="T53" fmla="*/ 2 h 21"/>
              <a:gd name="T54" fmla="*/ 0 w 37"/>
              <a:gd name="T55" fmla="*/ 2 h 21"/>
              <a:gd name="T56" fmla="*/ 0 w 37"/>
              <a:gd name="T57" fmla="*/ 3 h 21"/>
              <a:gd name="T58" fmla="*/ 0 w 37"/>
              <a:gd name="T59" fmla="*/ 3 h 21"/>
              <a:gd name="T60" fmla="*/ 1 w 37"/>
              <a:gd name="T61" fmla="*/ 4 h 21"/>
              <a:gd name="T62" fmla="*/ 3 w 37"/>
              <a:gd name="T63" fmla="*/ 3 h 21"/>
              <a:gd name="T64" fmla="*/ 3 w 37"/>
              <a:gd name="T65" fmla="*/ 4 h 21"/>
              <a:gd name="T66" fmla="*/ 4 w 37"/>
              <a:gd name="T67" fmla="*/ 4 h 21"/>
              <a:gd name="T68" fmla="*/ 4 w 37"/>
              <a:gd name="T69" fmla="*/ 4 h 21"/>
              <a:gd name="T70" fmla="*/ 5 w 37"/>
              <a:gd name="T71" fmla="*/ 4 h 21"/>
              <a:gd name="T72" fmla="*/ 5 w 37"/>
              <a:gd name="T73" fmla="*/ 4 h 21"/>
              <a:gd name="T74" fmla="*/ 6 w 37"/>
              <a:gd name="T75" fmla="*/ 4 h 21"/>
              <a:gd name="T76" fmla="*/ 6 w 37"/>
              <a:gd name="T77" fmla="*/ 3 h 21"/>
              <a:gd name="T78" fmla="*/ 5 w 37"/>
              <a:gd name="T79" fmla="*/ 3 h 21"/>
              <a:gd name="T80" fmla="*/ 6 w 37"/>
              <a:gd name="T81" fmla="*/ 3 h 21"/>
              <a:gd name="T82" fmla="*/ 6 w 37"/>
              <a:gd name="T83" fmla="*/ 3 h 21"/>
              <a:gd name="T84" fmla="*/ 6 w 37"/>
              <a:gd name="T85" fmla="*/ 3 h 21"/>
              <a:gd name="T86" fmla="*/ 6 w 37"/>
              <a:gd name="T87" fmla="*/ 3 h 21"/>
              <a:gd name="T88" fmla="*/ 7 w 37"/>
              <a:gd name="T89" fmla="*/ 2 h 21"/>
              <a:gd name="T90" fmla="*/ 7 w 37"/>
              <a:gd name="T91" fmla="*/ 2 h 21"/>
              <a:gd name="T92" fmla="*/ 7 w 37"/>
              <a:gd name="T93" fmla="*/ 2 h 21"/>
              <a:gd name="T94" fmla="*/ 8 w 37"/>
              <a:gd name="T95" fmla="*/ 2 h 21"/>
              <a:gd name="T96" fmla="*/ 9 w 37"/>
              <a:gd name="T97" fmla="*/ 2 h 21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37"/>
              <a:gd name="T148" fmla="*/ 0 h 21"/>
              <a:gd name="T149" fmla="*/ 37 w 37"/>
              <a:gd name="T150" fmla="*/ 21 h 21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37" h="21">
                <a:moveTo>
                  <a:pt x="35" y="9"/>
                </a:moveTo>
                <a:lnTo>
                  <a:pt x="37" y="9"/>
                </a:lnTo>
                <a:lnTo>
                  <a:pt x="37" y="2"/>
                </a:lnTo>
                <a:lnTo>
                  <a:pt x="35" y="2"/>
                </a:lnTo>
                <a:lnTo>
                  <a:pt x="35" y="0"/>
                </a:lnTo>
                <a:lnTo>
                  <a:pt x="27" y="0"/>
                </a:lnTo>
                <a:lnTo>
                  <a:pt x="27" y="2"/>
                </a:lnTo>
                <a:lnTo>
                  <a:pt x="31" y="0"/>
                </a:lnTo>
                <a:lnTo>
                  <a:pt x="27" y="0"/>
                </a:lnTo>
                <a:lnTo>
                  <a:pt x="25" y="2"/>
                </a:lnTo>
                <a:lnTo>
                  <a:pt x="21" y="4"/>
                </a:lnTo>
                <a:lnTo>
                  <a:pt x="21" y="6"/>
                </a:lnTo>
                <a:lnTo>
                  <a:pt x="21" y="4"/>
                </a:lnTo>
                <a:lnTo>
                  <a:pt x="19" y="6"/>
                </a:lnTo>
                <a:lnTo>
                  <a:pt x="15" y="7"/>
                </a:lnTo>
                <a:lnTo>
                  <a:pt x="15" y="9"/>
                </a:lnTo>
                <a:lnTo>
                  <a:pt x="13" y="9"/>
                </a:lnTo>
                <a:lnTo>
                  <a:pt x="11" y="15"/>
                </a:lnTo>
                <a:lnTo>
                  <a:pt x="19" y="9"/>
                </a:lnTo>
                <a:lnTo>
                  <a:pt x="17" y="9"/>
                </a:lnTo>
                <a:lnTo>
                  <a:pt x="19" y="11"/>
                </a:lnTo>
                <a:lnTo>
                  <a:pt x="19" y="9"/>
                </a:lnTo>
                <a:lnTo>
                  <a:pt x="6" y="7"/>
                </a:lnTo>
                <a:lnTo>
                  <a:pt x="9" y="9"/>
                </a:lnTo>
                <a:lnTo>
                  <a:pt x="9" y="7"/>
                </a:lnTo>
                <a:lnTo>
                  <a:pt x="2" y="7"/>
                </a:lnTo>
                <a:lnTo>
                  <a:pt x="2" y="9"/>
                </a:lnTo>
                <a:lnTo>
                  <a:pt x="0" y="9"/>
                </a:lnTo>
                <a:lnTo>
                  <a:pt x="0" y="17"/>
                </a:lnTo>
                <a:lnTo>
                  <a:pt x="2" y="17"/>
                </a:lnTo>
                <a:lnTo>
                  <a:pt x="6" y="19"/>
                </a:lnTo>
                <a:lnTo>
                  <a:pt x="11" y="17"/>
                </a:lnTo>
                <a:lnTo>
                  <a:pt x="11" y="19"/>
                </a:lnTo>
                <a:lnTo>
                  <a:pt x="17" y="21"/>
                </a:lnTo>
                <a:lnTo>
                  <a:pt x="15" y="21"/>
                </a:lnTo>
                <a:lnTo>
                  <a:pt x="21" y="21"/>
                </a:lnTo>
                <a:lnTo>
                  <a:pt x="21" y="19"/>
                </a:lnTo>
                <a:lnTo>
                  <a:pt x="23" y="19"/>
                </a:lnTo>
                <a:lnTo>
                  <a:pt x="23" y="15"/>
                </a:lnTo>
                <a:lnTo>
                  <a:pt x="21" y="17"/>
                </a:lnTo>
                <a:lnTo>
                  <a:pt x="23" y="17"/>
                </a:lnTo>
                <a:lnTo>
                  <a:pt x="23" y="15"/>
                </a:lnTo>
                <a:lnTo>
                  <a:pt x="23" y="17"/>
                </a:lnTo>
                <a:lnTo>
                  <a:pt x="25" y="15"/>
                </a:lnTo>
                <a:lnTo>
                  <a:pt x="29" y="13"/>
                </a:lnTo>
                <a:lnTo>
                  <a:pt x="29" y="11"/>
                </a:lnTo>
                <a:lnTo>
                  <a:pt x="29" y="13"/>
                </a:lnTo>
                <a:lnTo>
                  <a:pt x="31" y="11"/>
                </a:lnTo>
                <a:lnTo>
                  <a:pt x="35" y="9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3" name="Freeform 252"/>
          <xdr:cNvSpPr>
            <a:spLocks/>
          </xdr:cNvSpPr>
        </xdr:nvSpPr>
        <xdr:spPr bwMode="auto">
          <a:xfrm>
            <a:off x="312" y="2311"/>
            <a:ext cx="6" cy="4"/>
          </a:xfrm>
          <a:custGeom>
            <a:avLst/>
            <a:gdLst>
              <a:gd name="T0" fmla="*/ 5 w 29"/>
              <a:gd name="T1" fmla="*/ 2 h 20"/>
              <a:gd name="T2" fmla="*/ 6 w 29"/>
              <a:gd name="T3" fmla="*/ 2 h 20"/>
              <a:gd name="T4" fmla="*/ 6 w 29"/>
              <a:gd name="T5" fmla="*/ 2 h 20"/>
              <a:gd name="T6" fmla="*/ 6 w 29"/>
              <a:gd name="T7" fmla="*/ 2 h 20"/>
              <a:gd name="T8" fmla="*/ 6 w 29"/>
              <a:gd name="T9" fmla="*/ 0 h 20"/>
              <a:gd name="T10" fmla="*/ 6 w 29"/>
              <a:gd name="T11" fmla="*/ 0 h 20"/>
              <a:gd name="T12" fmla="*/ 6 w 29"/>
              <a:gd name="T13" fmla="*/ 0 h 20"/>
              <a:gd name="T14" fmla="*/ 5 w 29"/>
              <a:gd name="T15" fmla="*/ 0 h 20"/>
              <a:gd name="T16" fmla="*/ 1 w 29"/>
              <a:gd name="T17" fmla="*/ 0 h 20"/>
              <a:gd name="T18" fmla="*/ 1 w 29"/>
              <a:gd name="T19" fmla="*/ 2 h 20"/>
              <a:gd name="T20" fmla="*/ 1 w 29"/>
              <a:gd name="T21" fmla="*/ 1 h 20"/>
              <a:gd name="T22" fmla="*/ 2 w 29"/>
              <a:gd name="T23" fmla="*/ 0 h 20"/>
              <a:gd name="T24" fmla="*/ 1 w 29"/>
              <a:gd name="T25" fmla="*/ 1 h 20"/>
              <a:gd name="T26" fmla="*/ 0 w 29"/>
              <a:gd name="T27" fmla="*/ 2 h 20"/>
              <a:gd name="T28" fmla="*/ 0 w 29"/>
              <a:gd name="T29" fmla="*/ 3 h 20"/>
              <a:gd name="T30" fmla="*/ 1 w 29"/>
              <a:gd name="T31" fmla="*/ 3 h 20"/>
              <a:gd name="T32" fmla="*/ 0 w 29"/>
              <a:gd name="T33" fmla="*/ 3 h 20"/>
              <a:gd name="T34" fmla="*/ 0 w 29"/>
              <a:gd name="T35" fmla="*/ 3 h 20"/>
              <a:gd name="T36" fmla="*/ 1 w 29"/>
              <a:gd name="T37" fmla="*/ 4 h 20"/>
              <a:gd name="T38" fmla="*/ 1 w 29"/>
              <a:gd name="T39" fmla="*/ 4 h 20"/>
              <a:gd name="T40" fmla="*/ 2 w 29"/>
              <a:gd name="T41" fmla="*/ 4 h 20"/>
              <a:gd name="T42" fmla="*/ 2 w 29"/>
              <a:gd name="T43" fmla="*/ 4 h 20"/>
              <a:gd name="T44" fmla="*/ 3 w 29"/>
              <a:gd name="T45" fmla="*/ 4 h 20"/>
              <a:gd name="T46" fmla="*/ 3 w 29"/>
              <a:gd name="T47" fmla="*/ 2 h 20"/>
              <a:gd name="T48" fmla="*/ 3 w 29"/>
              <a:gd name="T49" fmla="*/ 3 h 20"/>
              <a:gd name="T50" fmla="*/ 2 w 29"/>
              <a:gd name="T51" fmla="*/ 2 h 20"/>
              <a:gd name="T52" fmla="*/ 2 w 29"/>
              <a:gd name="T53" fmla="*/ 2 h 20"/>
              <a:gd name="T54" fmla="*/ 3 w 29"/>
              <a:gd name="T55" fmla="*/ 2 h 20"/>
              <a:gd name="T56" fmla="*/ 2 w 29"/>
              <a:gd name="T57" fmla="*/ 2 h 20"/>
              <a:gd name="T58" fmla="*/ 2 w 29"/>
              <a:gd name="T59" fmla="*/ 3 h 20"/>
              <a:gd name="T60" fmla="*/ 3 w 29"/>
              <a:gd name="T61" fmla="*/ 3 h 20"/>
              <a:gd name="T62" fmla="*/ 3 w 29"/>
              <a:gd name="T63" fmla="*/ 2 h 20"/>
              <a:gd name="T64" fmla="*/ 4 w 29"/>
              <a:gd name="T65" fmla="*/ 2 h 20"/>
              <a:gd name="T66" fmla="*/ 4 w 29"/>
              <a:gd name="T67" fmla="*/ 2 h 20"/>
              <a:gd name="T68" fmla="*/ 3 w 29"/>
              <a:gd name="T69" fmla="*/ 2 h 20"/>
              <a:gd name="T70" fmla="*/ 5 w 29"/>
              <a:gd name="T71" fmla="*/ 2 h 20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29"/>
              <a:gd name="T109" fmla="*/ 0 h 20"/>
              <a:gd name="T110" fmla="*/ 29 w 29"/>
              <a:gd name="T111" fmla="*/ 20 h 20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29" h="20">
                <a:moveTo>
                  <a:pt x="23" y="12"/>
                </a:moveTo>
                <a:lnTo>
                  <a:pt x="27" y="12"/>
                </a:lnTo>
                <a:lnTo>
                  <a:pt x="27" y="10"/>
                </a:lnTo>
                <a:lnTo>
                  <a:pt x="29" y="10"/>
                </a:lnTo>
                <a:lnTo>
                  <a:pt x="29" y="2"/>
                </a:lnTo>
                <a:lnTo>
                  <a:pt x="27" y="2"/>
                </a:lnTo>
                <a:lnTo>
                  <a:pt x="27" y="0"/>
                </a:lnTo>
                <a:lnTo>
                  <a:pt x="23" y="0"/>
                </a:lnTo>
                <a:lnTo>
                  <a:pt x="7" y="2"/>
                </a:lnTo>
                <a:lnTo>
                  <a:pt x="5" y="8"/>
                </a:lnTo>
                <a:lnTo>
                  <a:pt x="5" y="6"/>
                </a:lnTo>
                <a:lnTo>
                  <a:pt x="11" y="2"/>
                </a:lnTo>
                <a:lnTo>
                  <a:pt x="3" y="4"/>
                </a:lnTo>
                <a:lnTo>
                  <a:pt x="2" y="8"/>
                </a:lnTo>
                <a:lnTo>
                  <a:pt x="0" y="14"/>
                </a:lnTo>
                <a:lnTo>
                  <a:pt x="3" y="16"/>
                </a:lnTo>
                <a:lnTo>
                  <a:pt x="2" y="14"/>
                </a:lnTo>
                <a:lnTo>
                  <a:pt x="2" y="16"/>
                </a:lnTo>
                <a:lnTo>
                  <a:pt x="3" y="18"/>
                </a:lnTo>
                <a:lnTo>
                  <a:pt x="3" y="20"/>
                </a:lnTo>
                <a:lnTo>
                  <a:pt x="9" y="20"/>
                </a:lnTo>
                <a:lnTo>
                  <a:pt x="11" y="18"/>
                </a:lnTo>
                <a:lnTo>
                  <a:pt x="13" y="18"/>
                </a:lnTo>
                <a:lnTo>
                  <a:pt x="13" y="12"/>
                </a:lnTo>
                <a:lnTo>
                  <a:pt x="13" y="14"/>
                </a:lnTo>
                <a:lnTo>
                  <a:pt x="11" y="8"/>
                </a:lnTo>
                <a:lnTo>
                  <a:pt x="11" y="10"/>
                </a:lnTo>
                <a:lnTo>
                  <a:pt x="13" y="12"/>
                </a:lnTo>
                <a:lnTo>
                  <a:pt x="11" y="12"/>
                </a:lnTo>
                <a:lnTo>
                  <a:pt x="11" y="14"/>
                </a:lnTo>
                <a:lnTo>
                  <a:pt x="15" y="14"/>
                </a:lnTo>
                <a:lnTo>
                  <a:pt x="15" y="12"/>
                </a:lnTo>
                <a:lnTo>
                  <a:pt x="17" y="10"/>
                </a:lnTo>
                <a:lnTo>
                  <a:pt x="17" y="8"/>
                </a:lnTo>
                <a:lnTo>
                  <a:pt x="15" y="10"/>
                </a:lnTo>
                <a:lnTo>
                  <a:pt x="23" y="1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4" name="Freeform 253"/>
          <xdr:cNvSpPr>
            <a:spLocks/>
          </xdr:cNvSpPr>
        </xdr:nvSpPr>
        <xdr:spPr bwMode="auto">
          <a:xfrm>
            <a:off x="222" y="2328"/>
            <a:ext cx="7" cy="5"/>
          </a:xfrm>
          <a:custGeom>
            <a:avLst/>
            <a:gdLst>
              <a:gd name="T0" fmla="*/ 0 w 32"/>
              <a:gd name="T1" fmla="*/ 4 h 25"/>
              <a:gd name="T2" fmla="*/ 0 w 32"/>
              <a:gd name="T3" fmla="*/ 5 h 25"/>
              <a:gd name="T4" fmla="*/ 1 w 32"/>
              <a:gd name="T5" fmla="*/ 5 h 25"/>
              <a:gd name="T6" fmla="*/ 1 w 32"/>
              <a:gd name="T7" fmla="*/ 5 h 25"/>
              <a:gd name="T8" fmla="*/ 3 w 32"/>
              <a:gd name="T9" fmla="*/ 5 h 25"/>
              <a:gd name="T10" fmla="*/ 3 w 32"/>
              <a:gd name="T11" fmla="*/ 5 h 25"/>
              <a:gd name="T12" fmla="*/ 3 w 32"/>
              <a:gd name="T13" fmla="*/ 4 h 25"/>
              <a:gd name="T14" fmla="*/ 3 w 32"/>
              <a:gd name="T15" fmla="*/ 3 h 25"/>
              <a:gd name="T16" fmla="*/ 3 w 32"/>
              <a:gd name="T17" fmla="*/ 4 h 25"/>
              <a:gd name="T18" fmla="*/ 3 w 32"/>
              <a:gd name="T19" fmla="*/ 3 h 25"/>
              <a:gd name="T20" fmla="*/ 3 w 32"/>
              <a:gd name="T21" fmla="*/ 3 h 25"/>
              <a:gd name="T22" fmla="*/ 3 w 32"/>
              <a:gd name="T23" fmla="*/ 3 h 25"/>
              <a:gd name="T24" fmla="*/ 3 w 32"/>
              <a:gd name="T25" fmla="*/ 2 h 25"/>
              <a:gd name="T26" fmla="*/ 3 w 32"/>
              <a:gd name="T27" fmla="*/ 2 h 25"/>
              <a:gd name="T28" fmla="*/ 3 w 32"/>
              <a:gd name="T29" fmla="*/ 2 h 25"/>
              <a:gd name="T30" fmla="*/ 3 w 32"/>
              <a:gd name="T31" fmla="*/ 2 h 25"/>
              <a:gd name="T32" fmla="*/ 2 w 32"/>
              <a:gd name="T33" fmla="*/ 2 h 25"/>
              <a:gd name="T34" fmla="*/ 2 w 32"/>
              <a:gd name="T35" fmla="*/ 2 h 25"/>
              <a:gd name="T36" fmla="*/ 3 w 32"/>
              <a:gd name="T37" fmla="*/ 2 h 25"/>
              <a:gd name="T38" fmla="*/ 4 w 32"/>
              <a:gd name="T39" fmla="*/ 2 h 25"/>
              <a:gd name="T40" fmla="*/ 4 w 32"/>
              <a:gd name="T41" fmla="*/ 1 h 25"/>
              <a:gd name="T42" fmla="*/ 4 w 32"/>
              <a:gd name="T43" fmla="*/ 1 h 25"/>
              <a:gd name="T44" fmla="*/ 4 w 32"/>
              <a:gd name="T45" fmla="*/ 2 h 25"/>
              <a:gd name="T46" fmla="*/ 4 w 32"/>
              <a:gd name="T47" fmla="*/ 2 h 25"/>
              <a:gd name="T48" fmla="*/ 4 w 32"/>
              <a:gd name="T49" fmla="*/ 2 h 25"/>
              <a:gd name="T50" fmla="*/ 5 w 32"/>
              <a:gd name="T51" fmla="*/ 3 h 25"/>
              <a:gd name="T52" fmla="*/ 5 w 32"/>
              <a:gd name="T53" fmla="*/ 3 h 25"/>
              <a:gd name="T54" fmla="*/ 7 w 32"/>
              <a:gd name="T55" fmla="*/ 3 h 25"/>
              <a:gd name="T56" fmla="*/ 7 w 32"/>
              <a:gd name="T57" fmla="*/ 3 h 25"/>
              <a:gd name="T58" fmla="*/ 7 w 32"/>
              <a:gd name="T59" fmla="*/ 3 h 25"/>
              <a:gd name="T60" fmla="*/ 7 w 32"/>
              <a:gd name="T61" fmla="*/ 1 h 25"/>
              <a:gd name="T62" fmla="*/ 7 w 32"/>
              <a:gd name="T63" fmla="*/ 1 h 25"/>
              <a:gd name="T64" fmla="*/ 6 w 32"/>
              <a:gd name="T65" fmla="*/ 0 h 25"/>
              <a:gd name="T66" fmla="*/ 6 w 32"/>
              <a:gd name="T67" fmla="*/ 1 h 25"/>
              <a:gd name="T68" fmla="*/ 6 w 32"/>
              <a:gd name="T69" fmla="*/ 0 h 25"/>
              <a:gd name="T70" fmla="*/ 5 w 32"/>
              <a:gd name="T71" fmla="*/ 0 h 25"/>
              <a:gd name="T72" fmla="*/ 5 w 32"/>
              <a:gd name="T73" fmla="*/ 0 h 25"/>
              <a:gd name="T74" fmla="*/ 2 w 32"/>
              <a:gd name="T75" fmla="*/ 0 h 25"/>
              <a:gd name="T76" fmla="*/ 2 w 32"/>
              <a:gd name="T77" fmla="*/ 0 h 25"/>
              <a:gd name="T78" fmla="*/ 3 w 32"/>
              <a:gd name="T79" fmla="*/ 0 h 25"/>
              <a:gd name="T80" fmla="*/ 4 w 32"/>
              <a:gd name="T81" fmla="*/ 0 h 25"/>
              <a:gd name="T82" fmla="*/ 3 w 32"/>
              <a:gd name="T83" fmla="*/ 0 h 25"/>
              <a:gd name="T84" fmla="*/ 1 w 32"/>
              <a:gd name="T85" fmla="*/ 0 h 25"/>
              <a:gd name="T86" fmla="*/ 1 w 32"/>
              <a:gd name="T87" fmla="*/ 1 h 25"/>
              <a:gd name="T88" fmla="*/ 1 w 32"/>
              <a:gd name="T89" fmla="*/ 1 h 25"/>
              <a:gd name="T90" fmla="*/ 0 w 32"/>
              <a:gd name="T91" fmla="*/ 2 h 25"/>
              <a:gd name="T92" fmla="*/ 0 w 32"/>
              <a:gd name="T93" fmla="*/ 3 h 25"/>
              <a:gd name="T94" fmla="*/ 0 w 32"/>
              <a:gd name="T95" fmla="*/ 4 h 25"/>
              <a:gd name="T96" fmla="*/ 0 w 32"/>
              <a:gd name="T97" fmla="*/ 4 h 2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32"/>
              <a:gd name="T148" fmla="*/ 0 h 25"/>
              <a:gd name="T149" fmla="*/ 32 w 32"/>
              <a:gd name="T150" fmla="*/ 25 h 2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32" h="25">
                <a:moveTo>
                  <a:pt x="2" y="21"/>
                </a:moveTo>
                <a:lnTo>
                  <a:pt x="2" y="23"/>
                </a:lnTo>
                <a:lnTo>
                  <a:pt x="4" y="23"/>
                </a:lnTo>
                <a:lnTo>
                  <a:pt x="6" y="25"/>
                </a:lnTo>
                <a:lnTo>
                  <a:pt x="12" y="25"/>
                </a:lnTo>
                <a:lnTo>
                  <a:pt x="12" y="23"/>
                </a:lnTo>
                <a:lnTo>
                  <a:pt x="14" y="21"/>
                </a:lnTo>
                <a:lnTo>
                  <a:pt x="14" y="17"/>
                </a:lnTo>
                <a:lnTo>
                  <a:pt x="14" y="19"/>
                </a:lnTo>
                <a:lnTo>
                  <a:pt x="14" y="15"/>
                </a:lnTo>
                <a:lnTo>
                  <a:pt x="12" y="15"/>
                </a:lnTo>
                <a:lnTo>
                  <a:pt x="14" y="15"/>
                </a:lnTo>
                <a:lnTo>
                  <a:pt x="12" y="11"/>
                </a:lnTo>
                <a:lnTo>
                  <a:pt x="14" y="11"/>
                </a:lnTo>
                <a:lnTo>
                  <a:pt x="14" y="9"/>
                </a:lnTo>
                <a:lnTo>
                  <a:pt x="12" y="11"/>
                </a:lnTo>
                <a:lnTo>
                  <a:pt x="8" y="9"/>
                </a:lnTo>
                <a:lnTo>
                  <a:pt x="8" y="11"/>
                </a:lnTo>
                <a:lnTo>
                  <a:pt x="12" y="11"/>
                </a:lnTo>
                <a:lnTo>
                  <a:pt x="18" y="9"/>
                </a:lnTo>
                <a:lnTo>
                  <a:pt x="18" y="7"/>
                </a:lnTo>
                <a:lnTo>
                  <a:pt x="16" y="7"/>
                </a:lnTo>
                <a:lnTo>
                  <a:pt x="16" y="9"/>
                </a:lnTo>
                <a:lnTo>
                  <a:pt x="18" y="9"/>
                </a:lnTo>
                <a:lnTo>
                  <a:pt x="18" y="11"/>
                </a:lnTo>
                <a:lnTo>
                  <a:pt x="22" y="13"/>
                </a:lnTo>
                <a:lnTo>
                  <a:pt x="22" y="15"/>
                </a:lnTo>
                <a:lnTo>
                  <a:pt x="30" y="15"/>
                </a:lnTo>
                <a:lnTo>
                  <a:pt x="30" y="13"/>
                </a:lnTo>
                <a:lnTo>
                  <a:pt x="32" y="13"/>
                </a:lnTo>
                <a:lnTo>
                  <a:pt x="32" y="5"/>
                </a:lnTo>
                <a:lnTo>
                  <a:pt x="30" y="5"/>
                </a:lnTo>
                <a:lnTo>
                  <a:pt x="26" y="1"/>
                </a:lnTo>
                <a:lnTo>
                  <a:pt x="26" y="3"/>
                </a:lnTo>
                <a:lnTo>
                  <a:pt x="26" y="1"/>
                </a:lnTo>
                <a:lnTo>
                  <a:pt x="24" y="1"/>
                </a:lnTo>
                <a:lnTo>
                  <a:pt x="24" y="0"/>
                </a:lnTo>
                <a:lnTo>
                  <a:pt x="10" y="0"/>
                </a:lnTo>
                <a:lnTo>
                  <a:pt x="10" y="1"/>
                </a:lnTo>
                <a:lnTo>
                  <a:pt x="12" y="0"/>
                </a:lnTo>
                <a:lnTo>
                  <a:pt x="16" y="1"/>
                </a:lnTo>
                <a:lnTo>
                  <a:pt x="12" y="0"/>
                </a:lnTo>
                <a:lnTo>
                  <a:pt x="6" y="1"/>
                </a:lnTo>
                <a:lnTo>
                  <a:pt x="6" y="3"/>
                </a:lnTo>
                <a:lnTo>
                  <a:pt x="4" y="3"/>
                </a:lnTo>
                <a:lnTo>
                  <a:pt x="2" y="11"/>
                </a:lnTo>
                <a:lnTo>
                  <a:pt x="0" y="15"/>
                </a:lnTo>
                <a:lnTo>
                  <a:pt x="2" y="19"/>
                </a:lnTo>
                <a:lnTo>
                  <a:pt x="2" y="21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55" name="Freeform 254"/>
          <xdr:cNvSpPr>
            <a:spLocks/>
          </xdr:cNvSpPr>
        </xdr:nvSpPr>
        <xdr:spPr bwMode="auto">
          <a:xfrm>
            <a:off x="233" y="2276"/>
            <a:ext cx="9" cy="8"/>
          </a:xfrm>
          <a:custGeom>
            <a:avLst/>
            <a:gdLst>
              <a:gd name="T0" fmla="*/ 9 w 40"/>
              <a:gd name="T1" fmla="*/ 2 h 39"/>
              <a:gd name="T2" fmla="*/ 9 w 40"/>
              <a:gd name="T3" fmla="*/ 2 h 39"/>
              <a:gd name="T4" fmla="*/ 9 w 40"/>
              <a:gd name="T5" fmla="*/ 0 h 39"/>
              <a:gd name="T6" fmla="*/ 9 w 40"/>
              <a:gd name="T7" fmla="*/ 0 h 39"/>
              <a:gd name="T8" fmla="*/ 9 w 40"/>
              <a:gd name="T9" fmla="*/ 0 h 39"/>
              <a:gd name="T10" fmla="*/ 7 w 40"/>
              <a:gd name="T11" fmla="*/ 0 h 39"/>
              <a:gd name="T12" fmla="*/ 7 w 40"/>
              <a:gd name="T13" fmla="*/ 0 h 39"/>
              <a:gd name="T14" fmla="*/ 0 w 40"/>
              <a:gd name="T15" fmla="*/ 6 h 39"/>
              <a:gd name="T16" fmla="*/ 0 w 40"/>
              <a:gd name="T17" fmla="*/ 6 h 39"/>
              <a:gd name="T18" fmla="*/ 0 w 40"/>
              <a:gd name="T19" fmla="*/ 8 h 39"/>
              <a:gd name="T20" fmla="*/ 0 w 40"/>
              <a:gd name="T21" fmla="*/ 8 h 39"/>
              <a:gd name="T22" fmla="*/ 0 w 40"/>
              <a:gd name="T23" fmla="*/ 8 h 39"/>
              <a:gd name="T24" fmla="*/ 2 w 40"/>
              <a:gd name="T25" fmla="*/ 8 h 39"/>
              <a:gd name="T26" fmla="*/ 2 w 40"/>
              <a:gd name="T27" fmla="*/ 8 h 39"/>
              <a:gd name="T28" fmla="*/ 9 w 40"/>
              <a:gd name="T29" fmla="*/ 2 h 39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40"/>
              <a:gd name="T46" fmla="*/ 0 h 39"/>
              <a:gd name="T47" fmla="*/ 40 w 40"/>
              <a:gd name="T48" fmla="*/ 39 h 39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40" h="39">
                <a:moveTo>
                  <a:pt x="38" y="10"/>
                </a:moveTo>
                <a:lnTo>
                  <a:pt x="40" y="10"/>
                </a:lnTo>
                <a:lnTo>
                  <a:pt x="40" y="2"/>
                </a:lnTo>
                <a:lnTo>
                  <a:pt x="38" y="2"/>
                </a:lnTo>
                <a:lnTo>
                  <a:pt x="38" y="0"/>
                </a:lnTo>
                <a:lnTo>
                  <a:pt x="30" y="0"/>
                </a:lnTo>
                <a:lnTo>
                  <a:pt x="30" y="2"/>
                </a:lnTo>
                <a:lnTo>
                  <a:pt x="2" y="30"/>
                </a:lnTo>
                <a:lnTo>
                  <a:pt x="0" y="30"/>
                </a:lnTo>
                <a:lnTo>
                  <a:pt x="0" y="37"/>
                </a:lnTo>
                <a:lnTo>
                  <a:pt x="2" y="37"/>
                </a:lnTo>
                <a:lnTo>
                  <a:pt x="2" y="39"/>
                </a:lnTo>
                <a:lnTo>
                  <a:pt x="10" y="39"/>
                </a:lnTo>
                <a:lnTo>
                  <a:pt x="10" y="37"/>
                </a:lnTo>
                <a:lnTo>
                  <a:pt x="38" y="1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6" name="Freeform 255"/>
          <xdr:cNvSpPr>
            <a:spLocks/>
          </xdr:cNvSpPr>
        </xdr:nvSpPr>
        <xdr:spPr bwMode="auto">
          <a:xfrm>
            <a:off x="230" y="2282"/>
            <a:ext cx="7" cy="4"/>
          </a:xfrm>
          <a:custGeom>
            <a:avLst/>
            <a:gdLst>
              <a:gd name="T0" fmla="*/ 7 w 27"/>
              <a:gd name="T1" fmla="*/ 1 h 19"/>
              <a:gd name="T2" fmla="*/ 7 w 27"/>
              <a:gd name="T3" fmla="*/ 0 h 19"/>
              <a:gd name="T4" fmla="*/ 6 w 27"/>
              <a:gd name="T5" fmla="*/ 0 h 19"/>
              <a:gd name="T6" fmla="*/ 6 w 27"/>
              <a:gd name="T7" fmla="*/ 0 h 19"/>
              <a:gd name="T8" fmla="*/ 4 w 27"/>
              <a:gd name="T9" fmla="*/ 0 h 19"/>
              <a:gd name="T10" fmla="*/ 4 w 27"/>
              <a:gd name="T11" fmla="*/ 0 h 19"/>
              <a:gd name="T12" fmla="*/ 4 w 27"/>
              <a:gd name="T13" fmla="*/ 0 h 19"/>
              <a:gd name="T14" fmla="*/ 4 w 27"/>
              <a:gd name="T15" fmla="*/ 1 h 19"/>
              <a:gd name="T16" fmla="*/ 4 w 27"/>
              <a:gd name="T17" fmla="*/ 0 h 19"/>
              <a:gd name="T18" fmla="*/ 3 w 27"/>
              <a:gd name="T19" fmla="*/ 1 h 19"/>
              <a:gd name="T20" fmla="*/ 3 w 27"/>
              <a:gd name="T21" fmla="*/ 1 h 19"/>
              <a:gd name="T22" fmla="*/ 2 w 27"/>
              <a:gd name="T23" fmla="*/ 1 h 19"/>
              <a:gd name="T24" fmla="*/ 2 w 27"/>
              <a:gd name="T25" fmla="*/ 3 h 19"/>
              <a:gd name="T26" fmla="*/ 2 w 27"/>
              <a:gd name="T27" fmla="*/ 3 h 19"/>
              <a:gd name="T28" fmla="*/ 2 w 27"/>
              <a:gd name="T29" fmla="*/ 4 h 19"/>
              <a:gd name="T30" fmla="*/ 2 w 27"/>
              <a:gd name="T31" fmla="*/ 4 h 19"/>
              <a:gd name="T32" fmla="*/ 4 w 27"/>
              <a:gd name="T33" fmla="*/ 4 h 19"/>
              <a:gd name="T34" fmla="*/ 4 w 27"/>
              <a:gd name="T35" fmla="*/ 4 h 19"/>
              <a:gd name="T36" fmla="*/ 5 w 27"/>
              <a:gd name="T37" fmla="*/ 4 h 19"/>
              <a:gd name="T38" fmla="*/ 5 w 27"/>
              <a:gd name="T39" fmla="*/ 3 h 19"/>
              <a:gd name="T40" fmla="*/ 4 w 27"/>
              <a:gd name="T41" fmla="*/ 2 h 19"/>
              <a:gd name="T42" fmla="*/ 1 w 27"/>
              <a:gd name="T43" fmla="*/ 2 h 19"/>
              <a:gd name="T44" fmla="*/ 0 w 27"/>
              <a:gd name="T45" fmla="*/ 3 h 19"/>
              <a:gd name="T46" fmla="*/ 1 w 27"/>
              <a:gd name="T47" fmla="*/ 4 h 19"/>
              <a:gd name="T48" fmla="*/ 1 w 27"/>
              <a:gd name="T49" fmla="*/ 4 h 19"/>
              <a:gd name="T50" fmla="*/ 2 w 27"/>
              <a:gd name="T51" fmla="*/ 4 h 19"/>
              <a:gd name="T52" fmla="*/ 2 w 27"/>
              <a:gd name="T53" fmla="*/ 4 h 19"/>
              <a:gd name="T54" fmla="*/ 3 w 27"/>
              <a:gd name="T55" fmla="*/ 4 h 19"/>
              <a:gd name="T56" fmla="*/ 3 w 27"/>
              <a:gd name="T57" fmla="*/ 2 h 19"/>
              <a:gd name="T58" fmla="*/ 2 w 27"/>
              <a:gd name="T59" fmla="*/ 2 h 19"/>
              <a:gd name="T60" fmla="*/ 3 w 27"/>
              <a:gd name="T61" fmla="*/ 3 h 19"/>
              <a:gd name="T62" fmla="*/ 2 w 27"/>
              <a:gd name="T63" fmla="*/ 3 h 19"/>
              <a:gd name="T64" fmla="*/ 2 w 27"/>
              <a:gd name="T65" fmla="*/ 3 h 19"/>
              <a:gd name="T66" fmla="*/ 5 w 27"/>
              <a:gd name="T67" fmla="*/ 2 h 19"/>
              <a:gd name="T68" fmla="*/ 5 w 27"/>
              <a:gd name="T69" fmla="*/ 3 h 19"/>
              <a:gd name="T70" fmla="*/ 4 w 27"/>
              <a:gd name="T71" fmla="*/ 3 h 19"/>
              <a:gd name="T72" fmla="*/ 5 w 27"/>
              <a:gd name="T73" fmla="*/ 3 h 19"/>
              <a:gd name="T74" fmla="*/ 5 w 27"/>
              <a:gd name="T75" fmla="*/ 2 h 19"/>
              <a:gd name="T76" fmla="*/ 5 w 27"/>
              <a:gd name="T77" fmla="*/ 3 h 19"/>
              <a:gd name="T78" fmla="*/ 6 w 27"/>
              <a:gd name="T79" fmla="*/ 2 h 19"/>
              <a:gd name="T80" fmla="*/ 7 w 27"/>
              <a:gd name="T81" fmla="*/ 1 h 19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7"/>
              <a:gd name="T124" fmla="*/ 0 h 19"/>
              <a:gd name="T125" fmla="*/ 27 w 27"/>
              <a:gd name="T126" fmla="*/ 19 h 19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7" h="19">
                <a:moveTo>
                  <a:pt x="27" y="6"/>
                </a:moveTo>
                <a:lnTo>
                  <a:pt x="27" y="2"/>
                </a:lnTo>
                <a:lnTo>
                  <a:pt x="25" y="2"/>
                </a:lnTo>
                <a:lnTo>
                  <a:pt x="25" y="0"/>
                </a:lnTo>
                <a:lnTo>
                  <a:pt x="17" y="0"/>
                </a:lnTo>
                <a:lnTo>
                  <a:pt x="17" y="2"/>
                </a:lnTo>
                <a:lnTo>
                  <a:pt x="15" y="2"/>
                </a:lnTo>
                <a:lnTo>
                  <a:pt x="15" y="6"/>
                </a:lnTo>
                <a:lnTo>
                  <a:pt x="17" y="2"/>
                </a:lnTo>
                <a:lnTo>
                  <a:pt x="13" y="4"/>
                </a:lnTo>
                <a:lnTo>
                  <a:pt x="13" y="6"/>
                </a:lnTo>
                <a:lnTo>
                  <a:pt x="9" y="6"/>
                </a:lnTo>
                <a:lnTo>
                  <a:pt x="7" y="13"/>
                </a:lnTo>
                <a:lnTo>
                  <a:pt x="7" y="15"/>
                </a:lnTo>
                <a:lnTo>
                  <a:pt x="9" y="17"/>
                </a:lnTo>
                <a:lnTo>
                  <a:pt x="9" y="19"/>
                </a:lnTo>
                <a:lnTo>
                  <a:pt x="15" y="19"/>
                </a:lnTo>
                <a:lnTo>
                  <a:pt x="17" y="17"/>
                </a:lnTo>
                <a:lnTo>
                  <a:pt x="19" y="17"/>
                </a:lnTo>
                <a:lnTo>
                  <a:pt x="19" y="13"/>
                </a:lnTo>
                <a:lnTo>
                  <a:pt x="17" y="8"/>
                </a:lnTo>
                <a:lnTo>
                  <a:pt x="2" y="8"/>
                </a:lnTo>
                <a:lnTo>
                  <a:pt x="0" y="13"/>
                </a:lnTo>
                <a:lnTo>
                  <a:pt x="2" y="17"/>
                </a:lnTo>
                <a:lnTo>
                  <a:pt x="2" y="19"/>
                </a:lnTo>
                <a:lnTo>
                  <a:pt x="9" y="19"/>
                </a:lnTo>
                <a:lnTo>
                  <a:pt x="9" y="17"/>
                </a:lnTo>
                <a:lnTo>
                  <a:pt x="11" y="17"/>
                </a:lnTo>
                <a:lnTo>
                  <a:pt x="11" y="10"/>
                </a:lnTo>
                <a:lnTo>
                  <a:pt x="9" y="10"/>
                </a:lnTo>
                <a:lnTo>
                  <a:pt x="11" y="13"/>
                </a:lnTo>
                <a:lnTo>
                  <a:pt x="9" y="15"/>
                </a:lnTo>
                <a:lnTo>
                  <a:pt x="7" y="13"/>
                </a:lnTo>
                <a:lnTo>
                  <a:pt x="19" y="11"/>
                </a:lnTo>
                <a:lnTo>
                  <a:pt x="19" y="13"/>
                </a:lnTo>
                <a:lnTo>
                  <a:pt x="17" y="13"/>
                </a:lnTo>
                <a:lnTo>
                  <a:pt x="21" y="13"/>
                </a:lnTo>
                <a:lnTo>
                  <a:pt x="21" y="11"/>
                </a:lnTo>
                <a:lnTo>
                  <a:pt x="21" y="13"/>
                </a:lnTo>
                <a:lnTo>
                  <a:pt x="25" y="10"/>
                </a:lnTo>
                <a:lnTo>
                  <a:pt x="27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57" name="Freeform 256"/>
          <xdr:cNvSpPr>
            <a:spLocks/>
          </xdr:cNvSpPr>
        </xdr:nvSpPr>
        <xdr:spPr bwMode="auto">
          <a:xfrm>
            <a:off x="211" y="2272"/>
            <a:ext cx="1" cy="61"/>
          </a:xfrm>
          <a:custGeom>
            <a:avLst/>
            <a:gdLst>
              <a:gd name="T0" fmla="*/ 1 w 4"/>
              <a:gd name="T1" fmla="*/ 0 h 263"/>
              <a:gd name="T2" fmla="*/ 1 w 4"/>
              <a:gd name="T3" fmla="*/ 0 h 263"/>
              <a:gd name="T4" fmla="*/ 0 w 4"/>
              <a:gd name="T5" fmla="*/ 0 h 263"/>
              <a:gd name="T6" fmla="*/ 0 w 4"/>
              <a:gd name="T7" fmla="*/ 61 h 263"/>
              <a:gd name="T8" fmla="*/ 1 w 4"/>
              <a:gd name="T9" fmla="*/ 61 h 263"/>
              <a:gd name="T10" fmla="*/ 1 w 4"/>
              <a:gd name="T11" fmla="*/ 61 h 263"/>
              <a:gd name="T12" fmla="*/ 1 w 4"/>
              <a:gd name="T13" fmla="*/ 0 h 26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63"/>
              <a:gd name="T23" fmla="*/ 4 w 4"/>
              <a:gd name="T24" fmla="*/ 263 h 26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63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63"/>
                </a:lnTo>
                <a:lnTo>
                  <a:pt x="4" y="263"/>
                </a:lnTo>
                <a:lnTo>
                  <a:pt x="4" y="261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8" name="Freeform 257"/>
          <xdr:cNvSpPr>
            <a:spLocks/>
          </xdr:cNvSpPr>
        </xdr:nvSpPr>
        <xdr:spPr bwMode="auto">
          <a:xfrm>
            <a:off x="238" y="2276"/>
            <a:ext cx="12" cy="27"/>
          </a:xfrm>
          <a:custGeom>
            <a:avLst/>
            <a:gdLst>
              <a:gd name="T0" fmla="*/ 5 w 57"/>
              <a:gd name="T1" fmla="*/ 0 h 114"/>
              <a:gd name="T2" fmla="*/ 3 w 57"/>
              <a:gd name="T3" fmla="*/ 1 h 114"/>
              <a:gd name="T4" fmla="*/ 3 w 57"/>
              <a:gd name="T5" fmla="*/ 3 h 114"/>
              <a:gd name="T6" fmla="*/ 2 w 57"/>
              <a:gd name="T7" fmla="*/ 5 h 114"/>
              <a:gd name="T8" fmla="*/ 1 w 57"/>
              <a:gd name="T9" fmla="*/ 6 h 114"/>
              <a:gd name="T10" fmla="*/ 1 w 57"/>
              <a:gd name="T11" fmla="*/ 7 h 114"/>
              <a:gd name="T12" fmla="*/ 0 w 57"/>
              <a:gd name="T13" fmla="*/ 9 h 114"/>
              <a:gd name="T14" fmla="*/ 0 w 57"/>
              <a:gd name="T15" fmla="*/ 10 h 114"/>
              <a:gd name="T16" fmla="*/ 0 w 57"/>
              <a:gd name="T17" fmla="*/ 15 h 114"/>
              <a:gd name="T18" fmla="*/ 1 w 57"/>
              <a:gd name="T19" fmla="*/ 17 h 114"/>
              <a:gd name="T20" fmla="*/ 1 w 57"/>
              <a:gd name="T21" fmla="*/ 18 h 114"/>
              <a:gd name="T22" fmla="*/ 1 w 57"/>
              <a:gd name="T23" fmla="*/ 18 h 114"/>
              <a:gd name="T24" fmla="*/ 2 w 57"/>
              <a:gd name="T25" fmla="*/ 19 h 114"/>
              <a:gd name="T26" fmla="*/ 3 w 57"/>
              <a:gd name="T27" fmla="*/ 21 h 114"/>
              <a:gd name="T28" fmla="*/ 5 w 57"/>
              <a:gd name="T29" fmla="*/ 23 h 114"/>
              <a:gd name="T30" fmla="*/ 5 w 57"/>
              <a:gd name="T31" fmla="*/ 23 h 114"/>
              <a:gd name="T32" fmla="*/ 6 w 57"/>
              <a:gd name="T33" fmla="*/ 24 h 114"/>
              <a:gd name="T34" fmla="*/ 8 w 57"/>
              <a:gd name="T35" fmla="*/ 25 h 114"/>
              <a:gd name="T36" fmla="*/ 8 w 57"/>
              <a:gd name="T37" fmla="*/ 25 h 114"/>
              <a:gd name="T38" fmla="*/ 9 w 57"/>
              <a:gd name="T39" fmla="*/ 26 h 114"/>
              <a:gd name="T40" fmla="*/ 10 w 57"/>
              <a:gd name="T41" fmla="*/ 27 h 114"/>
              <a:gd name="T42" fmla="*/ 12 w 57"/>
              <a:gd name="T43" fmla="*/ 27 h 114"/>
              <a:gd name="T44" fmla="*/ 12 w 57"/>
              <a:gd name="T45" fmla="*/ 26 h 114"/>
              <a:gd name="T46" fmla="*/ 11 w 57"/>
              <a:gd name="T47" fmla="*/ 26 h 114"/>
              <a:gd name="T48" fmla="*/ 10 w 57"/>
              <a:gd name="T49" fmla="*/ 25 h 114"/>
              <a:gd name="T50" fmla="*/ 9 w 57"/>
              <a:gd name="T51" fmla="*/ 25 h 114"/>
              <a:gd name="T52" fmla="*/ 8 w 57"/>
              <a:gd name="T53" fmla="*/ 24 h 114"/>
              <a:gd name="T54" fmla="*/ 7 w 57"/>
              <a:gd name="T55" fmla="*/ 24 h 114"/>
              <a:gd name="T56" fmla="*/ 6 w 57"/>
              <a:gd name="T57" fmla="*/ 23 h 114"/>
              <a:gd name="T58" fmla="*/ 4 w 57"/>
              <a:gd name="T59" fmla="*/ 22 h 114"/>
              <a:gd name="T60" fmla="*/ 3 w 57"/>
              <a:gd name="T61" fmla="*/ 21 h 114"/>
              <a:gd name="T62" fmla="*/ 3 w 57"/>
              <a:gd name="T63" fmla="*/ 19 h 114"/>
              <a:gd name="T64" fmla="*/ 2 w 57"/>
              <a:gd name="T65" fmla="*/ 18 h 114"/>
              <a:gd name="T66" fmla="*/ 2 w 57"/>
              <a:gd name="T67" fmla="*/ 17 h 114"/>
              <a:gd name="T68" fmla="*/ 1 w 57"/>
              <a:gd name="T69" fmla="*/ 16 h 114"/>
              <a:gd name="T70" fmla="*/ 1 w 57"/>
              <a:gd name="T71" fmla="*/ 14 h 114"/>
              <a:gd name="T72" fmla="*/ 1 w 57"/>
              <a:gd name="T73" fmla="*/ 10 h 114"/>
              <a:gd name="T74" fmla="*/ 2 w 57"/>
              <a:gd name="T75" fmla="*/ 8 h 114"/>
              <a:gd name="T76" fmla="*/ 2 w 57"/>
              <a:gd name="T77" fmla="*/ 6 h 114"/>
              <a:gd name="T78" fmla="*/ 3 w 57"/>
              <a:gd name="T79" fmla="*/ 6 h 114"/>
              <a:gd name="T80" fmla="*/ 3 w 57"/>
              <a:gd name="T81" fmla="*/ 4 h 114"/>
              <a:gd name="T82" fmla="*/ 4 w 57"/>
              <a:gd name="T83" fmla="*/ 3 h 114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57"/>
              <a:gd name="T127" fmla="*/ 0 h 114"/>
              <a:gd name="T128" fmla="*/ 57 w 57"/>
              <a:gd name="T129" fmla="*/ 114 h 114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57" h="114">
                <a:moveTo>
                  <a:pt x="26" y="3"/>
                </a:moveTo>
                <a:lnTo>
                  <a:pt x="26" y="0"/>
                </a:lnTo>
                <a:lnTo>
                  <a:pt x="22" y="0"/>
                </a:lnTo>
                <a:lnTo>
                  <a:pt x="16" y="5"/>
                </a:lnTo>
                <a:lnTo>
                  <a:pt x="14" y="11"/>
                </a:lnTo>
                <a:lnTo>
                  <a:pt x="14" y="13"/>
                </a:lnTo>
                <a:lnTo>
                  <a:pt x="10" y="17"/>
                </a:lnTo>
                <a:lnTo>
                  <a:pt x="10" y="19"/>
                </a:lnTo>
                <a:lnTo>
                  <a:pt x="8" y="21"/>
                </a:lnTo>
                <a:lnTo>
                  <a:pt x="6" y="25"/>
                </a:lnTo>
                <a:lnTo>
                  <a:pt x="6" y="27"/>
                </a:lnTo>
                <a:lnTo>
                  <a:pt x="4" y="29"/>
                </a:lnTo>
                <a:lnTo>
                  <a:pt x="4" y="33"/>
                </a:lnTo>
                <a:lnTo>
                  <a:pt x="2" y="37"/>
                </a:lnTo>
                <a:lnTo>
                  <a:pt x="2" y="42"/>
                </a:lnTo>
                <a:lnTo>
                  <a:pt x="0" y="44"/>
                </a:lnTo>
                <a:lnTo>
                  <a:pt x="0" y="60"/>
                </a:lnTo>
                <a:lnTo>
                  <a:pt x="2" y="62"/>
                </a:lnTo>
                <a:lnTo>
                  <a:pt x="2" y="68"/>
                </a:lnTo>
                <a:lnTo>
                  <a:pt x="4" y="72"/>
                </a:lnTo>
                <a:lnTo>
                  <a:pt x="4" y="70"/>
                </a:lnTo>
                <a:lnTo>
                  <a:pt x="4" y="75"/>
                </a:lnTo>
                <a:lnTo>
                  <a:pt x="6" y="75"/>
                </a:lnTo>
                <a:lnTo>
                  <a:pt x="6" y="77"/>
                </a:lnTo>
                <a:lnTo>
                  <a:pt x="8" y="79"/>
                </a:lnTo>
                <a:lnTo>
                  <a:pt x="8" y="81"/>
                </a:lnTo>
                <a:lnTo>
                  <a:pt x="12" y="85"/>
                </a:lnTo>
                <a:lnTo>
                  <a:pt x="12" y="87"/>
                </a:lnTo>
                <a:lnTo>
                  <a:pt x="20" y="95"/>
                </a:lnTo>
                <a:lnTo>
                  <a:pt x="22" y="95"/>
                </a:lnTo>
                <a:lnTo>
                  <a:pt x="22" y="99"/>
                </a:lnTo>
                <a:lnTo>
                  <a:pt x="26" y="99"/>
                </a:lnTo>
                <a:lnTo>
                  <a:pt x="28" y="101"/>
                </a:lnTo>
                <a:lnTo>
                  <a:pt x="30" y="101"/>
                </a:lnTo>
                <a:lnTo>
                  <a:pt x="34" y="105"/>
                </a:lnTo>
                <a:lnTo>
                  <a:pt x="36" y="105"/>
                </a:lnTo>
                <a:lnTo>
                  <a:pt x="38" y="107"/>
                </a:lnTo>
                <a:lnTo>
                  <a:pt x="39" y="107"/>
                </a:lnTo>
                <a:lnTo>
                  <a:pt x="41" y="109"/>
                </a:lnTo>
                <a:lnTo>
                  <a:pt x="43" y="109"/>
                </a:lnTo>
                <a:lnTo>
                  <a:pt x="45" y="111"/>
                </a:lnTo>
                <a:lnTo>
                  <a:pt x="49" y="112"/>
                </a:lnTo>
                <a:lnTo>
                  <a:pt x="51" y="112"/>
                </a:lnTo>
                <a:lnTo>
                  <a:pt x="55" y="114"/>
                </a:lnTo>
                <a:lnTo>
                  <a:pt x="57" y="114"/>
                </a:lnTo>
                <a:lnTo>
                  <a:pt x="57" y="111"/>
                </a:lnTo>
                <a:lnTo>
                  <a:pt x="55" y="111"/>
                </a:lnTo>
                <a:lnTo>
                  <a:pt x="51" y="109"/>
                </a:lnTo>
                <a:lnTo>
                  <a:pt x="49" y="109"/>
                </a:lnTo>
                <a:lnTo>
                  <a:pt x="49" y="107"/>
                </a:lnTo>
                <a:lnTo>
                  <a:pt x="43" y="105"/>
                </a:lnTo>
                <a:lnTo>
                  <a:pt x="41" y="105"/>
                </a:lnTo>
                <a:lnTo>
                  <a:pt x="39" y="103"/>
                </a:lnTo>
                <a:lnTo>
                  <a:pt x="38" y="103"/>
                </a:lnTo>
                <a:lnTo>
                  <a:pt x="36" y="101"/>
                </a:lnTo>
                <a:lnTo>
                  <a:pt x="34" y="101"/>
                </a:lnTo>
                <a:lnTo>
                  <a:pt x="30" y="97"/>
                </a:lnTo>
                <a:lnTo>
                  <a:pt x="28" y="97"/>
                </a:lnTo>
                <a:lnTo>
                  <a:pt x="22" y="91"/>
                </a:lnTo>
                <a:lnTo>
                  <a:pt x="20" y="91"/>
                </a:lnTo>
                <a:lnTo>
                  <a:pt x="20" y="87"/>
                </a:lnTo>
                <a:lnTo>
                  <a:pt x="16" y="87"/>
                </a:lnTo>
                <a:lnTo>
                  <a:pt x="16" y="85"/>
                </a:lnTo>
                <a:lnTo>
                  <a:pt x="12" y="81"/>
                </a:lnTo>
                <a:lnTo>
                  <a:pt x="12" y="79"/>
                </a:lnTo>
                <a:lnTo>
                  <a:pt x="10" y="77"/>
                </a:lnTo>
                <a:lnTo>
                  <a:pt x="10" y="72"/>
                </a:lnTo>
                <a:lnTo>
                  <a:pt x="8" y="72"/>
                </a:lnTo>
                <a:lnTo>
                  <a:pt x="8" y="68"/>
                </a:lnTo>
                <a:lnTo>
                  <a:pt x="6" y="68"/>
                </a:lnTo>
                <a:lnTo>
                  <a:pt x="6" y="62"/>
                </a:lnTo>
                <a:lnTo>
                  <a:pt x="4" y="60"/>
                </a:lnTo>
                <a:lnTo>
                  <a:pt x="4" y="44"/>
                </a:lnTo>
                <a:lnTo>
                  <a:pt x="6" y="42"/>
                </a:lnTo>
                <a:lnTo>
                  <a:pt x="6" y="37"/>
                </a:lnTo>
                <a:lnTo>
                  <a:pt x="8" y="33"/>
                </a:lnTo>
                <a:lnTo>
                  <a:pt x="8" y="29"/>
                </a:lnTo>
                <a:lnTo>
                  <a:pt x="10" y="27"/>
                </a:lnTo>
                <a:lnTo>
                  <a:pt x="10" y="25"/>
                </a:lnTo>
                <a:lnTo>
                  <a:pt x="12" y="25"/>
                </a:lnTo>
                <a:lnTo>
                  <a:pt x="14" y="19"/>
                </a:lnTo>
                <a:lnTo>
                  <a:pt x="14" y="17"/>
                </a:lnTo>
                <a:lnTo>
                  <a:pt x="18" y="13"/>
                </a:lnTo>
                <a:lnTo>
                  <a:pt x="18" y="11"/>
                </a:lnTo>
                <a:lnTo>
                  <a:pt x="26" y="3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59" name="Freeform 258"/>
          <xdr:cNvSpPr>
            <a:spLocks/>
          </xdr:cNvSpPr>
        </xdr:nvSpPr>
        <xdr:spPr bwMode="auto">
          <a:xfrm>
            <a:off x="249" y="2301"/>
            <a:ext cx="4" cy="4"/>
          </a:xfrm>
          <a:custGeom>
            <a:avLst/>
            <a:gdLst>
              <a:gd name="T0" fmla="*/ 0 w 18"/>
              <a:gd name="T1" fmla="*/ 0 h 21"/>
              <a:gd name="T2" fmla="*/ 0 w 18"/>
              <a:gd name="T3" fmla="*/ 0 h 21"/>
              <a:gd name="T4" fmla="*/ 0 w 18"/>
              <a:gd name="T5" fmla="*/ 1 h 21"/>
              <a:gd name="T6" fmla="*/ 1 w 18"/>
              <a:gd name="T7" fmla="*/ 1 h 21"/>
              <a:gd name="T8" fmla="*/ 1 w 18"/>
              <a:gd name="T9" fmla="*/ 1 h 21"/>
              <a:gd name="T10" fmla="*/ 2 w 18"/>
              <a:gd name="T11" fmla="*/ 1 h 21"/>
              <a:gd name="T12" fmla="*/ 2 w 18"/>
              <a:gd name="T13" fmla="*/ 1 h 21"/>
              <a:gd name="T14" fmla="*/ 2 w 18"/>
              <a:gd name="T15" fmla="*/ 1 h 21"/>
              <a:gd name="T16" fmla="*/ 2 w 18"/>
              <a:gd name="T17" fmla="*/ 2 h 21"/>
              <a:gd name="T18" fmla="*/ 3 w 18"/>
              <a:gd name="T19" fmla="*/ 2 h 21"/>
              <a:gd name="T20" fmla="*/ 3 w 18"/>
              <a:gd name="T21" fmla="*/ 3 h 21"/>
              <a:gd name="T22" fmla="*/ 3 w 18"/>
              <a:gd name="T23" fmla="*/ 3 h 21"/>
              <a:gd name="T24" fmla="*/ 3 w 18"/>
              <a:gd name="T25" fmla="*/ 4 h 21"/>
              <a:gd name="T26" fmla="*/ 4 w 18"/>
              <a:gd name="T27" fmla="*/ 4 h 21"/>
              <a:gd name="T28" fmla="*/ 4 w 18"/>
              <a:gd name="T29" fmla="*/ 4 h 21"/>
              <a:gd name="T30" fmla="*/ 4 w 18"/>
              <a:gd name="T31" fmla="*/ 2 h 21"/>
              <a:gd name="T32" fmla="*/ 4 w 18"/>
              <a:gd name="T33" fmla="*/ 2 h 21"/>
              <a:gd name="T34" fmla="*/ 4 w 18"/>
              <a:gd name="T35" fmla="*/ 2 h 21"/>
              <a:gd name="T36" fmla="*/ 3 w 18"/>
              <a:gd name="T37" fmla="*/ 2 h 21"/>
              <a:gd name="T38" fmla="*/ 3 w 18"/>
              <a:gd name="T39" fmla="*/ 1 h 21"/>
              <a:gd name="T40" fmla="*/ 3 w 18"/>
              <a:gd name="T41" fmla="*/ 1 h 21"/>
              <a:gd name="T42" fmla="*/ 3 w 18"/>
              <a:gd name="T43" fmla="*/ 0 h 21"/>
              <a:gd name="T44" fmla="*/ 2 w 18"/>
              <a:gd name="T45" fmla="*/ 0 h 21"/>
              <a:gd name="T46" fmla="*/ 2 w 18"/>
              <a:gd name="T47" fmla="*/ 0 h 21"/>
              <a:gd name="T48" fmla="*/ 0 w 18"/>
              <a:gd name="T49" fmla="*/ 0 h 21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8"/>
              <a:gd name="T76" fmla="*/ 0 h 21"/>
              <a:gd name="T77" fmla="*/ 18 w 18"/>
              <a:gd name="T78" fmla="*/ 21 h 21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8" h="21">
                <a:moveTo>
                  <a:pt x="2" y="0"/>
                </a:moveTo>
                <a:lnTo>
                  <a:pt x="0" y="0"/>
                </a:lnTo>
                <a:lnTo>
                  <a:pt x="0" y="3"/>
                </a:lnTo>
                <a:lnTo>
                  <a:pt x="4" y="3"/>
                </a:lnTo>
                <a:lnTo>
                  <a:pt x="4" y="5"/>
                </a:lnTo>
                <a:lnTo>
                  <a:pt x="8" y="5"/>
                </a:lnTo>
                <a:lnTo>
                  <a:pt x="8" y="7"/>
                </a:lnTo>
                <a:lnTo>
                  <a:pt x="10" y="7"/>
                </a:lnTo>
                <a:lnTo>
                  <a:pt x="10" y="9"/>
                </a:lnTo>
                <a:lnTo>
                  <a:pt x="12" y="11"/>
                </a:lnTo>
                <a:lnTo>
                  <a:pt x="12" y="17"/>
                </a:lnTo>
                <a:lnTo>
                  <a:pt x="14" y="17"/>
                </a:lnTo>
                <a:lnTo>
                  <a:pt x="14" y="21"/>
                </a:lnTo>
                <a:lnTo>
                  <a:pt x="18" y="21"/>
                </a:lnTo>
                <a:lnTo>
                  <a:pt x="18" y="19"/>
                </a:lnTo>
                <a:lnTo>
                  <a:pt x="18" y="13"/>
                </a:lnTo>
                <a:lnTo>
                  <a:pt x="16" y="13"/>
                </a:lnTo>
                <a:lnTo>
                  <a:pt x="16" y="11"/>
                </a:lnTo>
                <a:lnTo>
                  <a:pt x="14" y="9"/>
                </a:lnTo>
                <a:lnTo>
                  <a:pt x="14" y="3"/>
                </a:lnTo>
                <a:lnTo>
                  <a:pt x="12" y="3"/>
                </a:lnTo>
                <a:lnTo>
                  <a:pt x="12" y="2"/>
                </a:lnTo>
                <a:lnTo>
                  <a:pt x="8" y="2"/>
                </a:lnTo>
                <a:lnTo>
                  <a:pt x="8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0" name="Freeform 259"/>
          <xdr:cNvSpPr>
            <a:spLocks/>
          </xdr:cNvSpPr>
        </xdr:nvSpPr>
        <xdr:spPr bwMode="auto">
          <a:xfrm>
            <a:off x="251" y="2307"/>
            <a:ext cx="4" cy="5"/>
          </a:xfrm>
          <a:custGeom>
            <a:avLst/>
            <a:gdLst>
              <a:gd name="T0" fmla="*/ 1 w 16"/>
              <a:gd name="T1" fmla="*/ 0 h 25"/>
              <a:gd name="T2" fmla="*/ 1 w 16"/>
              <a:gd name="T3" fmla="*/ 0 h 25"/>
              <a:gd name="T4" fmla="*/ 0 w 16"/>
              <a:gd name="T5" fmla="*/ 0 h 25"/>
              <a:gd name="T6" fmla="*/ 0 w 16"/>
              <a:gd name="T7" fmla="*/ 3 h 25"/>
              <a:gd name="T8" fmla="*/ 1 w 16"/>
              <a:gd name="T9" fmla="*/ 4 h 25"/>
              <a:gd name="T10" fmla="*/ 1 w 16"/>
              <a:gd name="T11" fmla="*/ 3 h 25"/>
              <a:gd name="T12" fmla="*/ 1 w 16"/>
              <a:gd name="T13" fmla="*/ 4 h 25"/>
              <a:gd name="T14" fmla="*/ 1 w 16"/>
              <a:gd name="T15" fmla="*/ 4 h 25"/>
              <a:gd name="T16" fmla="*/ 1 w 16"/>
              <a:gd name="T17" fmla="*/ 5 h 25"/>
              <a:gd name="T18" fmla="*/ 2 w 16"/>
              <a:gd name="T19" fmla="*/ 5 h 25"/>
              <a:gd name="T20" fmla="*/ 2 w 16"/>
              <a:gd name="T21" fmla="*/ 5 h 25"/>
              <a:gd name="T22" fmla="*/ 4 w 16"/>
              <a:gd name="T23" fmla="*/ 5 h 25"/>
              <a:gd name="T24" fmla="*/ 4 w 16"/>
              <a:gd name="T25" fmla="*/ 4 h 25"/>
              <a:gd name="T26" fmla="*/ 3 w 16"/>
              <a:gd name="T27" fmla="*/ 4 h 25"/>
              <a:gd name="T28" fmla="*/ 3 w 16"/>
              <a:gd name="T29" fmla="*/ 4 h 25"/>
              <a:gd name="T30" fmla="*/ 3 w 16"/>
              <a:gd name="T31" fmla="*/ 4 h 25"/>
              <a:gd name="T32" fmla="*/ 2 w 16"/>
              <a:gd name="T33" fmla="*/ 4 h 25"/>
              <a:gd name="T34" fmla="*/ 2 w 16"/>
              <a:gd name="T35" fmla="*/ 3 h 25"/>
              <a:gd name="T36" fmla="*/ 1 w 16"/>
              <a:gd name="T37" fmla="*/ 3 h 25"/>
              <a:gd name="T38" fmla="*/ 1 w 16"/>
              <a:gd name="T39" fmla="*/ 3 h 25"/>
              <a:gd name="T40" fmla="*/ 1 w 16"/>
              <a:gd name="T41" fmla="*/ 3 h 25"/>
              <a:gd name="T42" fmla="*/ 1 w 16"/>
              <a:gd name="T43" fmla="*/ 0 h 25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6"/>
              <a:gd name="T67" fmla="*/ 0 h 25"/>
              <a:gd name="T68" fmla="*/ 16 w 16"/>
              <a:gd name="T69" fmla="*/ 25 h 25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6" h="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5"/>
                </a:lnTo>
                <a:lnTo>
                  <a:pt x="2" y="19"/>
                </a:lnTo>
                <a:lnTo>
                  <a:pt x="2" y="17"/>
                </a:lnTo>
                <a:lnTo>
                  <a:pt x="2" y="21"/>
                </a:lnTo>
                <a:lnTo>
                  <a:pt x="4" y="21"/>
                </a:lnTo>
                <a:lnTo>
                  <a:pt x="4" y="23"/>
                </a:lnTo>
                <a:lnTo>
                  <a:pt x="8" y="23"/>
                </a:lnTo>
                <a:lnTo>
                  <a:pt x="8" y="25"/>
                </a:lnTo>
                <a:lnTo>
                  <a:pt x="16" y="25"/>
                </a:lnTo>
                <a:lnTo>
                  <a:pt x="16" y="21"/>
                </a:lnTo>
                <a:lnTo>
                  <a:pt x="14" y="21"/>
                </a:lnTo>
                <a:lnTo>
                  <a:pt x="12" y="21"/>
                </a:lnTo>
                <a:lnTo>
                  <a:pt x="12" y="19"/>
                </a:lnTo>
                <a:lnTo>
                  <a:pt x="8" y="19"/>
                </a:lnTo>
                <a:lnTo>
                  <a:pt x="8" y="17"/>
                </a:lnTo>
                <a:lnTo>
                  <a:pt x="6" y="17"/>
                </a:lnTo>
                <a:lnTo>
                  <a:pt x="6" y="15"/>
                </a:lnTo>
                <a:lnTo>
                  <a:pt x="4" y="1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1" name="Freeform 260"/>
          <xdr:cNvSpPr>
            <a:spLocks/>
          </xdr:cNvSpPr>
        </xdr:nvSpPr>
        <xdr:spPr bwMode="auto">
          <a:xfrm>
            <a:off x="251" y="2304"/>
            <a:ext cx="2" cy="4"/>
          </a:xfrm>
          <a:custGeom>
            <a:avLst/>
            <a:gdLst>
              <a:gd name="T0" fmla="*/ 2 w 4"/>
              <a:gd name="T1" fmla="*/ 1 h 16"/>
              <a:gd name="T2" fmla="*/ 2 w 4"/>
              <a:gd name="T3" fmla="*/ 0 h 16"/>
              <a:gd name="T4" fmla="*/ 0 w 4"/>
              <a:gd name="T5" fmla="*/ 0 h 16"/>
              <a:gd name="T6" fmla="*/ 0 w 4"/>
              <a:gd name="T7" fmla="*/ 4 h 16"/>
              <a:gd name="T8" fmla="*/ 2 w 4"/>
              <a:gd name="T9" fmla="*/ 4 h 16"/>
              <a:gd name="T10" fmla="*/ 2 w 4"/>
              <a:gd name="T11" fmla="*/ 3 h 16"/>
              <a:gd name="T12" fmla="*/ 2 w 4"/>
              <a:gd name="T13" fmla="*/ 1 h 1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16"/>
              <a:gd name="T23" fmla="*/ 4 w 4"/>
              <a:gd name="T24" fmla="*/ 16 h 1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16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16"/>
                </a:lnTo>
                <a:lnTo>
                  <a:pt x="4" y="16"/>
                </a:lnTo>
                <a:lnTo>
                  <a:pt x="4" y="14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2" name="Freeform 261"/>
          <xdr:cNvSpPr>
            <a:spLocks/>
          </xdr:cNvSpPr>
        </xdr:nvSpPr>
        <xdr:spPr bwMode="auto">
          <a:xfrm>
            <a:off x="255" y="2311"/>
            <a:ext cx="61" cy="1"/>
          </a:xfrm>
          <a:custGeom>
            <a:avLst/>
            <a:gdLst>
              <a:gd name="T0" fmla="*/ 0 w 297"/>
              <a:gd name="T1" fmla="*/ 0 h 4"/>
              <a:gd name="T2" fmla="*/ 0 w 297"/>
              <a:gd name="T3" fmla="*/ 0 h 4"/>
              <a:gd name="T4" fmla="*/ 0 w 297"/>
              <a:gd name="T5" fmla="*/ 1 h 4"/>
              <a:gd name="T6" fmla="*/ 61 w 297"/>
              <a:gd name="T7" fmla="*/ 1 h 4"/>
              <a:gd name="T8" fmla="*/ 61 w 297"/>
              <a:gd name="T9" fmla="*/ 0 h 4"/>
              <a:gd name="T10" fmla="*/ 61 w 297"/>
              <a:gd name="T11" fmla="*/ 0 h 4"/>
              <a:gd name="T12" fmla="*/ 0 w 297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97"/>
              <a:gd name="T22" fmla="*/ 0 h 4"/>
              <a:gd name="T23" fmla="*/ 297 w 297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97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97" y="4"/>
                </a:lnTo>
                <a:lnTo>
                  <a:pt x="297" y="0"/>
                </a:lnTo>
                <a:lnTo>
                  <a:pt x="295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3" name="Freeform 262"/>
          <xdr:cNvSpPr>
            <a:spLocks/>
          </xdr:cNvSpPr>
        </xdr:nvSpPr>
        <xdr:spPr bwMode="auto">
          <a:xfrm>
            <a:off x="289" y="2335"/>
            <a:ext cx="19" cy="0"/>
          </a:xfrm>
          <a:custGeom>
            <a:avLst/>
            <a:gdLst>
              <a:gd name="T0" fmla="*/ 0 w 99"/>
              <a:gd name="T1" fmla="*/ 0 h 4"/>
              <a:gd name="T2" fmla="*/ 0 w 99"/>
              <a:gd name="T3" fmla="*/ 0 h 4"/>
              <a:gd name="T4" fmla="*/ 0 w 99"/>
              <a:gd name="T5" fmla="*/ 0 h 4"/>
              <a:gd name="T6" fmla="*/ 19 w 99"/>
              <a:gd name="T7" fmla="*/ 0 h 4"/>
              <a:gd name="T8" fmla="*/ 19 w 99"/>
              <a:gd name="T9" fmla="*/ 0 h 4"/>
              <a:gd name="T10" fmla="*/ 19 w 99"/>
              <a:gd name="T11" fmla="*/ 0 h 4"/>
              <a:gd name="T12" fmla="*/ 0 w 99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99"/>
              <a:gd name="T22" fmla="*/ 0 h 4"/>
              <a:gd name="T23" fmla="*/ 99 w 99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99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99" y="4"/>
                </a:lnTo>
                <a:lnTo>
                  <a:pt x="99" y="0"/>
                </a:lnTo>
                <a:lnTo>
                  <a:pt x="97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4" name="Freeform 263"/>
          <xdr:cNvSpPr>
            <a:spLocks/>
          </xdr:cNvSpPr>
        </xdr:nvSpPr>
        <xdr:spPr bwMode="auto">
          <a:xfrm>
            <a:off x="286" y="2317"/>
            <a:ext cx="24" cy="0"/>
          </a:xfrm>
          <a:custGeom>
            <a:avLst/>
            <a:gdLst>
              <a:gd name="T0" fmla="*/ 0 w 111"/>
              <a:gd name="T1" fmla="*/ 0 h 4"/>
              <a:gd name="T2" fmla="*/ 0 w 111"/>
              <a:gd name="T3" fmla="*/ 0 h 4"/>
              <a:gd name="T4" fmla="*/ 0 w 111"/>
              <a:gd name="T5" fmla="*/ 0 h 4"/>
              <a:gd name="T6" fmla="*/ 24 w 111"/>
              <a:gd name="T7" fmla="*/ 0 h 4"/>
              <a:gd name="T8" fmla="*/ 24 w 111"/>
              <a:gd name="T9" fmla="*/ 0 h 4"/>
              <a:gd name="T10" fmla="*/ 24 w 111"/>
              <a:gd name="T11" fmla="*/ 0 h 4"/>
              <a:gd name="T12" fmla="*/ 0 w 111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11"/>
              <a:gd name="T22" fmla="*/ 0 h 4"/>
              <a:gd name="T23" fmla="*/ 111 w 111"/>
              <a:gd name="T24" fmla="*/ 0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11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111" y="4"/>
                </a:lnTo>
                <a:lnTo>
                  <a:pt x="111" y="0"/>
                </a:lnTo>
                <a:lnTo>
                  <a:pt x="109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5" name="Freeform 264"/>
          <xdr:cNvSpPr>
            <a:spLocks/>
          </xdr:cNvSpPr>
        </xdr:nvSpPr>
        <xdr:spPr bwMode="auto">
          <a:xfrm>
            <a:off x="300" y="2314"/>
            <a:ext cx="11" cy="1"/>
          </a:xfrm>
          <a:custGeom>
            <a:avLst/>
            <a:gdLst>
              <a:gd name="T0" fmla="*/ 0 w 52"/>
              <a:gd name="T1" fmla="*/ 0 h 4"/>
              <a:gd name="T2" fmla="*/ 0 w 52"/>
              <a:gd name="T3" fmla="*/ 0 h 4"/>
              <a:gd name="T4" fmla="*/ 0 w 52"/>
              <a:gd name="T5" fmla="*/ 1 h 4"/>
              <a:gd name="T6" fmla="*/ 11 w 52"/>
              <a:gd name="T7" fmla="*/ 1 h 4"/>
              <a:gd name="T8" fmla="*/ 11 w 52"/>
              <a:gd name="T9" fmla="*/ 0 h 4"/>
              <a:gd name="T10" fmla="*/ 11 w 52"/>
              <a:gd name="T11" fmla="*/ 0 h 4"/>
              <a:gd name="T12" fmla="*/ 0 w 52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52"/>
              <a:gd name="T22" fmla="*/ 0 h 4"/>
              <a:gd name="T23" fmla="*/ 52 w 52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52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52" y="4"/>
                </a:lnTo>
                <a:lnTo>
                  <a:pt x="52" y="0"/>
                </a:lnTo>
                <a:lnTo>
                  <a:pt x="50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6" name="Freeform 265"/>
          <xdr:cNvSpPr>
            <a:spLocks/>
          </xdr:cNvSpPr>
        </xdr:nvSpPr>
        <xdr:spPr bwMode="auto">
          <a:xfrm>
            <a:off x="261" y="2312"/>
            <a:ext cx="26" cy="5"/>
          </a:xfrm>
          <a:custGeom>
            <a:avLst/>
            <a:gdLst>
              <a:gd name="T0" fmla="*/ 0 w 126"/>
              <a:gd name="T1" fmla="*/ 0 h 22"/>
              <a:gd name="T2" fmla="*/ 0 w 126"/>
              <a:gd name="T3" fmla="*/ 0 h 22"/>
              <a:gd name="T4" fmla="*/ 0 w 126"/>
              <a:gd name="T5" fmla="*/ 1 h 22"/>
              <a:gd name="T6" fmla="*/ 1 w 126"/>
              <a:gd name="T7" fmla="*/ 1 h 22"/>
              <a:gd name="T8" fmla="*/ 1 w 126"/>
              <a:gd name="T9" fmla="*/ 1 h 22"/>
              <a:gd name="T10" fmla="*/ 3 w 126"/>
              <a:gd name="T11" fmla="*/ 1 h 22"/>
              <a:gd name="T12" fmla="*/ 4 w 126"/>
              <a:gd name="T13" fmla="*/ 2 h 22"/>
              <a:gd name="T14" fmla="*/ 5 w 126"/>
              <a:gd name="T15" fmla="*/ 2 h 22"/>
              <a:gd name="T16" fmla="*/ 5 w 126"/>
              <a:gd name="T17" fmla="*/ 2 h 22"/>
              <a:gd name="T18" fmla="*/ 7 w 126"/>
              <a:gd name="T19" fmla="*/ 2 h 22"/>
              <a:gd name="T20" fmla="*/ 7 w 126"/>
              <a:gd name="T21" fmla="*/ 3 h 22"/>
              <a:gd name="T22" fmla="*/ 8 w 126"/>
              <a:gd name="T23" fmla="*/ 3 h 22"/>
              <a:gd name="T24" fmla="*/ 8 w 126"/>
              <a:gd name="T25" fmla="*/ 3 h 22"/>
              <a:gd name="T26" fmla="*/ 9 w 126"/>
              <a:gd name="T27" fmla="*/ 3 h 22"/>
              <a:gd name="T28" fmla="*/ 9 w 126"/>
              <a:gd name="T29" fmla="*/ 4 h 22"/>
              <a:gd name="T30" fmla="*/ 16 w 126"/>
              <a:gd name="T31" fmla="*/ 4 h 22"/>
              <a:gd name="T32" fmla="*/ 16 w 126"/>
              <a:gd name="T33" fmla="*/ 4 h 22"/>
              <a:gd name="T34" fmla="*/ 21 w 126"/>
              <a:gd name="T35" fmla="*/ 4 h 22"/>
              <a:gd name="T36" fmla="*/ 21 w 126"/>
              <a:gd name="T37" fmla="*/ 5 h 22"/>
              <a:gd name="T38" fmla="*/ 25 w 126"/>
              <a:gd name="T39" fmla="*/ 5 h 22"/>
              <a:gd name="T40" fmla="*/ 25 w 126"/>
              <a:gd name="T41" fmla="*/ 5 h 22"/>
              <a:gd name="T42" fmla="*/ 26 w 126"/>
              <a:gd name="T43" fmla="*/ 5 h 22"/>
              <a:gd name="T44" fmla="*/ 26 w 126"/>
              <a:gd name="T45" fmla="*/ 4 h 22"/>
              <a:gd name="T46" fmla="*/ 26 w 126"/>
              <a:gd name="T47" fmla="*/ 4 h 22"/>
              <a:gd name="T48" fmla="*/ 25 w 126"/>
              <a:gd name="T49" fmla="*/ 4 h 22"/>
              <a:gd name="T50" fmla="*/ 25 w 126"/>
              <a:gd name="T51" fmla="*/ 4 h 22"/>
              <a:gd name="T52" fmla="*/ 21 w 126"/>
              <a:gd name="T53" fmla="*/ 4 h 22"/>
              <a:gd name="T54" fmla="*/ 21 w 126"/>
              <a:gd name="T55" fmla="*/ 3 h 22"/>
              <a:gd name="T56" fmla="*/ 16 w 126"/>
              <a:gd name="T57" fmla="*/ 3 h 22"/>
              <a:gd name="T58" fmla="*/ 16 w 126"/>
              <a:gd name="T59" fmla="*/ 3 h 22"/>
              <a:gd name="T60" fmla="*/ 10 w 126"/>
              <a:gd name="T61" fmla="*/ 3 h 22"/>
              <a:gd name="T62" fmla="*/ 10 w 126"/>
              <a:gd name="T63" fmla="*/ 3 h 22"/>
              <a:gd name="T64" fmla="*/ 9 w 126"/>
              <a:gd name="T65" fmla="*/ 2 h 22"/>
              <a:gd name="T66" fmla="*/ 8 w 126"/>
              <a:gd name="T67" fmla="*/ 2 h 22"/>
              <a:gd name="T68" fmla="*/ 8 w 126"/>
              <a:gd name="T69" fmla="*/ 2 h 22"/>
              <a:gd name="T70" fmla="*/ 7 w 126"/>
              <a:gd name="T71" fmla="*/ 2 h 22"/>
              <a:gd name="T72" fmla="*/ 7 w 126"/>
              <a:gd name="T73" fmla="*/ 1 h 22"/>
              <a:gd name="T74" fmla="*/ 5 w 126"/>
              <a:gd name="T75" fmla="*/ 1 h 22"/>
              <a:gd name="T76" fmla="*/ 5 w 126"/>
              <a:gd name="T77" fmla="*/ 1 h 22"/>
              <a:gd name="T78" fmla="*/ 4 w 126"/>
              <a:gd name="T79" fmla="*/ 1 h 22"/>
              <a:gd name="T80" fmla="*/ 3 w 126"/>
              <a:gd name="T81" fmla="*/ 0 h 22"/>
              <a:gd name="T82" fmla="*/ 2 w 126"/>
              <a:gd name="T83" fmla="*/ 0 h 22"/>
              <a:gd name="T84" fmla="*/ 2 w 126"/>
              <a:gd name="T85" fmla="*/ 0 h 22"/>
              <a:gd name="T86" fmla="*/ 0 w 126"/>
              <a:gd name="T87" fmla="*/ 0 h 22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126"/>
              <a:gd name="T133" fmla="*/ 0 h 22"/>
              <a:gd name="T134" fmla="*/ 126 w 126"/>
              <a:gd name="T135" fmla="*/ 22 h 22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126" h="22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6" y="4"/>
                </a:lnTo>
                <a:lnTo>
                  <a:pt x="6" y="6"/>
                </a:lnTo>
                <a:lnTo>
                  <a:pt x="16" y="6"/>
                </a:lnTo>
                <a:lnTo>
                  <a:pt x="18" y="8"/>
                </a:lnTo>
                <a:lnTo>
                  <a:pt x="22" y="8"/>
                </a:lnTo>
                <a:lnTo>
                  <a:pt x="22" y="10"/>
                </a:lnTo>
                <a:lnTo>
                  <a:pt x="32" y="10"/>
                </a:lnTo>
                <a:lnTo>
                  <a:pt x="34" y="12"/>
                </a:lnTo>
                <a:lnTo>
                  <a:pt x="38" y="12"/>
                </a:lnTo>
                <a:lnTo>
                  <a:pt x="40" y="14"/>
                </a:lnTo>
                <a:lnTo>
                  <a:pt x="46" y="14"/>
                </a:lnTo>
                <a:lnTo>
                  <a:pt x="46" y="16"/>
                </a:lnTo>
                <a:lnTo>
                  <a:pt x="77" y="16"/>
                </a:lnTo>
                <a:lnTo>
                  <a:pt x="79" y="18"/>
                </a:lnTo>
                <a:lnTo>
                  <a:pt x="101" y="18"/>
                </a:lnTo>
                <a:lnTo>
                  <a:pt x="103" y="20"/>
                </a:lnTo>
                <a:lnTo>
                  <a:pt x="119" y="20"/>
                </a:lnTo>
                <a:lnTo>
                  <a:pt x="120" y="22"/>
                </a:lnTo>
                <a:lnTo>
                  <a:pt x="126" y="22"/>
                </a:lnTo>
                <a:lnTo>
                  <a:pt x="126" y="18"/>
                </a:lnTo>
                <a:lnTo>
                  <a:pt x="124" y="18"/>
                </a:lnTo>
                <a:lnTo>
                  <a:pt x="120" y="18"/>
                </a:lnTo>
                <a:lnTo>
                  <a:pt x="119" y="16"/>
                </a:lnTo>
                <a:lnTo>
                  <a:pt x="103" y="16"/>
                </a:lnTo>
                <a:lnTo>
                  <a:pt x="101" y="14"/>
                </a:lnTo>
                <a:lnTo>
                  <a:pt x="79" y="14"/>
                </a:lnTo>
                <a:lnTo>
                  <a:pt x="77" y="12"/>
                </a:lnTo>
                <a:lnTo>
                  <a:pt x="48" y="12"/>
                </a:lnTo>
                <a:lnTo>
                  <a:pt x="50" y="12"/>
                </a:lnTo>
                <a:lnTo>
                  <a:pt x="46" y="10"/>
                </a:lnTo>
                <a:lnTo>
                  <a:pt x="40" y="10"/>
                </a:lnTo>
                <a:lnTo>
                  <a:pt x="38" y="8"/>
                </a:lnTo>
                <a:lnTo>
                  <a:pt x="34" y="8"/>
                </a:lnTo>
                <a:lnTo>
                  <a:pt x="32" y="6"/>
                </a:lnTo>
                <a:lnTo>
                  <a:pt x="26" y="6"/>
                </a:lnTo>
                <a:lnTo>
                  <a:pt x="26" y="4"/>
                </a:lnTo>
                <a:lnTo>
                  <a:pt x="18" y="4"/>
                </a:lnTo>
                <a:lnTo>
                  <a:pt x="16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7" name="Freeform 266"/>
          <xdr:cNvSpPr>
            <a:spLocks/>
          </xdr:cNvSpPr>
        </xdr:nvSpPr>
        <xdr:spPr bwMode="auto">
          <a:xfrm>
            <a:off x="316" y="2307"/>
            <a:ext cx="10" cy="3"/>
          </a:xfrm>
          <a:custGeom>
            <a:avLst/>
            <a:gdLst>
              <a:gd name="T0" fmla="*/ 10 w 51"/>
              <a:gd name="T1" fmla="*/ 1 h 17"/>
              <a:gd name="T2" fmla="*/ 10 w 51"/>
              <a:gd name="T3" fmla="*/ 0 h 17"/>
              <a:gd name="T4" fmla="*/ 9 w 51"/>
              <a:gd name="T5" fmla="*/ 0 h 17"/>
              <a:gd name="T6" fmla="*/ 10 w 51"/>
              <a:gd name="T7" fmla="*/ 0 h 17"/>
              <a:gd name="T8" fmla="*/ 9 w 51"/>
              <a:gd name="T9" fmla="*/ 0 h 17"/>
              <a:gd name="T10" fmla="*/ 9 w 51"/>
              <a:gd name="T11" fmla="*/ 1 h 17"/>
              <a:gd name="T12" fmla="*/ 8 w 51"/>
              <a:gd name="T13" fmla="*/ 1 h 17"/>
              <a:gd name="T14" fmla="*/ 8 w 51"/>
              <a:gd name="T15" fmla="*/ 1 h 17"/>
              <a:gd name="T16" fmla="*/ 8 w 51"/>
              <a:gd name="T17" fmla="*/ 1 h 17"/>
              <a:gd name="T18" fmla="*/ 8 w 51"/>
              <a:gd name="T19" fmla="*/ 1 h 17"/>
              <a:gd name="T20" fmla="*/ 7 w 51"/>
              <a:gd name="T21" fmla="*/ 2 h 17"/>
              <a:gd name="T22" fmla="*/ 7 w 51"/>
              <a:gd name="T23" fmla="*/ 2 h 17"/>
              <a:gd name="T24" fmla="*/ 6 w 51"/>
              <a:gd name="T25" fmla="*/ 2 h 17"/>
              <a:gd name="T26" fmla="*/ 6 w 51"/>
              <a:gd name="T27" fmla="*/ 2 h 17"/>
              <a:gd name="T28" fmla="*/ 3 w 51"/>
              <a:gd name="T29" fmla="*/ 2 h 17"/>
              <a:gd name="T30" fmla="*/ 4 w 51"/>
              <a:gd name="T31" fmla="*/ 3 h 17"/>
              <a:gd name="T32" fmla="*/ 4 w 51"/>
              <a:gd name="T33" fmla="*/ 2 h 17"/>
              <a:gd name="T34" fmla="*/ 0 w 51"/>
              <a:gd name="T35" fmla="*/ 2 h 17"/>
              <a:gd name="T36" fmla="*/ 0 w 51"/>
              <a:gd name="T37" fmla="*/ 3 h 17"/>
              <a:gd name="T38" fmla="*/ 0 w 51"/>
              <a:gd name="T39" fmla="*/ 3 h 17"/>
              <a:gd name="T40" fmla="*/ 3 w 51"/>
              <a:gd name="T41" fmla="*/ 3 h 17"/>
              <a:gd name="T42" fmla="*/ 4 w 51"/>
              <a:gd name="T43" fmla="*/ 2 h 17"/>
              <a:gd name="T44" fmla="*/ 4 w 51"/>
              <a:gd name="T45" fmla="*/ 3 h 17"/>
              <a:gd name="T46" fmla="*/ 7 w 51"/>
              <a:gd name="T47" fmla="*/ 3 h 17"/>
              <a:gd name="T48" fmla="*/ 7 w 51"/>
              <a:gd name="T49" fmla="*/ 2 h 17"/>
              <a:gd name="T50" fmla="*/ 7 w 51"/>
              <a:gd name="T51" fmla="*/ 2 h 17"/>
              <a:gd name="T52" fmla="*/ 8 w 51"/>
              <a:gd name="T53" fmla="*/ 2 h 17"/>
              <a:gd name="T54" fmla="*/ 9 w 51"/>
              <a:gd name="T55" fmla="*/ 2 h 17"/>
              <a:gd name="T56" fmla="*/ 9 w 51"/>
              <a:gd name="T57" fmla="*/ 2 h 17"/>
              <a:gd name="T58" fmla="*/ 9 w 51"/>
              <a:gd name="T59" fmla="*/ 2 h 17"/>
              <a:gd name="T60" fmla="*/ 9 w 51"/>
              <a:gd name="T61" fmla="*/ 1 h 17"/>
              <a:gd name="T62" fmla="*/ 10 w 51"/>
              <a:gd name="T63" fmla="*/ 1 h 17"/>
              <a:gd name="T64" fmla="*/ 10 w 51"/>
              <a:gd name="T65" fmla="*/ 1 h 17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51"/>
              <a:gd name="T100" fmla="*/ 0 h 17"/>
              <a:gd name="T101" fmla="*/ 51 w 51"/>
              <a:gd name="T102" fmla="*/ 17 h 17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51" h="17">
                <a:moveTo>
                  <a:pt x="51" y="4"/>
                </a:moveTo>
                <a:lnTo>
                  <a:pt x="51" y="0"/>
                </a:lnTo>
                <a:lnTo>
                  <a:pt x="48" y="0"/>
                </a:lnTo>
                <a:lnTo>
                  <a:pt x="50" y="0"/>
                </a:lnTo>
                <a:lnTo>
                  <a:pt x="46" y="0"/>
                </a:lnTo>
                <a:lnTo>
                  <a:pt x="46" y="4"/>
                </a:lnTo>
                <a:lnTo>
                  <a:pt x="42" y="4"/>
                </a:lnTo>
                <a:lnTo>
                  <a:pt x="42" y="6"/>
                </a:lnTo>
                <a:lnTo>
                  <a:pt x="40" y="6"/>
                </a:lnTo>
                <a:lnTo>
                  <a:pt x="40" y="8"/>
                </a:lnTo>
                <a:lnTo>
                  <a:pt x="38" y="10"/>
                </a:lnTo>
                <a:lnTo>
                  <a:pt x="34" y="10"/>
                </a:lnTo>
                <a:lnTo>
                  <a:pt x="30" y="12"/>
                </a:lnTo>
                <a:lnTo>
                  <a:pt x="32" y="12"/>
                </a:lnTo>
                <a:lnTo>
                  <a:pt x="16" y="12"/>
                </a:lnTo>
                <a:lnTo>
                  <a:pt x="18" y="17"/>
                </a:lnTo>
                <a:lnTo>
                  <a:pt x="20" y="12"/>
                </a:lnTo>
                <a:lnTo>
                  <a:pt x="0" y="12"/>
                </a:lnTo>
                <a:lnTo>
                  <a:pt x="0" y="16"/>
                </a:lnTo>
                <a:lnTo>
                  <a:pt x="2" y="16"/>
                </a:lnTo>
                <a:lnTo>
                  <a:pt x="16" y="16"/>
                </a:lnTo>
                <a:lnTo>
                  <a:pt x="18" y="14"/>
                </a:lnTo>
                <a:lnTo>
                  <a:pt x="20" y="16"/>
                </a:lnTo>
                <a:lnTo>
                  <a:pt x="34" y="16"/>
                </a:lnTo>
                <a:lnTo>
                  <a:pt x="34" y="14"/>
                </a:lnTo>
                <a:lnTo>
                  <a:pt x="38" y="14"/>
                </a:lnTo>
                <a:lnTo>
                  <a:pt x="40" y="12"/>
                </a:lnTo>
                <a:lnTo>
                  <a:pt x="44" y="12"/>
                </a:lnTo>
                <a:lnTo>
                  <a:pt x="44" y="10"/>
                </a:lnTo>
                <a:lnTo>
                  <a:pt x="46" y="10"/>
                </a:lnTo>
                <a:lnTo>
                  <a:pt x="46" y="8"/>
                </a:lnTo>
                <a:lnTo>
                  <a:pt x="50" y="4"/>
                </a:lnTo>
                <a:lnTo>
                  <a:pt x="51" y="4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8" name="Freeform 267"/>
          <xdr:cNvSpPr>
            <a:spLocks/>
          </xdr:cNvSpPr>
        </xdr:nvSpPr>
        <xdr:spPr bwMode="auto">
          <a:xfrm>
            <a:off x="276" y="2333"/>
            <a:ext cx="13" cy="5"/>
          </a:xfrm>
          <a:custGeom>
            <a:avLst/>
            <a:gdLst>
              <a:gd name="T0" fmla="*/ 13 w 61"/>
              <a:gd name="T1" fmla="*/ 2 h 19"/>
              <a:gd name="T2" fmla="*/ 13 w 61"/>
              <a:gd name="T3" fmla="*/ 2 h 19"/>
              <a:gd name="T4" fmla="*/ 13 w 61"/>
              <a:gd name="T5" fmla="*/ 1 h 19"/>
              <a:gd name="T6" fmla="*/ 12 w 61"/>
              <a:gd name="T7" fmla="*/ 1 h 19"/>
              <a:gd name="T8" fmla="*/ 12 w 61"/>
              <a:gd name="T9" fmla="*/ 0 h 19"/>
              <a:gd name="T10" fmla="*/ 11 w 61"/>
              <a:gd name="T11" fmla="*/ 0 h 19"/>
              <a:gd name="T12" fmla="*/ 10 w 61"/>
              <a:gd name="T13" fmla="*/ 1 h 19"/>
              <a:gd name="T14" fmla="*/ 8 w 61"/>
              <a:gd name="T15" fmla="*/ 1 h 19"/>
              <a:gd name="T16" fmla="*/ 8 w 61"/>
              <a:gd name="T17" fmla="*/ 1 h 19"/>
              <a:gd name="T18" fmla="*/ 6 w 61"/>
              <a:gd name="T19" fmla="*/ 1 h 19"/>
              <a:gd name="T20" fmla="*/ 6 w 61"/>
              <a:gd name="T21" fmla="*/ 2 h 19"/>
              <a:gd name="T22" fmla="*/ 3 w 61"/>
              <a:gd name="T23" fmla="*/ 2 h 19"/>
              <a:gd name="T24" fmla="*/ 3 w 61"/>
              <a:gd name="T25" fmla="*/ 2 h 19"/>
              <a:gd name="T26" fmla="*/ 3 w 61"/>
              <a:gd name="T27" fmla="*/ 2 h 19"/>
              <a:gd name="T28" fmla="*/ 3 w 61"/>
              <a:gd name="T29" fmla="*/ 3 h 19"/>
              <a:gd name="T30" fmla="*/ 2 w 61"/>
              <a:gd name="T31" fmla="*/ 3 h 19"/>
              <a:gd name="T32" fmla="*/ 2 w 61"/>
              <a:gd name="T33" fmla="*/ 3 h 19"/>
              <a:gd name="T34" fmla="*/ 1 w 61"/>
              <a:gd name="T35" fmla="*/ 3 h 19"/>
              <a:gd name="T36" fmla="*/ 1 w 61"/>
              <a:gd name="T37" fmla="*/ 3 h 19"/>
              <a:gd name="T38" fmla="*/ 0 w 61"/>
              <a:gd name="T39" fmla="*/ 3 h 19"/>
              <a:gd name="T40" fmla="*/ 0 w 61"/>
              <a:gd name="T41" fmla="*/ 4 h 19"/>
              <a:gd name="T42" fmla="*/ 0 w 61"/>
              <a:gd name="T43" fmla="*/ 4 h 19"/>
              <a:gd name="T44" fmla="*/ 0 w 61"/>
              <a:gd name="T45" fmla="*/ 4 h 19"/>
              <a:gd name="T46" fmla="*/ 0 w 61"/>
              <a:gd name="T47" fmla="*/ 5 h 19"/>
              <a:gd name="T48" fmla="*/ 0 w 61"/>
              <a:gd name="T49" fmla="*/ 5 h 19"/>
              <a:gd name="T50" fmla="*/ 1 w 61"/>
              <a:gd name="T51" fmla="*/ 4 h 19"/>
              <a:gd name="T52" fmla="*/ 2 w 61"/>
              <a:gd name="T53" fmla="*/ 4 h 19"/>
              <a:gd name="T54" fmla="*/ 2 w 61"/>
              <a:gd name="T55" fmla="*/ 4 h 19"/>
              <a:gd name="T56" fmla="*/ 2 w 61"/>
              <a:gd name="T57" fmla="*/ 3 h 19"/>
              <a:gd name="T58" fmla="*/ 3 w 61"/>
              <a:gd name="T59" fmla="*/ 3 h 19"/>
              <a:gd name="T60" fmla="*/ 3 w 61"/>
              <a:gd name="T61" fmla="*/ 3 h 19"/>
              <a:gd name="T62" fmla="*/ 4 w 61"/>
              <a:gd name="T63" fmla="*/ 3 h 19"/>
              <a:gd name="T64" fmla="*/ 4 w 61"/>
              <a:gd name="T65" fmla="*/ 3 h 19"/>
              <a:gd name="T66" fmla="*/ 7 w 61"/>
              <a:gd name="T67" fmla="*/ 3 h 19"/>
              <a:gd name="T68" fmla="*/ 7 w 61"/>
              <a:gd name="T69" fmla="*/ 2 h 19"/>
              <a:gd name="T70" fmla="*/ 9 w 61"/>
              <a:gd name="T71" fmla="*/ 2 h 19"/>
              <a:gd name="T72" fmla="*/ 9 w 61"/>
              <a:gd name="T73" fmla="*/ 2 h 19"/>
              <a:gd name="T74" fmla="*/ 10 w 61"/>
              <a:gd name="T75" fmla="*/ 2 h 19"/>
              <a:gd name="T76" fmla="*/ 11 w 61"/>
              <a:gd name="T77" fmla="*/ 1 h 19"/>
              <a:gd name="T78" fmla="*/ 11 w 61"/>
              <a:gd name="T79" fmla="*/ 2 h 19"/>
              <a:gd name="T80" fmla="*/ 13 w 61"/>
              <a:gd name="T81" fmla="*/ 2 h 19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61"/>
              <a:gd name="T124" fmla="*/ 0 h 19"/>
              <a:gd name="T125" fmla="*/ 61 w 61"/>
              <a:gd name="T126" fmla="*/ 19 h 19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61" h="19">
                <a:moveTo>
                  <a:pt x="59" y="6"/>
                </a:moveTo>
                <a:lnTo>
                  <a:pt x="61" y="6"/>
                </a:lnTo>
                <a:lnTo>
                  <a:pt x="61" y="2"/>
                </a:lnTo>
                <a:lnTo>
                  <a:pt x="55" y="2"/>
                </a:lnTo>
                <a:lnTo>
                  <a:pt x="55" y="0"/>
                </a:lnTo>
                <a:lnTo>
                  <a:pt x="51" y="0"/>
                </a:lnTo>
                <a:lnTo>
                  <a:pt x="49" y="2"/>
                </a:lnTo>
                <a:lnTo>
                  <a:pt x="36" y="2"/>
                </a:lnTo>
                <a:lnTo>
                  <a:pt x="36" y="4"/>
                </a:lnTo>
                <a:lnTo>
                  <a:pt x="28" y="4"/>
                </a:lnTo>
                <a:lnTo>
                  <a:pt x="28" y="6"/>
                </a:lnTo>
                <a:lnTo>
                  <a:pt x="16" y="6"/>
                </a:lnTo>
                <a:lnTo>
                  <a:pt x="16" y="8"/>
                </a:lnTo>
                <a:lnTo>
                  <a:pt x="12" y="8"/>
                </a:lnTo>
                <a:lnTo>
                  <a:pt x="12" y="10"/>
                </a:lnTo>
                <a:lnTo>
                  <a:pt x="10" y="10"/>
                </a:lnTo>
                <a:lnTo>
                  <a:pt x="8" y="11"/>
                </a:lnTo>
                <a:lnTo>
                  <a:pt x="4" y="11"/>
                </a:lnTo>
                <a:lnTo>
                  <a:pt x="4" y="13"/>
                </a:lnTo>
                <a:lnTo>
                  <a:pt x="0" y="13"/>
                </a:lnTo>
                <a:lnTo>
                  <a:pt x="0" y="17"/>
                </a:lnTo>
                <a:lnTo>
                  <a:pt x="2" y="15"/>
                </a:lnTo>
                <a:lnTo>
                  <a:pt x="0" y="15"/>
                </a:lnTo>
                <a:lnTo>
                  <a:pt x="0" y="19"/>
                </a:lnTo>
                <a:lnTo>
                  <a:pt x="2" y="19"/>
                </a:lnTo>
                <a:lnTo>
                  <a:pt x="4" y="17"/>
                </a:lnTo>
                <a:lnTo>
                  <a:pt x="8" y="17"/>
                </a:lnTo>
                <a:lnTo>
                  <a:pt x="8" y="15"/>
                </a:lnTo>
                <a:lnTo>
                  <a:pt x="10" y="13"/>
                </a:lnTo>
                <a:lnTo>
                  <a:pt x="16" y="13"/>
                </a:lnTo>
                <a:lnTo>
                  <a:pt x="16" y="11"/>
                </a:lnTo>
                <a:lnTo>
                  <a:pt x="20" y="11"/>
                </a:lnTo>
                <a:lnTo>
                  <a:pt x="20" y="10"/>
                </a:lnTo>
                <a:lnTo>
                  <a:pt x="32" y="10"/>
                </a:lnTo>
                <a:lnTo>
                  <a:pt x="32" y="8"/>
                </a:lnTo>
                <a:lnTo>
                  <a:pt x="40" y="8"/>
                </a:lnTo>
                <a:lnTo>
                  <a:pt x="40" y="6"/>
                </a:lnTo>
                <a:lnTo>
                  <a:pt x="49" y="6"/>
                </a:lnTo>
                <a:lnTo>
                  <a:pt x="51" y="4"/>
                </a:lnTo>
                <a:lnTo>
                  <a:pt x="51" y="6"/>
                </a:lnTo>
                <a:lnTo>
                  <a:pt x="59" y="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69" name="Freeform 268"/>
          <xdr:cNvSpPr>
            <a:spLocks/>
          </xdr:cNvSpPr>
        </xdr:nvSpPr>
        <xdr:spPr bwMode="auto">
          <a:xfrm>
            <a:off x="273" y="2336"/>
            <a:ext cx="4" cy="3"/>
          </a:xfrm>
          <a:custGeom>
            <a:avLst/>
            <a:gdLst>
              <a:gd name="T0" fmla="*/ 3 w 25"/>
              <a:gd name="T1" fmla="*/ 2 h 8"/>
              <a:gd name="T2" fmla="*/ 4 w 25"/>
              <a:gd name="T3" fmla="*/ 2 h 8"/>
              <a:gd name="T4" fmla="*/ 4 w 25"/>
              <a:gd name="T5" fmla="*/ 1 h 8"/>
              <a:gd name="T6" fmla="*/ 3 w 25"/>
              <a:gd name="T7" fmla="*/ 0 h 8"/>
              <a:gd name="T8" fmla="*/ 3 w 25"/>
              <a:gd name="T9" fmla="*/ 0 h 8"/>
              <a:gd name="T10" fmla="*/ 3 w 25"/>
              <a:gd name="T11" fmla="*/ 1 h 8"/>
              <a:gd name="T12" fmla="*/ 2 w 25"/>
              <a:gd name="T13" fmla="*/ 1 h 8"/>
              <a:gd name="T14" fmla="*/ 2 w 25"/>
              <a:gd name="T15" fmla="*/ 2 h 8"/>
              <a:gd name="T16" fmla="*/ 2 w 25"/>
              <a:gd name="T17" fmla="*/ 1 h 8"/>
              <a:gd name="T18" fmla="*/ 0 w 25"/>
              <a:gd name="T19" fmla="*/ 1 h 8"/>
              <a:gd name="T20" fmla="*/ 0 w 25"/>
              <a:gd name="T21" fmla="*/ 2 h 8"/>
              <a:gd name="T22" fmla="*/ 0 w 25"/>
              <a:gd name="T23" fmla="*/ 2 h 8"/>
              <a:gd name="T24" fmla="*/ 0 w 25"/>
              <a:gd name="T25" fmla="*/ 2 h 8"/>
              <a:gd name="T26" fmla="*/ 0 w 25"/>
              <a:gd name="T27" fmla="*/ 3 h 8"/>
              <a:gd name="T28" fmla="*/ 0 w 25"/>
              <a:gd name="T29" fmla="*/ 3 h 8"/>
              <a:gd name="T30" fmla="*/ 0 w 25"/>
              <a:gd name="T31" fmla="*/ 3 h 8"/>
              <a:gd name="T32" fmla="*/ 0 w 25"/>
              <a:gd name="T33" fmla="*/ 2 h 8"/>
              <a:gd name="T34" fmla="*/ 2 w 25"/>
              <a:gd name="T35" fmla="*/ 2 h 8"/>
              <a:gd name="T36" fmla="*/ 2 w 25"/>
              <a:gd name="T37" fmla="*/ 3 h 8"/>
              <a:gd name="T38" fmla="*/ 3 w 25"/>
              <a:gd name="T39" fmla="*/ 3 h 8"/>
              <a:gd name="T40" fmla="*/ 3 w 25"/>
              <a:gd name="T41" fmla="*/ 2 h 8"/>
              <a:gd name="T42" fmla="*/ 3 w 25"/>
              <a:gd name="T43" fmla="*/ 2 h 8"/>
              <a:gd name="T44" fmla="*/ 3 w 25"/>
              <a:gd name="T45" fmla="*/ 2 h 8"/>
              <a:gd name="T46" fmla="*/ 3 w 25"/>
              <a:gd name="T47" fmla="*/ 2 h 8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25"/>
              <a:gd name="T73" fmla="*/ 0 h 8"/>
              <a:gd name="T74" fmla="*/ 25 w 25"/>
              <a:gd name="T75" fmla="*/ 8 h 8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25" h="8">
                <a:moveTo>
                  <a:pt x="21" y="6"/>
                </a:moveTo>
                <a:lnTo>
                  <a:pt x="25" y="6"/>
                </a:lnTo>
                <a:lnTo>
                  <a:pt x="25" y="2"/>
                </a:lnTo>
                <a:lnTo>
                  <a:pt x="21" y="0"/>
                </a:lnTo>
                <a:lnTo>
                  <a:pt x="17" y="0"/>
                </a:lnTo>
                <a:lnTo>
                  <a:pt x="17" y="2"/>
                </a:lnTo>
                <a:lnTo>
                  <a:pt x="15" y="2"/>
                </a:lnTo>
                <a:lnTo>
                  <a:pt x="15" y="4"/>
                </a:lnTo>
                <a:lnTo>
                  <a:pt x="15" y="2"/>
                </a:lnTo>
                <a:lnTo>
                  <a:pt x="3" y="2"/>
                </a:lnTo>
                <a:lnTo>
                  <a:pt x="0" y="4"/>
                </a:lnTo>
                <a:lnTo>
                  <a:pt x="1" y="4"/>
                </a:lnTo>
                <a:lnTo>
                  <a:pt x="0" y="4"/>
                </a:lnTo>
                <a:lnTo>
                  <a:pt x="0" y="8"/>
                </a:lnTo>
                <a:lnTo>
                  <a:pt x="1" y="8"/>
                </a:lnTo>
                <a:lnTo>
                  <a:pt x="3" y="8"/>
                </a:lnTo>
                <a:lnTo>
                  <a:pt x="3" y="6"/>
                </a:lnTo>
                <a:lnTo>
                  <a:pt x="11" y="6"/>
                </a:lnTo>
                <a:lnTo>
                  <a:pt x="11" y="8"/>
                </a:lnTo>
                <a:lnTo>
                  <a:pt x="19" y="8"/>
                </a:lnTo>
                <a:lnTo>
                  <a:pt x="19" y="6"/>
                </a:lnTo>
                <a:lnTo>
                  <a:pt x="21" y="6"/>
                </a:lnTo>
                <a:lnTo>
                  <a:pt x="21" y="4"/>
                </a:lnTo>
                <a:lnTo>
                  <a:pt x="21" y="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0" name="Freeform 269"/>
          <xdr:cNvSpPr>
            <a:spLocks/>
          </xdr:cNvSpPr>
        </xdr:nvSpPr>
        <xdr:spPr bwMode="auto">
          <a:xfrm>
            <a:off x="321" y="2272"/>
            <a:ext cx="11" cy="35"/>
          </a:xfrm>
          <a:custGeom>
            <a:avLst/>
            <a:gdLst>
              <a:gd name="T0" fmla="*/ 0 w 53"/>
              <a:gd name="T1" fmla="*/ 0 h 156"/>
              <a:gd name="T2" fmla="*/ 0 w 53"/>
              <a:gd name="T3" fmla="*/ 1 h 156"/>
              <a:gd name="T4" fmla="*/ 1 w 53"/>
              <a:gd name="T5" fmla="*/ 1 h 156"/>
              <a:gd name="T6" fmla="*/ 3 w 53"/>
              <a:gd name="T7" fmla="*/ 4 h 156"/>
              <a:gd name="T8" fmla="*/ 5 w 53"/>
              <a:gd name="T9" fmla="*/ 5 h 156"/>
              <a:gd name="T10" fmla="*/ 7 w 53"/>
              <a:gd name="T11" fmla="*/ 7 h 156"/>
              <a:gd name="T12" fmla="*/ 7 w 53"/>
              <a:gd name="T13" fmla="*/ 9 h 156"/>
              <a:gd name="T14" fmla="*/ 8 w 53"/>
              <a:gd name="T15" fmla="*/ 9 h 156"/>
              <a:gd name="T16" fmla="*/ 9 w 53"/>
              <a:gd name="T17" fmla="*/ 11 h 156"/>
              <a:gd name="T18" fmla="*/ 9 w 53"/>
              <a:gd name="T19" fmla="*/ 12 h 156"/>
              <a:gd name="T20" fmla="*/ 9 w 53"/>
              <a:gd name="T21" fmla="*/ 13 h 156"/>
              <a:gd name="T22" fmla="*/ 10 w 53"/>
              <a:gd name="T23" fmla="*/ 15 h 156"/>
              <a:gd name="T24" fmla="*/ 10 w 53"/>
              <a:gd name="T25" fmla="*/ 15 h 156"/>
              <a:gd name="T26" fmla="*/ 10 w 53"/>
              <a:gd name="T27" fmla="*/ 21 h 156"/>
              <a:gd name="T28" fmla="*/ 9 w 53"/>
              <a:gd name="T29" fmla="*/ 23 h 156"/>
              <a:gd name="T30" fmla="*/ 9 w 53"/>
              <a:gd name="T31" fmla="*/ 25 h 156"/>
              <a:gd name="T32" fmla="*/ 9 w 53"/>
              <a:gd name="T33" fmla="*/ 26 h 156"/>
              <a:gd name="T34" fmla="*/ 8 w 53"/>
              <a:gd name="T35" fmla="*/ 27 h 156"/>
              <a:gd name="T36" fmla="*/ 8 w 53"/>
              <a:gd name="T37" fmla="*/ 28 h 156"/>
              <a:gd name="T38" fmla="*/ 7 w 53"/>
              <a:gd name="T39" fmla="*/ 30 h 156"/>
              <a:gd name="T40" fmla="*/ 6 w 53"/>
              <a:gd name="T41" fmla="*/ 31 h 156"/>
              <a:gd name="T42" fmla="*/ 5 w 53"/>
              <a:gd name="T43" fmla="*/ 35 h 156"/>
              <a:gd name="T44" fmla="*/ 5 w 53"/>
              <a:gd name="T45" fmla="*/ 35 h 156"/>
              <a:gd name="T46" fmla="*/ 6 w 53"/>
              <a:gd name="T47" fmla="*/ 35 h 156"/>
              <a:gd name="T48" fmla="*/ 7 w 53"/>
              <a:gd name="T49" fmla="*/ 33 h 156"/>
              <a:gd name="T50" fmla="*/ 7 w 53"/>
              <a:gd name="T51" fmla="*/ 31 h 156"/>
              <a:gd name="T52" fmla="*/ 9 w 53"/>
              <a:gd name="T53" fmla="*/ 29 h 156"/>
              <a:gd name="T54" fmla="*/ 9 w 53"/>
              <a:gd name="T55" fmla="*/ 28 h 156"/>
              <a:gd name="T56" fmla="*/ 9 w 53"/>
              <a:gd name="T57" fmla="*/ 27 h 156"/>
              <a:gd name="T58" fmla="*/ 10 w 53"/>
              <a:gd name="T59" fmla="*/ 25 h 156"/>
              <a:gd name="T60" fmla="*/ 10 w 53"/>
              <a:gd name="T61" fmla="*/ 24 h 156"/>
              <a:gd name="T62" fmla="*/ 11 w 53"/>
              <a:gd name="T63" fmla="*/ 22 h 156"/>
              <a:gd name="T64" fmla="*/ 11 w 53"/>
              <a:gd name="T65" fmla="*/ 20 h 156"/>
              <a:gd name="T66" fmla="*/ 11 w 53"/>
              <a:gd name="T67" fmla="*/ 15 h 156"/>
              <a:gd name="T68" fmla="*/ 10 w 53"/>
              <a:gd name="T69" fmla="*/ 13 h 156"/>
              <a:gd name="T70" fmla="*/ 10 w 53"/>
              <a:gd name="T71" fmla="*/ 12 h 156"/>
              <a:gd name="T72" fmla="*/ 9 w 53"/>
              <a:gd name="T73" fmla="*/ 11 h 156"/>
              <a:gd name="T74" fmla="*/ 9 w 53"/>
              <a:gd name="T75" fmla="*/ 9 h 156"/>
              <a:gd name="T76" fmla="*/ 8 w 53"/>
              <a:gd name="T77" fmla="*/ 8 h 156"/>
              <a:gd name="T78" fmla="*/ 8 w 53"/>
              <a:gd name="T79" fmla="*/ 7 h 156"/>
              <a:gd name="T80" fmla="*/ 6 w 53"/>
              <a:gd name="T81" fmla="*/ 5 h 156"/>
              <a:gd name="T82" fmla="*/ 4 w 53"/>
              <a:gd name="T83" fmla="*/ 3 h 156"/>
              <a:gd name="T84" fmla="*/ 1 w 53"/>
              <a:gd name="T85" fmla="*/ 0 h 156"/>
              <a:gd name="T86" fmla="*/ 1 w 53"/>
              <a:gd name="T87" fmla="*/ 0 h 15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53"/>
              <a:gd name="T133" fmla="*/ 0 h 156"/>
              <a:gd name="T134" fmla="*/ 53 w 53"/>
              <a:gd name="T135" fmla="*/ 156 h 156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53" h="156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0" y="4"/>
                </a:lnTo>
                <a:lnTo>
                  <a:pt x="4" y="6"/>
                </a:lnTo>
                <a:lnTo>
                  <a:pt x="6" y="6"/>
                </a:lnTo>
                <a:lnTo>
                  <a:pt x="16" y="16"/>
                </a:lnTo>
                <a:lnTo>
                  <a:pt x="20" y="18"/>
                </a:lnTo>
                <a:lnTo>
                  <a:pt x="25" y="21"/>
                </a:lnTo>
                <a:lnTo>
                  <a:pt x="25" y="23"/>
                </a:lnTo>
                <a:lnTo>
                  <a:pt x="33" y="31"/>
                </a:lnTo>
                <a:lnTo>
                  <a:pt x="33" y="33"/>
                </a:lnTo>
                <a:lnTo>
                  <a:pt x="35" y="39"/>
                </a:lnTo>
                <a:lnTo>
                  <a:pt x="37" y="39"/>
                </a:lnTo>
                <a:lnTo>
                  <a:pt x="37" y="41"/>
                </a:lnTo>
                <a:lnTo>
                  <a:pt x="41" y="45"/>
                </a:lnTo>
                <a:lnTo>
                  <a:pt x="41" y="47"/>
                </a:lnTo>
                <a:lnTo>
                  <a:pt x="43" y="51"/>
                </a:lnTo>
                <a:lnTo>
                  <a:pt x="43" y="53"/>
                </a:lnTo>
                <a:lnTo>
                  <a:pt x="45" y="55"/>
                </a:lnTo>
                <a:lnTo>
                  <a:pt x="45" y="58"/>
                </a:lnTo>
                <a:lnTo>
                  <a:pt x="47" y="60"/>
                </a:lnTo>
                <a:lnTo>
                  <a:pt x="47" y="66"/>
                </a:lnTo>
                <a:lnTo>
                  <a:pt x="49" y="70"/>
                </a:lnTo>
                <a:lnTo>
                  <a:pt x="49" y="68"/>
                </a:lnTo>
                <a:lnTo>
                  <a:pt x="49" y="90"/>
                </a:lnTo>
                <a:lnTo>
                  <a:pt x="47" y="93"/>
                </a:lnTo>
                <a:lnTo>
                  <a:pt x="47" y="99"/>
                </a:lnTo>
                <a:lnTo>
                  <a:pt x="45" y="103"/>
                </a:lnTo>
                <a:lnTo>
                  <a:pt x="45" y="107"/>
                </a:lnTo>
                <a:lnTo>
                  <a:pt x="43" y="111"/>
                </a:lnTo>
                <a:lnTo>
                  <a:pt x="43" y="113"/>
                </a:lnTo>
                <a:lnTo>
                  <a:pt x="41" y="115"/>
                </a:lnTo>
                <a:lnTo>
                  <a:pt x="41" y="119"/>
                </a:lnTo>
                <a:lnTo>
                  <a:pt x="39" y="121"/>
                </a:lnTo>
                <a:lnTo>
                  <a:pt x="39" y="123"/>
                </a:lnTo>
                <a:lnTo>
                  <a:pt x="37" y="127"/>
                </a:lnTo>
                <a:lnTo>
                  <a:pt x="37" y="129"/>
                </a:lnTo>
                <a:lnTo>
                  <a:pt x="33" y="132"/>
                </a:lnTo>
                <a:lnTo>
                  <a:pt x="31" y="138"/>
                </a:lnTo>
                <a:lnTo>
                  <a:pt x="31" y="140"/>
                </a:lnTo>
                <a:lnTo>
                  <a:pt x="27" y="144"/>
                </a:lnTo>
                <a:lnTo>
                  <a:pt x="24" y="154"/>
                </a:lnTo>
                <a:lnTo>
                  <a:pt x="24" y="152"/>
                </a:lnTo>
                <a:lnTo>
                  <a:pt x="24" y="156"/>
                </a:lnTo>
                <a:lnTo>
                  <a:pt x="27" y="156"/>
                </a:lnTo>
                <a:lnTo>
                  <a:pt x="27" y="154"/>
                </a:lnTo>
                <a:lnTo>
                  <a:pt x="31" y="148"/>
                </a:lnTo>
                <a:lnTo>
                  <a:pt x="33" y="146"/>
                </a:lnTo>
                <a:lnTo>
                  <a:pt x="35" y="140"/>
                </a:lnTo>
                <a:lnTo>
                  <a:pt x="35" y="138"/>
                </a:lnTo>
                <a:lnTo>
                  <a:pt x="39" y="134"/>
                </a:lnTo>
                <a:lnTo>
                  <a:pt x="41" y="129"/>
                </a:lnTo>
                <a:lnTo>
                  <a:pt x="41" y="127"/>
                </a:lnTo>
                <a:lnTo>
                  <a:pt x="43" y="123"/>
                </a:lnTo>
                <a:lnTo>
                  <a:pt x="43" y="121"/>
                </a:lnTo>
                <a:lnTo>
                  <a:pt x="45" y="119"/>
                </a:lnTo>
                <a:lnTo>
                  <a:pt x="45" y="115"/>
                </a:lnTo>
                <a:lnTo>
                  <a:pt x="47" y="113"/>
                </a:lnTo>
                <a:lnTo>
                  <a:pt x="47" y="111"/>
                </a:lnTo>
                <a:lnTo>
                  <a:pt x="49" y="107"/>
                </a:lnTo>
                <a:lnTo>
                  <a:pt x="49" y="103"/>
                </a:lnTo>
                <a:lnTo>
                  <a:pt x="51" y="99"/>
                </a:lnTo>
                <a:lnTo>
                  <a:pt x="51" y="93"/>
                </a:lnTo>
                <a:lnTo>
                  <a:pt x="53" y="90"/>
                </a:lnTo>
                <a:lnTo>
                  <a:pt x="53" y="66"/>
                </a:lnTo>
                <a:lnTo>
                  <a:pt x="51" y="66"/>
                </a:lnTo>
                <a:lnTo>
                  <a:pt x="51" y="60"/>
                </a:lnTo>
                <a:lnTo>
                  <a:pt x="49" y="58"/>
                </a:lnTo>
                <a:lnTo>
                  <a:pt x="49" y="55"/>
                </a:lnTo>
                <a:lnTo>
                  <a:pt x="47" y="53"/>
                </a:lnTo>
                <a:lnTo>
                  <a:pt x="47" y="51"/>
                </a:lnTo>
                <a:lnTo>
                  <a:pt x="45" y="47"/>
                </a:lnTo>
                <a:lnTo>
                  <a:pt x="45" y="45"/>
                </a:lnTo>
                <a:lnTo>
                  <a:pt x="41" y="41"/>
                </a:lnTo>
                <a:lnTo>
                  <a:pt x="41" y="39"/>
                </a:lnTo>
                <a:lnTo>
                  <a:pt x="39" y="35"/>
                </a:lnTo>
                <a:lnTo>
                  <a:pt x="37" y="33"/>
                </a:lnTo>
                <a:lnTo>
                  <a:pt x="37" y="31"/>
                </a:lnTo>
                <a:lnTo>
                  <a:pt x="29" y="23"/>
                </a:lnTo>
                <a:lnTo>
                  <a:pt x="29" y="21"/>
                </a:lnTo>
                <a:lnTo>
                  <a:pt x="24" y="14"/>
                </a:lnTo>
                <a:lnTo>
                  <a:pt x="20" y="12"/>
                </a:lnTo>
                <a:lnTo>
                  <a:pt x="12" y="4"/>
                </a:lnTo>
                <a:lnTo>
                  <a:pt x="6" y="2"/>
                </a:lnTo>
                <a:lnTo>
                  <a:pt x="4" y="2"/>
                </a:lnTo>
                <a:lnTo>
                  <a:pt x="4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1" name="Freeform 270"/>
          <xdr:cNvSpPr>
            <a:spLocks/>
          </xdr:cNvSpPr>
        </xdr:nvSpPr>
        <xdr:spPr bwMode="auto">
          <a:xfrm>
            <a:off x="320" y="2269"/>
            <a:ext cx="2" cy="3"/>
          </a:xfrm>
          <a:custGeom>
            <a:avLst/>
            <a:gdLst>
              <a:gd name="T0" fmla="*/ 1 w 12"/>
              <a:gd name="T1" fmla="*/ 3 h 12"/>
              <a:gd name="T2" fmla="*/ 2 w 12"/>
              <a:gd name="T3" fmla="*/ 3 h 12"/>
              <a:gd name="T4" fmla="*/ 2 w 12"/>
              <a:gd name="T5" fmla="*/ 2 h 12"/>
              <a:gd name="T6" fmla="*/ 1 w 12"/>
              <a:gd name="T7" fmla="*/ 1 h 12"/>
              <a:gd name="T8" fmla="*/ 1 w 12"/>
              <a:gd name="T9" fmla="*/ 2 h 12"/>
              <a:gd name="T10" fmla="*/ 1 w 12"/>
              <a:gd name="T11" fmla="*/ 0 h 12"/>
              <a:gd name="T12" fmla="*/ 0 w 12"/>
              <a:gd name="T13" fmla="*/ 1 h 12"/>
              <a:gd name="T14" fmla="*/ 1 w 12"/>
              <a:gd name="T15" fmla="*/ 1 h 12"/>
              <a:gd name="T16" fmla="*/ 1 w 12"/>
              <a:gd name="T17" fmla="*/ 1 h 12"/>
              <a:gd name="T18" fmla="*/ 1 w 12"/>
              <a:gd name="T19" fmla="*/ 0 h 12"/>
              <a:gd name="T20" fmla="*/ 0 w 12"/>
              <a:gd name="T21" fmla="*/ 0 h 12"/>
              <a:gd name="T22" fmla="*/ 1 w 12"/>
              <a:gd name="T23" fmla="*/ 0 h 12"/>
              <a:gd name="T24" fmla="*/ 1 w 12"/>
              <a:gd name="T25" fmla="*/ 2 h 12"/>
              <a:gd name="T26" fmla="*/ 1 w 12"/>
              <a:gd name="T27" fmla="*/ 3 h 12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2"/>
              <a:gd name="T43" fmla="*/ 0 h 12"/>
              <a:gd name="T44" fmla="*/ 12 w 12"/>
              <a:gd name="T45" fmla="*/ 12 h 12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12" h="12">
                <a:moveTo>
                  <a:pt x="8" y="12"/>
                </a:moveTo>
                <a:lnTo>
                  <a:pt x="12" y="12"/>
                </a:lnTo>
                <a:lnTo>
                  <a:pt x="12" y="8"/>
                </a:lnTo>
                <a:lnTo>
                  <a:pt x="8" y="4"/>
                </a:lnTo>
                <a:lnTo>
                  <a:pt x="8" y="6"/>
                </a:lnTo>
                <a:lnTo>
                  <a:pt x="8" y="0"/>
                </a:lnTo>
                <a:lnTo>
                  <a:pt x="0" y="2"/>
                </a:lnTo>
                <a:lnTo>
                  <a:pt x="4" y="4"/>
                </a:lnTo>
                <a:lnTo>
                  <a:pt x="6" y="4"/>
                </a:lnTo>
                <a:lnTo>
                  <a:pt x="6" y="0"/>
                </a:lnTo>
                <a:lnTo>
                  <a:pt x="2" y="0"/>
                </a:lnTo>
                <a:lnTo>
                  <a:pt x="4" y="0"/>
                </a:lnTo>
                <a:lnTo>
                  <a:pt x="4" y="8"/>
                </a:lnTo>
                <a:lnTo>
                  <a:pt x="8" y="1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2" name="Freeform 271"/>
          <xdr:cNvSpPr>
            <a:spLocks/>
          </xdr:cNvSpPr>
        </xdr:nvSpPr>
        <xdr:spPr bwMode="auto">
          <a:xfrm>
            <a:off x="248" y="2300"/>
            <a:ext cx="69" cy="10"/>
          </a:xfrm>
          <a:custGeom>
            <a:avLst/>
            <a:gdLst>
              <a:gd name="T0" fmla="*/ 0 w 335"/>
              <a:gd name="T1" fmla="*/ 0 h 41"/>
              <a:gd name="T2" fmla="*/ 0 w 335"/>
              <a:gd name="T3" fmla="*/ 0 h 41"/>
              <a:gd name="T4" fmla="*/ 0 w 335"/>
              <a:gd name="T5" fmla="*/ 1 h 41"/>
              <a:gd name="T6" fmla="*/ 0 w 335"/>
              <a:gd name="T7" fmla="*/ 1 h 41"/>
              <a:gd name="T8" fmla="*/ 69 w 335"/>
              <a:gd name="T9" fmla="*/ 10 h 41"/>
              <a:gd name="T10" fmla="*/ 69 w 335"/>
              <a:gd name="T11" fmla="*/ 10 h 41"/>
              <a:gd name="T12" fmla="*/ 69 w 335"/>
              <a:gd name="T13" fmla="*/ 9 h 41"/>
              <a:gd name="T14" fmla="*/ 69 w 335"/>
              <a:gd name="T15" fmla="*/ 9 h 41"/>
              <a:gd name="T16" fmla="*/ 0 w 335"/>
              <a:gd name="T17" fmla="*/ 0 h 41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5"/>
              <a:gd name="T28" fmla="*/ 0 h 41"/>
              <a:gd name="T29" fmla="*/ 335 w 335"/>
              <a:gd name="T30" fmla="*/ 41 h 41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5" h="41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333" y="41"/>
                </a:lnTo>
                <a:lnTo>
                  <a:pt x="335" y="41"/>
                </a:lnTo>
                <a:lnTo>
                  <a:pt x="335" y="37"/>
                </a:lnTo>
                <a:lnTo>
                  <a:pt x="333" y="37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3" name="Freeform 272"/>
          <xdr:cNvSpPr>
            <a:spLocks/>
          </xdr:cNvSpPr>
        </xdr:nvSpPr>
        <xdr:spPr bwMode="auto">
          <a:xfrm>
            <a:off x="322" y="2310"/>
            <a:ext cx="1" cy="2"/>
          </a:xfrm>
          <a:custGeom>
            <a:avLst/>
            <a:gdLst>
              <a:gd name="T0" fmla="*/ 1 w 8"/>
              <a:gd name="T1" fmla="*/ 0 h 13"/>
              <a:gd name="T2" fmla="*/ 1 w 8"/>
              <a:gd name="T3" fmla="*/ 0 h 13"/>
              <a:gd name="T4" fmla="*/ 1 w 8"/>
              <a:gd name="T5" fmla="*/ 0 h 13"/>
              <a:gd name="T6" fmla="*/ 1 w 8"/>
              <a:gd name="T7" fmla="*/ 0 h 13"/>
              <a:gd name="T8" fmla="*/ 0 w 8"/>
              <a:gd name="T9" fmla="*/ 2 h 13"/>
              <a:gd name="T10" fmla="*/ 0 w 8"/>
              <a:gd name="T11" fmla="*/ 2 h 13"/>
              <a:gd name="T12" fmla="*/ 1 w 8"/>
              <a:gd name="T13" fmla="*/ 2 h 13"/>
              <a:gd name="T14" fmla="*/ 1 w 8"/>
              <a:gd name="T15" fmla="*/ 2 h 13"/>
              <a:gd name="T16" fmla="*/ 1 w 8"/>
              <a:gd name="T17" fmla="*/ 0 h 13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8"/>
              <a:gd name="T28" fmla="*/ 0 h 13"/>
              <a:gd name="T29" fmla="*/ 8 w 8"/>
              <a:gd name="T30" fmla="*/ 13 h 13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8" h="13">
                <a:moveTo>
                  <a:pt x="8" y="2"/>
                </a:moveTo>
                <a:lnTo>
                  <a:pt x="8" y="0"/>
                </a:lnTo>
                <a:lnTo>
                  <a:pt x="4" y="0"/>
                </a:lnTo>
                <a:lnTo>
                  <a:pt x="4" y="2"/>
                </a:lnTo>
                <a:lnTo>
                  <a:pt x="0" y="11"/>
                </a:lnTo>
                <a:lnTo>
                  <a:pt x="0" y="13"/>
                </a:lnTo>
                <a:lnTo>
                  <a:pt x="4" y="13"/>
                </a:lnTo>
                <a:lnTo>
                  <a:pt x="4" y="11"/>
                </a:lnTo>
                <a:lnTo>
                  <a:pt x="8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4" name="Freeform 273"/>
          <xdr:cNvSpPr>
            <a:spLocks/>
          </xdr:cNvSpPr>
        </xdr:nvSpPr>
        <xdr:spPr bwMode="auto">
          <a:xfrm>
            <a:off x="298" y="2314"/>
            <a:ext cx="3" cy="3"/>
          </a:xfrm>
          <a:custGeom>
            <a:avLst/>
            <a:gdLst>
              <a:gd name="T0" fmla="*/ 3 w 11"/>
              <a:gd name="T1" fmla="*/ 1 h 12"/>
              <a:gd name="T2" fmla="*/ 3 w 11"/>
              <a:gd name="T3" fmla="*/ 0 h 12"/>
              <a:gd name="T4" fmla="*/ 2 w 11"/>
              <a:gd name="T5" fmla="*/ 0 h 12"/>
              <a:gd name="T6" fmla="*/ 2 w 11"/>
              <a:gd name="T7" fmla="*/ 0 h 12"/>
              <a:gd name="T8" fmla="*/ 1 w 11"/>
              <a:gd name="T9" fmla="*/ 0 h 12"/>
              <a:gd name="T10" fmla="*/ 1 w 11"/>
              <a:gd name="T11" fmla="*/ 2 h 12"/>
              <a:gd name="T12" fmla="*/ 1 w 11"/>
              <a:gd name="T13" fmla="*/ 1 h 12"/>
              <a:gd name="T14" fmla="*/ 0 w 11"/>
              <a:gd name="T15" fmla="*/ 1 h 12"/>
              <a:gd name="T16" fmla="*/ 0 w 11"/>
              <a:gd name="T17" fmla="*/ 3 h 12"/>
              <a:gd name="T18" fmla="*/ 1 w 11"/>
              <a:gd name="T19" fmla="*/ 3 h 12"/>
              <a:gd name="T20" fmla="*/ 1 w 11"/>
              <a:gd name="T21" fmla="*/ 3 h 12"/>
              <a:gd name="T22" fmla="*/ 1 w 11"/>
              <a:gd name="T23" fmla="*/ 3 h 12"/>
              <a:gd name="T24" fmla="*/ 1 w 11"/>
              <a:gd name="T25" fmla="*/ 3 h 12"/>
              <a:gd name="T26" fmla="*/ 1 w 11"/>
              <a:gd name="T27" fmla="*/ 2 h 12"/>
              <a:gd name="T28" fmla="*/ 1 w 11"/>
              <a:gd name="T29" fmla="*/ 2 h 12"/>
              <a:gd name="T30" fmla="*/ 1 w 11"/>
              <a:gd name="T31" fmla="*/ 2 h 12"/>
              <a:gd name="T32" fmla="*/ 1 w 11"/>
              <a:gd name="T33" fmla="*/ 2 h 12"/>
              <a:gd name="T34" fmla="*/ 1 w 11"/>
              <a:gd name="T35" fmla="*/ 1 h 12"/>
              <a:gd name="T36" fmla="*/ 2 w 11"/>
              <a:gd name="T37" fmla="*/ 1 h 12"/>
              <a:gd name="T38" fmla="*/ 3 w 11"/>
              <a:gd name="T39" fmla="*/ 1 h 12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1"/>
              <a:gd name="T61" fmla="*/ 0 h 12"/>
              <a:gd name="T62" fmla="*/ 11 w 11"/>
              <a:gd name="T63" fmla="*/ 12 h 12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1" h="12">
                <a:moveTo>
                  <a:pt x="11" y="4"/>
                </a:moveTo>
                <a:lnTo>
                  <a:pt x="11" y="0"/>
                </a:lnTo>
                <a:lnTo>
                  <a:pt x="7" y="0"/>
                </a:lnTo>
                <a:lnTo>
                  <a:pt x="9" y="0"/>
                </a:lnTo>
                <a:lnTo>
                  <a:pt x="2" y="0"/>
                </a:lnTo>
                <a:lnTo>
                  <a:pt x="2" y="6"/>
                </a:lnTo>
                <a:lnTo>
                  <a:pt x="4" y="4"/>
                </a:lnTo>
                <a:lnTo>
                  <a:pt x="0" y="4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5" y="12"/>
                </a:lnTo>
                <a:lnTo>
                  <a:pt x="5" y="10"/>
                </a:lnTo>
                <a:lnTo>
                  <a:pt x="5" y="6"/>
                </a:lnTo>
                <a:lnTo>
                  <a:pt x="4" y="6"/>
                </a:lnTo>
                <a:lnTo>
                  <a:pt x="4" y="8"/>
                </a:lnTo>
                <a:lnTo>
                  <a:pt x="5" y="6"/>
                </a:lnTo>
                <a:lnTo>
                  <a:pt x="5" y="4"/>
                </a:lnTo>
                <a:lnTo>
                  <a:pt x="9" y="4"/>
                </a:lnTo>
                <a:lnTo>
                  <a:pt x="11" y="4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5" name="Freeform 274"/>
          <xdr:cNvSpPr>
            <a:spLocks/>
          </xdr:cNvSpPr>
        </xdr:nvSpPr>
        <xdr:spPr bwMode="auto">
          <a:xfrm>
            <a:off x="264" y="2346"/>
            <a:ext cx="4" cy="7"/>
          </a:xfrm>
          <a:custGeom>
            <a:avLst/>
            <a:gdLst>
              <a:gd name="T0" fmla="*/ 4 w 20"/>
              <a:gd name="T1" fmla="*/ 1 h 26"/>
              <a:gd name="T2" fmla="*/ 4 w 20"/>
              <a:gd name="T3" fmla="*/ 0 h 26"/>
              <a:gd name="T4" fmla="*/ 3 w 20"/>
              <a:gd name="T5" fmla="*/ 0 h 26"/>
              <a:gd name="T6" fmla="*/ 3 w 20"/>
              <a:gd name="T7" fmla="*/ 3 h 26"/>
              <a:gd name="T8" fmla="*/ 4 w 20"/>
              <a:gd name="T9" fmla="*/ 2 h 26"/>
              <a:gd name="T10" fmla="*/ 3 w 20"/>
              <a:gd name="T11" fmla="*/ 2 h 26"/>
              <a:gd name="T12" fmla="*/ 3 w 20"/>
              <a:gd name="T13" fmla="*/ 4 h 26"/>
              <a:gd name="T14" fmla="*/ 3 w 20"/>
              <a:gd name="T15" fmla="*/ 4 h 26"/>
              <a:gd name="T16" fmla="*/ 3 w 20"/>
              <a:gd name="T17" fmla="*/ 4 h 26"/>
              <a:gd name="T18" fmla="*/ 3 w 20"/>
              <a:gd name="T19" fmla="*/ 4 h 26"/>
              <a:gd name="T20" fmla="*/ 2 w 20"/>
              <a:gd name="T21" fmla="*/ 4 h 26"/>
              <a:gd name="T22" fmla="*/ 2 w 20"/>
              <a:gd name="T23" fmla="*/ 4 h 26"/>
              <a:gd name="T24" fmla="*/ 2 w 20"/>
              <a:gd name="T25" fmla="*/ 5 h 26"/>
              <a:gd name="T26" fmla="*/ 1 w 20"/>
              <a:gd name="T27" fmla="*/ 5 h 26"/>
              <a:gd name="T28" fmla="*/ 1 w 20"/>
              <a:gd name="T29" fmla="*/ 5 h 26"/>
              <a:gd name="T30" fmla="*/ 0 w 20"/>
              <a:gd name="T31" fmla="*/ 5 h 26"/>
              <a:gd name="T32" fmla="*/ 0 w 20"/>
              <a:gd name="T33" fmla="*/ 6 h 26"/>
              <a:gd name="T34" fmla="*/ 0 w 20"/>
              <a:gd name="T35" fmla="*/ 6 h 26"/>
              <a:gd name="T36" fmla="*/ 0 w 20"/>
              <a:gd name="T37" fmla="*/ 7 h 26"/>
              <a:gd name="T38" fmla="*/ 1 w 20"/>
              <a:gd name="T39" fmla="*/ 7 h 26"/>
              <a:gd name="T40" fmla="*/ 1 w 20"/>
              <a:gd name="T41" fmla="*/ 6 h 26"/>
              <a:gd name="T42" fmla="*/ 2 w 20"/>
              <a:gd name="T43" fmla="*/ 6 h 26"/>
              <a:gd name="T44" fmla="*/ 2 w 20"/>
              <a:gd name="T45" fmla="*/ 6 h 26"/>
              <a:gd name="T46" fmla="*/ 2 w 20"/>
              <a:gd name="T47" fmla="*/ 6 h 26"/>
              <a:gd name="T48" fmla="*/ 2 w 20"/>
              <a:gd name="T49" fmla="*/ 5 h 26"/>
              <a:gd name="T50" fmla="*/ 3 w 20"/>
              <a:gd name="T51" fmla="*/ 5 h 26"/>
              <a:gd name="T52" fmla="*/ 4 w 20"/>
              <a:gd name="T53" fmla="*/ 5 h 26"/>
              <a:gd name="T54" fmla="*/ 4 w 20"/>
              <a:gd name="T55" fmla="*/ 3 h 26"/>
              <a:gd name="T56" fmla="*/ 3 w 20"/>
              <a:gd name="T57" fmla="*/ 2 h 26"/>
              <a:gd name="T58" fmla="*/ 4 w 20"/>
              <a:gd name="T59" fmla="*/ 2 h 26"/>
              <a:gd name="T60" fmla="*/ 4 w 20"/>
              <a:gd name="T61" fmla="*/ 1 h 2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20"/>
              <a:gd name="T94" fmla="*/ 0 h 26"/>
              <a:gd name="T95" fmla="*/ 20 w 20"/>
              <a:gd name="T96" fmla="*/ 26 h 26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20" h="26">
                <a:moveTo>
                  <a:pt x="18" y="2"/>
                </a:moveTo>
                <a:lnTo>
                  <a:pt x="18" y="0"/>
                </a:lnTo>
                <a:lnTo>
                  <a:pt x="14" y="0"/>
                </a:lnTo>
                <a:lnTo>
                  <a:pt x="14" y="10"/>
                </a:lnTo>
                <a:lnTo>
                  <a:pt x="20" y="8"/>
                </a:lnTo>
                <a:lnTo>
                  <a:pt x="14" y="6"/>
                </a:lnTo>
                <a:lnTo>
                  <a:pt x="14" y="16"/>
                </a:lnTo>
                <a:lnTo>
                  <a:pt x="14" y="14"/>
                </a:lnTo>
                <a:lnTo>
                  <a:pt x="16" y="14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8" y="18"/>
                </a:lnTo>
                <a:lnTo>
                  <a:pt x="4" y="18"/>
                </a:lnTo>
                <a:lnTo>
                  <a:pt x="4" y="20"/>
                </a:lnTo>
                <a:lnTo>
                  <a:pt x="0" y="20"/>
                </a:lnTo>
                <a:lnTo>
                  <a:pt x="0" y="24"/>
                </a:lnTo>
                <a:lnTo>
                  <a:pt x="0" y="22"/>
                </a:lnTo>
                <a:lnTo>
                  <a:pt x="0" y="26"/>
                </a:lnTo>
                <a:lnTo>
                  <a:pt x="4" y="26"/>
                </a:lnTo>
                <a:lnTo>
                  <a:pt x="4" y="24"/>
                </a:lnTo>
                <a:lnTo>
                  <a:pt x="8" y="24"/>
                </a:lnTo>
                <a:lnTo>
                  <a:pt x="8" y="22"/>
                </a:lnTo>
                <a:lnTo>
                  <a:pt x="12" y="22"/>
                </a:lnTo>
                <a:lnTo>
                  <a:pt x="12" y="20"/>
                </a:lnTo>
                <a:lnTo>
                  <a:pt x="14" y="18"/>
                </a:lnTo>
                <a:lnTo>
                  <a:pt x="18" y="18"/>
                </a:lnTo>
                <a:lnTo>
                  <a:pt x="18" y="10"/>
                </a:lnTo>
                <a:lnTo>
                  <a:pt x="16" y="8"/>
                </a:lnTo>
                <a:lnTo>
                  <a:pt x="18" y="6"/>
                </a:lnTo>
                <a:lnTo>
                  <a:pt x="18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6" name="Freeform 275"/>
          <xdr:cNvSpPr>
            <a:spLocks/>
          </xdr:cNvSpPr>
        </xdr:nvSpPr>
        <xdr:spPr bwMode="auto">
          <a:xfrm>
            <a:off x="265" y="2339"/>
            <a:ext cx="3" cy="8"/>
          </a:xfrm>
          <a:custGeom>
            <a:avLst/>
            <a:gdLst>
              <a:gd name="T0" fmla="*/ 2 w 10"/>
              <a:gd name="T1" fmla="*/ 8 h 39"/>
              <a:gd name="T2" fmla="*/ 2 w 10"/>
              <a:gd name="T3" fmla="*/ 8 h 39"/>
              <a:gd name="T4" fmla="*/ 3 w 10"/>
              <a:gd name="T5" fmla="*/ 8 h 39"/>
              <a:gd name="T6" fmla="*/ 3 w 10"/>
              <a:gd name="T7" fmla="*/ 8 h 39"/>
              <a:gd name="T8" fmla="*/ 1 w 10"/>
              <a:gd name="T9" fmla="*/ 0 h 39"/>
              <a:gd name="T10" fmla="*/ 1 w 10"/>
              <a:gd name="T11" fmla="*/ 0 h 39"/>
              <a:gd name="T12" fmla="*/ 0 w 10"/>
              <a:gd name="T13" fmla="*/ 0 h 39"/>
              <a:gd name="T14" fmla="*/ 0 w 10"/>
              <a:gd name="T15" fmla="*/ 0 h 39"/>
              <a:gd name="T16" fmla="*/ 2 w 10"/>
              <a:gd name="T17" fmla="*/ 8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0"/>
              <a:gd name="T28" fmla="*/ 0 h 39"/>
              <a:gd name="T29" fmla="*/ 10 w 10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0" h="39">
                <a:moveTo>
                  <a:pt x="6" y="37"/>
                </a:moveTo>
                <a:lnTo>
                  <a:pt x="6" y="39"/>
                </a:lnTo>
                <a:lnTo>
                  <a:pt x="10" y="39"/>
                </a:lnTo>
                <a:lnTo>
                  <a:pt x="10" y="37"/>
                </a:lnTo>
                <a:lnTo>
                  <a:pt x="4" y="2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6" y="37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7" name="Freeform 276"/>
          <xdr:cNvSpPr>
            <a:spLocks/>
          </xdr:cNvSpPr>
        </xdr:nvSpPr>
        <xdr:spPr bwMode="auto">
          <a:xfrm>
            <a:off x="310" y="2335"/>
            <a:ext cx="1" cy="11"/>
          </a:xfrm>
          <a:custGeom>
            <a:avLst/>
            <a:gdLst>
              <a:gd name="T0" fmla="*/ 0 w 10"/>
              <a:gd name="T1" fmla="*/ 11 h 50"/>
              <a:gd name="T2" fmla="*/ 0 w 10"/>
              <a:gd name="T3" fmla="*/ 11 h 50"/>
              <a:gd name="T4" fmla="*/ 0 w 10"/>
              <a:gd name="T5" fmla="*/ 11 h 50"/>
              <a:gd name="T6" fmla="*/ 0 w 10"/>
              <a:gd name="T7" fmla="*/ 11 h 50"/>
              <a:gd name="T8" fmla="*/ 1 w 10"/>
              <a:gd name="T9" fmla="*/ 0 h 50"/>
              <a:gd name="T10" fmla="*/ 1 w 10"/>
              <a:gd name="T11" fmla="*/ 0 h 50"/>
              <a:gd name="T12" fmla="*/ 1 w 10"/>
              <a:gd name="T13" fmla="*/ 0 h 50"/>
              <a:gd name="T14" fmla="*/ 1 w 10"/>
              <a:gd name="T15" fmla="*/ 0 h 50"/>
              <a:gd name="T16" fmla="*/ 0 w 10"/>
              <a:gd name="T17" fmla="*/ 11 h 5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0"/>
              <a:gd name="T28" fmla="*/ 0 h 50"/>
              <a:gd name="T29" fmla="*/ 10 w 10"/>
              <a:gd name="T30" fmla="*/ 50 h 50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0" h="50">
                <a:moveTo>
                  <a:pt x="0" y="48"/>
                </a:moveTo>
                <a:lnTo>
                  <a:pt x="0" y="50"/>
                </a:lnTo>
                <a:lnTo>
                  <a:pt x="4" y="50"/>
                </a:lnTo>
                <a:lnTo>
                  <a:pt x="4" y="48"/>
                </a:lnTo>
                <a:lnTo>
                  <a:pt x="10" y="2"/>
                </a:lnTo>
                <a:lnTo>
                  <a:pt x="10" y="0"/>
                </a:lnTo>
                <a:lnTo>
                  <a:pt x="6" y="0"/>
                </a:lnTo>
                <a:lnTo>
                  <a:pt x="6" y="2"/>
                </a:lnTo>
                <a:lnTo>
                  <a:pt x="0" y="4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8" name="Freeform 277"/>
          <xdr:cNvSpPr>
            <a:spLocks/>
          </xdr:cNvSpPr>
        </xdr:nvSpPr>
        <xdr:spPr bwMode="auto">
          <a:xfrm>
            <a:off x="251" y="2352"/>
            <a:ext cx="72" cy="1"/>
          </a:xfrm>
          <a:custGeom>
            <a:avLst/>
            <a:gdLst>
              <a:gd name="T0" fmla="*/ 0 w 347"/>
              <a:gd name="T1" fmla="*/ 0 h 4"/>
              <a:gd name="T2" fmla="*/ 0 w 347"/>
              <a:gd name="T3" fmla="*/ 0 h 4"/>
              <a:gd name="T4" fmla="*/ 0 w 347"/>
              <a:gd name="T5" fmla="*/ 1 h 4"/>
              <a:gd name="T6" fmla="*/ 72 w 347"/>
              <a:gd name="T7" fmla="*/ 1 h 4"/>
              <a:gd name="T8" fmla="*/ 72 w 347"/>
              <a:gd name="T9" fmla="*/ 0 h 4"/>
              <a:gd name="T10" fmla="*/ 72 w 347"/>
              <a:gd name="T11" fmla="*/ 0 h 4"/>
              <a:gd name="T12" fmla="*/ 0 w 347"/>
              <a:gd name="T13" fmla="*/ 0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47"/>
              <a:gd name="T22" fmla="*/ 0 h 4"/>
              <a:gd name="T23" fmla="*/ 347 w 347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47" h="4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347" y="4"/>
                </a:lnTo>
                <a:lnTo>
                  <a:pt x="347" y="0"/>
                </a:lnTo>
                <a:lnTo>
                  <a:pt x="345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79" name="Freeform 278"/>
          <xdr:cNvSpPr>
            <a:spLocks/>
          </xdr:cNvSpPr>
        </xdr:nvSpPr>
        <xdr:spPr bwMode="auto">
          <a:xfrm>
            <a:off x="261" y="2352"/>
            <a:ext cx="0" cy="7"/>
          </a:xfrm>
          <a:custGeom>
            <a:avLst/>
            <a:gdLst>
              <a:gd name="T0" fmla="*/ 0 w 4"/>
              <a:gd name="T1" fmla="*/ 0 h 29"/>
              <a:gd name="T2" fmla="*/ 0 w 4"/>
              <a:gd name="T3" fmla="*/ 0 h 29"/>
              <a:gd name="T4" fmla="*/ 0 w 4"/>
              <a:gd name="T5" fmla="*/ 0 h 29"/>
              <a:gd name="T6" fmla="*/ 0 w 4"/>
              <a:gd name="T7" fmla="*/ 7 h 29"/>
              <a:gd name="T8" fmla="*/ 0 w 4"/>
              <a:gd name="T9" fmla="*/ 7 h 29"/>
              <a:gd name="T10" fmla="*/ 0 w 4"/>
              <a:gd name="T11" fmla="*/ 7 h 29"/>
              <a:gd name="T12" fmla="*/ 0 w 4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9"/>
              <a:gd name="T23" fmla="*/ 0 w 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0" name="Freeform 279"/>
          <xdr:cNvSpPr>
            <a:spLocks/>
          </xdr:cNvSpPr>
        </xdr:nvSpPr>
        <xdr:spPr bwMode="auto">
          <a:xfrm>
            <a:off x="265" y="2352"/>
            <a:ext cx="0" cy="7"/>
          </a:xfrm>
          <a:custGeom>
            <a:avLst/>
            <a:gdLst>
              <a:gd name="T0" fmla="*/ 0 w 4"/>
              <a:gd name="T1" fmla="*/ 1 h 27"/>
              <a:gd name="T2" fmla="*/ 0 w 4"/>
              <a:gd name="T3" fmla="*/ 0 h 27"/>
              <a:gd name="T4" fmla="*/ 0 w 4"/>
              <a:gd name="T5" fmla="*/ 0 h 27"/>
              <a:gd name="T6" fmla="*/ 0 w 4"/>
              <a:gd name="T7" fmla="*/ 7 h 27"/>
              <a:gd name="T8" fmla="*/ 0 w 4"/>
              <a:gd name="T9" fmla="*/ 7 h 27"/>
              <a:gd name="T10" fmla="*/ 0 w 4"/>
              <a:gd name="T11" fmla="*/ 6 h 27"/>
              <a:gd name="T12" fmla="*/ 0 w 4"/>
              <a:gd name="T13" fmla="*/ 1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7"/>
              <a:gd name="T23" fmla="*/ 0 w 4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7"/>
                </a:lnTo>
                <a:lnTo>
                  <a:pt x="4" y="27"/>
                </a:lnTo>
                <a:lnTo>
                  <a:pt x="4" y="2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1" name="Freeform 280"/>
          <xdr:cNvSpPr>
            <a:spLocks/>
          </xdr:cNvSpPr>
        </xdr:nvSpPr>
        <xdr:spPr bwMode="auto">
          <a:xfrm>
            <a:off x="311" y="2352"/>
            <a:ext cx="0" cy="7"/>
          </a:xfrm>
          <a:custGeom>
            <a:avLst/>
            <a:gdLst>
              <a:gd name="T0" fmla="*/ 0 w 4"/>
              <a:gd name="T1" fmla="*/ 0 h 29"/>
              <a:gd name="T2" fmla="*/ 0 w 4"/>
              <a:gd name="T3" fmla="*/ 0 h 29"/>
              <a:gd name="T4" fmla="*/ 0 w 4"/>
              <a:gd name="T5" fmla="*/ 0 h 29"/>
              <a:gd name="T6" fmla="*/ 0 w 4"/>
              <a:gd name="T7" fmla="*/ 7 h 29"/>
              <a:gd name="T8" fmla="*/ 0 w 4"/>
              <a:gd name="T9" fmla="*/ 7 h 29"/>
              <a:gd name="T10" fmla="*/ 0 w 4"/>
              <a:gd name="T11" fmla="*/ 7 h 29"/>
              <a:gd name="T12" fmla="*/ 0 w 4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9"/>
              <a:gd name="T23" fmla="*/ 0 w 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9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9"/>
                </a:lnTo>
                <a:lnTo>
                  <a:pt x="4" y="29"/>
                </a:lnTo>
                <a:lnTo>
                  <a:pt x="4" y="27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2" name="Freeform 281"/>
          <xdr:cNvSpPr>
            <a:spLocks/>
          </xdr:cNvSpPr>
        </xdr:nvSpPr>
        <xdr:spPr bwMode="auto">
          <a:xfrm>
            <a:off x="313" y="2352"/>
            <a:ext cx="2" cy="7"/>
          </a:xfrm>
          <a:custGeom>
            <a:avLst/>
            <a:gdLst>
              <a:gd name="T0" fmla="*/ 2 w 4"/>
              <a:gd name="T1" fmla="*/ 1 h 27"/>
              <a:gd name="T2" fmla="*/ 2 w 4"/>
              <a:gd name="T3" fmla="*/ 0 h 27"/>
              <a:gd name="T4" fmla="*/ 0 w 4"/>
              <a:gd name="T5" fmla="*/ 0 h 27"/>
              <a:gd name="T6" fmla="*/ 0 w 4"/>
              <a:gd name="T7" fmla="*/ 7 h 27"/>
              <a:gd name="T8" fmla="*/ 2 w 4"/>
              <a:gd name="T9" fmla="*/ 7 h 27"/>
              <a:gd name="T10" fmla="*/ 2 w 4"/>
              <a:gd name="T11" fmla="*/ 6 h 27"/>
              <a:gd name="T12" fmla="*/ 2 w 4"/>
              <a:gd name="T13" fmla="*/ 1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7"/>
              <a:gd name="T23" fmla="*/ 4 w 4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7"/>
                </a:lnTo>
                <a:lnTo>
                  <a:pt x="4" y="27"/>
                </a:lnTo>
                <a:lnTo>
                  <a:pt x="4" y="2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3" name="Freeform 282"/>
          <xdr:cNvSpPr>
            <a:spLocks/>
          </xdr:cNvSpPr>
        </xdr:nvSpPr>
        <xdr:spPr bwMode="auto">
          <a:xfrm>
            <a:off x="308" y="2345"/>
            <a:ext cx="4" cy="8"/>
          </a:xfrm>
          <a:custGeom>
            <a:avLst/>
            <a:gdLst>
              <a:gd name="T0" fmla="*/ 1 w 16"/>
              <a:gd name="T1" fmla="*/ 0 h 34"/>
              <a:gd name="T2" fmla="*/ 1 w 16"/>
              <a:gd name="T3" fmla="*/ 0 h 34"/>
              <a:gd name="T4" fmla="*/ 0 w 16"/>
              <a:gd name="T5" fmla="*/ 0 h 34"/>
              <a:gd name="T6" fmla="*/ 0 w 16"/>
              <a:gd name="T7" fmla="*/ 5 h 34"/>
              <a:gd name="T8" fmla="*/ 1 w 16"/>
              <a:gd name="T9" fmla="*/ 5 h 34"/>
              <a:gd name="T10" fmla="*/ 1 w 16"/>
              <a:gd name="T11" fmla="*/ 6 h 34"/>
              <a:gd name="T12" fmla="*/ 1 w 16"/>
              <a:gd name="T13" fmla="*/ 6 h 34"/>
              <a:gd name="T14" fmla="*/ 1 w 16"/>
              <a:gd name="T15" fmla="*/ 7 h 34"/>
              <a:gd name="T16" fmla="*/ 1 w 16"/>
              <a:gd name="T17" fmla="*/ 7 h 34"/>
              <a:gd name="T18" fmla="*/ 1 w 16"/>
              <a:gd name="T19" fmla="*/ 7 h 34"/>
              <a:gd name="T20" fmla="*/ 2 w 16"/>
              <a:gd name="T21" fmla="*/ 7 h 34"/>
              <a:gd name="T22" fmla="*/ 2 w 16"/>
              <a:gd name="T23" fmla="*/ 8 h 34"/>
              <a:gd name="T24" fmla="*/ 2 w 16"/>
              <a:gd name="T25" fmla="*/ 8 h 34"/>
              <a:gd name="T26" fmla="*/ 2 w 16"/>
              <a:gd name="T27" fmla="*/ 8 h 34"/>
              <a:gd name="T28" fmla="*/ 4 w 16"/>
              <a:gd name="T29" fmla="*/ 8 h 34"/>
              <a:gd name="T30" fmla="*/ 4 w 16"/>
              <a:gd name="T31" fmla="*/ 7 h 34"/>
              <a:gd name="T32" fmla="*/ 3 w 16"/>
              <a:gd name="T33" fmla="*/ 7 h 34"/>
              <a:gd name="T34" fmla="*/ 3 w 16"/>
              <a:gd name="T35" fmla="*/ 7 h 34"/>
              <a:gd name="T36" fmla="*/ 3 w 16"/>
              <a:gd name="T37" fmla="*/ 7 h 34"/>
              <a:gd name="T38" fmla="*/ 3 w 16"/>
              <a:gd name="T39" fmla="*/ 6 h 34"/>
              <a:gd name="T40" fmla="*/ 2 w 16"/>
              <a:gd name="T41" fmla="*/ 6 h 34"/>
              <a:gd name="T42" fmla="*/ 2 w 16"/>
              <a:gd name="T43" fmla="*/ 6 h 34"/>
              <a:gd name="T44" fmla="*/ 2 w 16"/>
              <a:gd name="T45" fmla="*/ 6 h 34"/>
              <a:gd name="T46" fmla="*/ 2 w 16"/>
              <a:gd name="T47" fmla="*/ 5 h 34"/>
              <a:gd name="T48" fmla="*/ 1 w 16"/>
              <a:gd name="T49" fmla="*/ 5 h 34"/>
              <a:gd name="T50" fmla="*/ 1 w 16"/>
              <a:gd name="T51" fmla="*/ 4 h 34"/>
              <a:gd name="T52" fmla="*/ 1 w 16"/>
              <a:gd name="T53" fmla="*/ 4 h 34"/>
              <a:gd name="T54" fmla="*/ 1 w 16"/>
              <a:gd name="T55" fmla="*/ 0 h 34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16"/>
              <a:gd name="T85" fmla="*/ 0 h 34"/>
              <a:gd name="T86" fmla="*/ 16 w 16"/>
              <a:gd name="T87" fmla="*/ 34 h 34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16" h="34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2"/>
                </a:lnTo>
                <a:lnTo>
                  <a:pt x="2" y="22"/>
                </a:lnTo>
                <a:lnTo>
                  <a:pt x="2" y="26"/>
                </a:lnTo>
                <a:lnTo>
                  <a:pt x="4" y="26"/>
                </a:lnTo>
                <a:lnTo>
                  <a:pt x="4" y="28"/>
                </a:lnTo>
                <a:lnTo>
                  <a:pt x="6" y="28"/>
                </a:lnTo>
                <a:lnTo>
                  <a:pt x="6" y="30"/>
                </a:lnTo>
                <a:lnTo>
                  <a:pt x="8" y="30"/>
                </a:lnTo>
                <a:lnTo>
                  <a:pt x="8" y="32"/>
                </a:lnTo>
                <a:lnTo>
                  <a:pt x="10" y="32"/>
                </a:lnTo>
                <a:lnTo>
                  <a:pt x="10" y="34"/>
                </a:lnTo>
                <a:lnTo>
                  <a:pt x="16" y="34"/>
                </a:lnTo>
                <a:lnTo>
                  <a:pt x="16" y="30"/>
                </a:lnTo>
                <a:lnTo>
                  <a:pt x="14" y="30"/>
                </a:lnTo>
                <a:lnTo>
                  <a:pt x="14" y="28"/>
                </a:lnTo>
                <a:lnTo>
                  <a:pt x="12" y="28"/>
                </a:lnTo>
                <a:lnTo>
                  <a:pt x="12" y="26"/>
                </a:lnTo>
                <a:lnTo>
                  <a:pt x="10" y="26"/>
                </a:lnTo>
                <a:lnTo>
                  <a:pt x="10" y="24"/>
                </a:lnTo>
                <a:lnTo>
                  <a:pt x="8" y="24"/>
                </a:lnTo>
                <a:lnTo>
                  <a:pt x="8" y="22"/>
                </a:lnTo>
                <a:lnTo>
                  <a:pt x="6" y="22"/>
                </a:lnTo>
                <a:lnTo>
                  <a:pt x="6" y="18"/>
                </a:lnTo>
                <a:lnTo>
                  <a:pt x="4" y="18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4" name="Freeform 283"/>
          <xdr:cNvSpPr>
            <a:spLocks/>
          </xdr:cNvSpPr>
        </xdr:nvSpPr>
        <xdr:spPr bwMode="auto">
          <a:xfrm>
            <a:off x="353" y="2273"/>
            <a:ext cx="0" cy="48"/>
          </a:xfrm>
          <a:custGeom>
            <a:avLst/>
            <a:gdLst>
              <a:gd name="T0" fmla="*/ 0 w 3"/>
              <a:gd name="T1" fmla="*/ 0 h 202"/>
              <a:gd name="T2" fmla="*/ 0 w 3"/>
              <a:gd name="T3" fmla="*/ 0 h 202"/>
              <a:gd name="T4" fmla="*/ 0 w 3"/>
              <a:gd name="T5" fmla="*/ 0 h 202"/>
              <a:gd name="T6" fmla="*/ 0 w 3"/>
              <a:gd name="T7" fmla="*/ 48 h 202"/>
              <a:gd name="T8" fmla="*/ 0 w 3"/>
              <a:gd name="T9" fmla="*/ 48 h 202"/>
              <a:gd name="T10" fmla="*/ 0 w 3"/>
              <a:gd name="T11" fmla="*/ 48 h 202"/>
              <a:gd name="T12" fmla="*/ 0 w 3"/>
              <a:gd name="T13" fmla="*/ 0 h 20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"/>
              <a:gd name="T22" fmla="*/ 0 h 202"/>
              <a:gd name="T23" fmla="*/ 0 w 3"/>
              <a:gd name="T24" fmla="*/ 202 h 20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" h="202">
                <a:moveTo>
                  <a:pt x="3" y="2"/>
                </a:moveTo>
                <a:lnTo>
                  <a:pt x="3" y="0"/>
                </a:lnTo>
                <a:lnTo>
                  <a:pt x="0" y="0"/>
                </a:lnTo>
                <a:lnTo>
                  <a:pt x="0" y="202"/>
                </a:lnTo>
                <a:lnTo>
                  <a:pt x="3" y="202"/>
                </a:lnTo>
                <a:lnTo>
                  <a:pt x="3" y="200"/>
                </a:lnTo>
                <a:lnTo>
                  <a:pt x="3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5" name="Freeform 284"/>
          <xdr:cNvSpPr>
            <a:spLocks/>
          </xdr:cNvSpPr>
        </xdr:nvSpPr>
        <xdr:spPr bwMode="auto">
          <a:xfrm>
            <a:off x="362" y="2276"/>
            <a:ext cx="0" cy="50"/>
          </a:xfrm>
          <a:custGeom>
            <a:avLst/>
            <a:gdLst>
              <a:gd name="T0" fmla="*/ 0 w 4"/>
              <a:gd name="T1" fmla="*/ 0 h 211"/>
              <a:gd name="T2" fmla="*/ 0 w 4"/>
              <a:gd name="T3" fmla="*/ 0 h 211"/>
              <a:gd name="T4" fmla="*/ 0 w 4"/>
              <a:gd name="T5" fmla="*/ 0 h 211"/>
              <a:gd name="T6" fmla="*/ 0 w 4"/>
              <a:gd name="T7" fmla="*/ 50 h 211"/>
              <a:gd name="T8" fmla="*/ 0 w 4"/>
              <a:gd name="T9" fmla="*/ 50 h 211"/>
              <a:gd name="T10" fmla="*/ 0 w 4"/>
              <a:gd name="T11" fmla="*/ 50 h 211"/>
              <a:gd name="T12" fmla="*/ 0 w 4"/>
              <a:gd name="T13" fmla="*/ 0 h 2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11"/>
              <a:gd name="T23" fmla="*/ 0 w 4"/>
              <a:gd name="T24" fmla="*/ 211 h 2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11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11"/>
                </a:lnTo>
                <a:lnTo>
                  <a:pt x="4" y="211"/>
                </a:lnTo>
                <a:lnTo>
                  <a:pt x="4" y="209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6" name="Freeform 285"/>
          <xdr:cNvSpPr>
            <a:spLocks/>
          </xdr:cNvSpPr>
        </xdr:nvSpPr>
        <xdr:spPr bwMode="auto">
          <a:xfrm>
            <a:off x="223" y="2280"/>
            <a:ext cx="1" cy="51"/>
          </a:xfrm>
          <a:custGeom>
            <a:avLst/>
            <a:gdLst>
              <a:gd name="T0" fmla="*/ 1 w 4"/>
              <a:gd name="T1" fmla="*/ 0 h 218"/>
              <a:gd name="T2" fmla="*/ 1 w 4"/>
              <a:gd name="T3" fmla="*/ 0 h 218"/>
              <a:gd name="T4" fmla="*/ 0 w 4"/>
              <a:gd name="T5" fmla="*/ 0 h 218"/>
              <a:gd name="T6" fmla="*/ 0 w 4"/>
              <a:gd name="T7" fmla="*/ 51 h 218"/>
              <a:gd name="T8" fmla="*/ 1 w 4"/>
              <a:gd name="T9" fmla="*/ 51 h 218"/>
              <a:gd name="T10" fmla="*/ 1 w 4"/>
              <a:gd name="T11" fmla="*/ 51 h 218"/>
              <a:gd name="T12" fmla="*/ 1 w 4"/>
              <a:gd name="T13" fmla="*/ 0 h 21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18"/>
              <a:gd name="T23" fmla="*/ 4 w 4"/>
              <a:gd name="T24" fmla="*/ 218 h 21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18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18"/>
                </a:lnTo>
                <a:lnTo>
                  <a:pt x="4" y="218"/>
                </a:lnTo>
                <a:lnTo>
                  <a:pt x="4" y="216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7" name="Freeform 286"/>
          <xdr:cNvSpPr>
            <a:spLocks/>
          </xdr:cNvSpPr>
        </xdr:nvSpPr>
        <xdr:spPr bwMode="auto">
          <a:xfrm>
            <a:off x="239" y="2273"/>
            <a:ext cx="4" cy="6"/>
          </a:xfrm>
          <a:custGeom>
            <a:avLst/>
            <a:gdLst>
              <a:gd name="T0" fmla="*/ 1 w 16"/>
              <a:gd name="T1" fmla="*/ 4 h 25"/>
              <a:gd name="T2" fmla="*/ 0 w 16"/>
              <a:gd name="T3" fmla="*/ 4 h 25"/>
              <a:gd name="T4" fmla="*/ 0 w 16"/>
              <a:gd name="T5" fmla="*/ 6 h 25"/>
              <a:gd name="T6" fmla="*/ 1 w 16"/>
              <a:gd name="T7" fmla="*/ 6 h 25"/>
              <a:gd name="T8" fmla="*/ 1 w 16"/>
              <a:gd name="T9" fmla="*/ 6 h 25"/>
              <a:gd name="T10" fmla="*/ 2 w 16"/>
              <a:gd name="T11" fmla="*/ 6 h 25"/>
              <a:gd name="T12" fmla="*/ 2 w 16"/>
              <a:gd name="T13" fmla="*/ 6 h 25"/>
              <a:gd name="T14" fmla="*/ 3 w 16"/>
              <a:gd name="T15" fmla="*/ 5 h 25"/>
              <a:gd name="T16" fmla="*/ 2 w 16"/>
              <a:gd name="T17" fmla="*/ 4 h 25"/>
              <a:gd name="T18" fmla="*/ 2 w 16"/>
              <a:gd name="T19" fmla="*/ 5 h 25"/>
              <a:gd name="T20" fmla="*/ 2 w 16"/>
              <a:gd name="T21" fmla="*/ 2 h 25"/>
              <a:gd name="T22" fmla="*/ 3 w 16"/>
              <a:gd name="T23" fmla="*/ 2 h 25"/>
              <a:gd name="T24" fmla="*/ 3 w 16"/>
              <a:gd name="T25" fmla="*/ 3 h 25"/>
              <a:gd name="T26" fmla="*/ 3 w 16"/>
              <a:gd name="T27" fmla="*/ 3 h 25"/>
              <a:gd name="T28" fmla="*/ 3 w 16"/>
              <a:gd name="T29" fmla="*/ 2 h 25"/>
              <a:gd name="T30" fmla="*/ 3 w 16"/>
              <a:gd name="T31" fmla="*/ 3 h 25"/>
              <a:gd name="T32" fmla="*/ 2 w 16"/>
              <a:gd name="T33" fmla="*/ 0 h 25"/>
              <a:gd name="T34" fmla="*/ 1 w 16"/>
              <a:gd name="T35" fmla="*/ 0 h 25"/>
              <a:gd name="T36" fmla="*/ 1 w 16"/>
              <a:gd name="T37" fmla="*/ 2 h 25"/>
              <a:gd name="T38" fmla="*/ 2 w 16"/>
              <a:gd name="T39" fmla="*/ 2 h 25"/>
              <a:gd name="T40" fmla="*/ 2 w 16"/>
              <a:gd name="T41" fmla="*/ 3 h 25"/>
              <a:gd name="T42" fmla="*/ 4 w 16"/>
              <a:gd name="T43" fmla="*/ 3 h 25"/>
              <a:gd name="T44" fmla="*/ 4 w 16"/>
              <a:gd name="T45" fmla="*/ 2 h 25"/>
              <a:gd name="T46" fmla="*/ 3 w 16"/>
              <a:gd name="T47" fmla="*/ 0 h 25"/>
              <a:gd name="T48" fmla="*/ 1 w 16"/>
              <a:gd name="T49" fmla="*/ 0 h 25"/>
              <a:gd name="T50" fmla="*/ 1 w 16"/>
              <a:gd name="T51" fmla="*/ 1 h 25"/>
              <a:gd name="T52" fmla="*/ 1 w 16"/>
              <a:gd name="T53" fmla="*/ 1 h 25"/>
              <a:gd name="T54" fmla="*/ 1 w 16"/>
              <a:gd name="T55" fmla="*/ 4 h 25"/>
              <a:gd name="T56" fmla="*/ 2 w 16"/>
              <a:gd name="T57" fmla="*/ 5 h 25"/>
              <a:gd name="T58" fmla="*/ 3 w 16"/>
              <a:gd name="T59" fmla="*/ 5 h 25"/>
              <a:gd name="T60" fmla="*/ 3 w 16"/>
              <a:gd name="T61" fmla="*/ 4 h 25"/>
              <a:gd name="T62" fmla="*/ 4 w 16"/>
              <a:gd name="T63" fmla="*/ 4 h 25"/>
              <a:gd name="T64" fmla="*/ 4 w 16"/>
              <a:gd name="T65" fmla="*/ 2 h 25"/>
              <a:gd name="T66" fmla="*/ 3 w 16"/>
              <a:gd name="T67" fmla="*/ 2 h 25"/>
              <a:gd name="T68" fmla="*/ 3 w 16"/>
              <a:gd name="T69" fmla="*/ 2 h 25"/>
              <a:gd name="T70" fmla="*/ 2 w 16"/>
              <a:gd name="T71" fmla="*/ 2 h 25"/>
              <a:gd name="T72" fmla="*/ 1 w 16"/>
              <a:gd name="T73" fmla="*/ 2 h 25"/>
              <a:gd name="T74" fmla="*/ 0 w 16"/>
              <a:gd name="T75" fmla="*/ 5 h 25"/>
              <a:gd name="T76" fmla="*/ 1 w 16"/>
              <a:gd name="T77" fmla="*/ 4 h 25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16"/>
              <a:gd name="T118" fmla="*/ 0 h 25"/>
              <a:gd name="T119" fmla="*/ 16 w 16"/>
              <a:gd name="T120" fmla="*/ 25 h 25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16" h="25">
                <a:moveTo>
                  <a:pt x="2" y="15"/>
                </a:moveTo>
                <a:lnTo>
                  <a:pt x="0" y="15"/>
                </a:lnTo>
                <a:lnTo>
                  <a:pt x="0" y="23"/>
                </a:lnTo>
                <a:lnTo>
                  <a:pt x="2" y="23"/>
                </a:lnTo>
                <a:lnTo>
                  <a:pt x="2" y="25"/>
                </a:lnTo>
                <a:lnTo>
                  <a:pt x="10" y="25"/>
                </a:lnTo>
                <a:lnTo>
                  <a:pt x="10" y="23"/>
                </a:lnTo>
                <a:lnTo>
                  <a:pt x="12" y="19"/>
                </a:lnTo>
                <a:lnTo>
                  <a:pt x="10" y="17"/>
                </a:lnTo>
                <a:lnTo>
                  <a:pt x="10" y="19"/>
                </a:lnTo>
                <a:lnTo>
                  <a:pt x="10" y="8"/>
                </a:lnTo>
                <a:lnTo>
                  <a:pt x="12" y="10"/>
                </a:lnTo>
                <a:lnTo>
                  <a:pt x="12" y="13"/>
                </a:lnTo>
                <a:lnTo>
                  <a:pt x="14" y="13"/>
                </a:lnTo>
                <a:lnTo>
                  <a:pt x="14" y="10"/>
                </a:lnTo>
                <a:lnTo>
                  <a:pt x="12" y="12"/>
                </a:lnTo>
                <a:lnTo>
                  <a:pt x="8" y="2"/>
                </a:lnTo>
                <a:lnTo>
                  <a:pt x="6" y="2"/>
                </a:lnTo>
                <a:lnTo>
                  <a:pt x="6" y="10"/>
                </a:lnTo>
                <a:lnTo>
                  <a:pt x="8" y="10"/>
                </a:lnTo>
                <a:lnTo>
                  <a:pt x="8" y="12"/>
                </a:lnTo>
                <a:lnTo>
                  <a:pt x="16" y="12"/>
                </a:lnTo>
                <a:lnTo>
                  <a:pt x="16" y="10"/>
                </a:lnTo>
                <a:lnTo>
                  <a:pt x="12" y="0"/>
                </a:lnTo>
                <a:lnTo>
                  <a:pt x="6" y="2"/>
                </a:lnTo>
                <a:lnTo>
                  <a:pt x="6" y="6"/>
                </a:lnTo>
                <a:lnTo>
                  <a:pt x="4" y="6"/>
                </a:lnTo>
                <a:lnTo>
                  <a:pt x="4" y="17"/>
                </a:lnTo>
                <a:lnTo>
                  <a:pt x="10" y="19"/>
                </a:lnTo>
                <a:lnTo>
                  <a:pt x="14" y="19"/>
                </a:lnTo>
                <a:lnTo>
                  <a:pt x="14" y="17"/>
                </a:lnTo>
                <a:lnTo>
                  <a:pt x="16" y="17"/>
                </a:lnTo>
                <a:lnTo>
                  <a:pt x="16" y="10"/>
                </a:lnTo>
                <a:lnTo>
                  <a:pt x="14" y="10"/>
                </a:lnTo>
                <a:lnTo>
                  <a:pt x="14" y="8"/>
                </a:lnTo>
                <a:lnTo>
                  <a:pt x="10" y="8"/>
                </a:lnTo>
                <a:lnTo>
                  <a:pt x="2" y="10"/>
                </a:lnTo>
                <a:lnTo>
                  <a:pt x="0" y="19"/>
                </a:lnTo>
                <a:lnTo>
                  <a:pt x="2" y="15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88" name="Freeform 287"/>
          <xdr:cNvSpPr>
            <a:spLocks/>
          </xdr:cNvSpPr>
        </xdr:nvSpPr>
        <xdr:spPr bwMode="auto">
          <a:xfrm>
            <a:off x="328" y="2007"/>
            <a:ext cx="1" cy="77"/>
          </a:xfrm>
          <a:custGeom>
            <a:avLst/>
            <a:gdLst>
              <a:gd name="T0" fmla="*/ 1 w 12"/>
              <a:gd name="T1" fmla="*/ 1 h 329"/>
              <a:gd name="T2" fmla="*/ 1 w 12"/>
              <a:gd name="T3" fmla="*/ 0 h 329"/>
              <a:gd name="T4" fmla="*/ 1 w 12"/>
              <a:gd name="T5" fmla="*/ 0 h 329"/>
              <a:gd name="T6" fmla="*/ 1 w 12"/>
              <a:gd name="T7" fmla="*/ 0 h 329"/>
              <a:gd name="T8" fmla="*/ 0 w 12"/>
              <a:gd name="T9" fmla="*/ 0 h 329"/>
              <a:gd name="T10" fmla="*/ 0 w 12"/>
              <a:gd name="T11" fmla="*/ 0 h 329"/>
              <a:gd name="T12" fmla="*/ 0 w 12"/>
              <a:gd name="T13" fmla="*/ 0 h 329"/>
              <a:gd name="T14" fmla="*/ 0 w 12"/>
              <a:gd name="T15" fmla="*/ 77 h 329"/>
              <a:gd name="T16" fmla="*/ 0 w 12"/>
              <a:gd name="T17" fmla="*/ 77 h 329"/>
              <a:gd name="T18" fmla="*/ 0 w 12"/>
              <a:gd name="T19" fmla="*/ 77 h 329"/>
              <a:gd name="T20" fmla="*/ 1 w 12"/>
              <a:gd name="T21" fmla="*/ 77 h 329"/>
              <a:gd name="T22" fmla="*/ 1 w 12"/>
              <a:gd name="T23" fmla="*/ 77 h 329"/>
              <a:gd name="T24" fmla="*/ 1 w 12"/>
              <a:gd name="T25" fmla="*/ 77 h 329"/>
              <a:gd name="T26" fmla="*/ 1 w 12"/>
              <a:gd name="T27" fmla="*/ 76 h 329"/>
              <a:gd name="T28" fmla="*/ 1 w 12"/>
              <a:gd name="T29" fmla="*/ 1 h 329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329"/>
              <a:gd name="T47" fmla="*/ 12 w 12"/>
              <a:gd name="T48" fmla="*/ 329 h 329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329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27"/>
                </a:lnTo>
                <a:lnTo>
                  <a:pt x="2" y="327"/>
                </a:lnTo>
                <a:lnTo>
                  <a:pt x="2" y="329"/>
                </a:lnTo>
                <a:lnTo>
                  <a:pt x="10" y="329"/>
                </a:lnTo>
                <a:lnTo>
                  <a:pt x="10" y="327"/>
                </a:lnTo>
                <a:lnTo>
                  <a:pt x="12" y="327"/>
                </a:lnTo>
                <a:lnTo>
                  <a:pt x="12" y="323"/>
                </a:lnTo>
                <a:lnTo>
                  <a:pt x="12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89" name="Freeform 288"/>
          <xdr:cNvSpPr>
            <a:spLocks/>
          </xdr:cNvSpPr>
        </xdr:nvSpPr>
        <xdr:spPr bwMode="auto">
          <a:xfrm>
            <a:off x="352" y="2210"/>
            <a:ext cx="6" cy="3"/>
          </a:xfrm>
          <a:custGeom>
            <a:avLst/>
            <a:gdLst>
              <a:gd name="T0" fmla="*/ 5 w 25"/>
              <a:gd name="T1" fmla="*/ 3 h 12"/>
              <a:gd name="T2" fmla="*/ 6 w 25"/>
              <a:gd name="T3" fmla="*/ 3 h 12"/>
              <a:gd name="T4" fmla="*/ 6 w 25"/>
              <a:gd name="T5" fmla="*/ 3 h 12"/>
              <a:gd name="T6" fmla="*/ 6 w 25"/>
              <a:gd name="T7" fmla="*/ 3 h 12"/>
              <a:gd name="T8" fmla="*/ 6 w 25"/>
              <a:gd name="T9" fmla="*/ 1 h 12"/>
              <a:gd name="T10" fmla="*/ 6 w 25"/>
              <a:gd name="T11" fmla="*/ 1 h 12"/>
              <a:gd name="T12" fmla="*/ 6 w 25"/>
              <a:gd name="T13" fmla="*/ 0 h 12"/>
              <a:gd name="T14" fmla="*/ 0 w 25"/>
              <a:gd name="T15" fmla="*/ 0 h 12"/>
              <a:gd name="T16" fmla="*/ 0 w 25"/>
              <a:gd name="T17" fmla="*/ 1 h 12"/>
              <a:gd name="T18" fmla="*/ 0 w 25"/>
              <a:gd name="T19" fmla="*/ 1 h 12"/>
              <a:gd name="T20" fmla="*/ 0 w 25"/>
              <a:gd name="T21" fmla="*/ 3 h 12"/>
              <a:gd name="T22" fmla="*/ 0 w 25"/>
              <a:gd name="T23" fmla="*/ 3 h 12"/>
              <a:gd name="T24" fmla="*/ 0 w 25"/>
              <a:gd name="T25" fmla="*/ 3 h 12"/>
              <a:gd name="T26" fmla="*/ 1 w 25"/>
              <a:gd name="T27" fmla="*/ 3 h 12"/>
              <a:gd name="T28" fmla="*/ 5 w 25"/>
              <a:gd name="T29" fmla="*/ 3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5"/>
              <a:gd name="T46" fmla="*/ 0 h 12"/>
              <a:gd name="T47" fmla="*/ 25 w 25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5" h="12">
                <a:moveTo>
                  <a:pt x="19" y="12"/>
                </a:moveTo>
                <a:lnTo>
                  <a:pt x="23" y="12"/>
                </a:lnTo>
                <a:lnTo>
                  <a:pt x="23" y="10"/>
                </a:lnTo>
                <a:lnTo>
                  <a:pt x="25" y="10"/>
                </a:lnTo>
                <a:lnTo>
                  <a:pt x="25" y="2"/>
                </a:lnTo>
                <a:lnTo>
                  <a:pt x="23" y="2"/>
                </a:lnTo>
                <a:lnTo>
                  <a:pt x="23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5" y="12"/>
                </a:lnTo>
                <a:lnTo>
                  <a:pt x="19" y="12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0" name="Freeform 289"/>
          <xdr:cNvSpPr>
            <a:spLocks/>
          </xdr:cNvSpPr>
        </xdr:nvSpPr>
        <xdr:spPr bwMode="auto">
          <a:xfrm>
            <a:off x="333" y="2242"/>
            <a:ext cx="20" cy="2"/>
          </a:xfrm>
          <a:custGeom>
            <a:avLst/>
            <a:gdLst>
              <a:gd name="T0" fmla="*/ 20 w 95"/>
              <a:gd name="T1" fmla="*/ 2 h 4"/>
              <a:gd name="T2" fmla="*/ 20 w 95"/>
              <a:gd name="T3" fmla="*/ 2 h 4"/>
              <a:gd name="T4" fmla="*/ 20 w 95"/>
              <a:gd name="T5" fmla="*/ 0 h 4"/>
              <a:gd name="T6" fmla="*/ 0 w 95"/>
              <a:gd name="T7" fmla="*/ 0 h 4"/>
              <a:gd name="T8" fmla="*/ 0 w 95"/>
              <a:gd name="T9" fmla="*/ 2 h 4"/>
              <a:gd name="T10" fmla="*/ 0 w 95"/>
              <a:gd name="T11" fmla="*/ 2 h 4"/>
              <a:gd name="T12" fmla="*/ 20 w 95"/>
              <a:gd name="T13" fmla="*/ 2 h 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95"/>
              <a:gd name="T22" fmla="*/ 0 h 4"/>
              <a:gd name="T23" fmla="*/ 95 w 95"/>
              <a:gd name="T24" fmla="*/ 4 h 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95" h="4">
                <a:moveTo>
                  <a:pt x="93" y="4"/>
                </a:moveTo>
                <a:lnTo>
                  <a:pt x="95" y="4"/>
                </a:lnTo>
                <a:lnTo>
                  <a:pt x="95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93" y="4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91" name="Freeform 290"/>
          <xdr:cNvSpPr>
            <a:spLocks/>
          </xdr:cNvSpPr>
        </xdr:nvSpPr>
        <xdr:spPr bwMode="auto">
          <a:xfrm>
            <a:off x="327" y="2248"/>
            <a:ext cx="2" cy="7"/>
          </a:xfrm>
          <a:custGeom>
            <a:avLst/>
            <a:gdLst>
              <a:gd name="T0" fmla="*/ 2 w 12"/>
              <a:gd name="T1" fmla="*/ 2 h 25"/>
              <a:gd name="T2" fmla="*/ 2 w 12"/>
              <a:gd name="T3" fmla="*/ 1 h 25"/>
              <a:gd name="T4" fmla="*/ 2 w 12"/>
              <a:gd name="T5" fmla="*/ 1 h 25"/>
              <a:gd name="T6" fmla="*/ 2 w 12"/>
              <a:gd name="T7" fmla="*/ 0 h 25"/>
              <a:gd name="T8" fmla="*/ 0 w 12"/>
              <a:gd name="T9" fmla="*/ 0 h 25"/>
              <a:gd name="T10" fmla="*/ 0 w 12"/>
              <a:gd name="T11" fmla="*/ 1 h 25"/>
              <a:gd name="T12" fmla="*/ 0 w 12"/>
              <a:gd name="T13" fmla="*/ 1 h 25"/>
              <a:gd name="T14" fmla="*/ 0 w 12"/>
              <a:gd name="T15" fmla="*/ 6 h 25"/>
              <a:gd name="T16" fmla="*/ 0 w 12"/>
              <a:gd name="T17" fmla="*/ 6 h 25"/>
              <a:gd name="T18" fmla="*/ 0 w 12"/>
              <a:gd name="T19" fmla="*/ 7 h 25"/>
              <a:gd name="T20" fmla="*/ 2 w 12"/>
              <a:gd name="T21" fmla="*/ 7 h 25"/>
              <a:gd name="T22" fmla="*/ 2 w 12"/>
              <a:gd name="T23" fmla="*/ 6 h 25"/>
              <a:gd name="T24" fmla="*/ 2 w 12"/>
              <a:gd name="T25" fmla="*/ 6 h 25"/>
              <a:gd name="T26" fmla="*/ 2 w 12"/>
              <a:gd name="T27" fmla="*/ 5 h 25"/>
              <a:gd name="T28" fmla="*/ 2 w 12"/>
              <a:gd name="T29" fmla="*/ 2 h 25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25"/>
              <a:gd name="T47" fmla="*/ 12 w 12"/>
              <a:gd name="T48" fmla="*/ 25 h 25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25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23"/>
                </a:lnTo>
                <a:lnTo>
                  <a:pt x="2" y="23"/>
                </a:lnTo>
                <a:lnTo>
                  <a:pt x="2" y="25"/>
                </a:lnTo>
                <a:lnTo>
                  <a:pt x="10" y="25"/>
                </a:lnTo>
                <a:lnTo>
                  <a:pt x="10" y="23"/>
                </a:lnTo>
                <a:lnTo>
                  <a:pt x="12" y="23"/>
                </a:lnTo>
                <a:lnTo>
                  <a:pt x="12" y="19"/>
                </a:lnTo>
                <a:lnTo>
                  <a:pt x="12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2" name="Freeform 291"/>
          <xdr:cNvSpPr>
            <a:spLocks/>
          </xdr:cNvSpPr>
        </xdr:nvSpPr>
        <xdr:spPr bwMode="auto">
          <a:xfrm>
            <a:off x="320" y="2350"/>
            <a:ext cx="2" cy="10"/>
          </a:xfrm>
          <a:custGeom>
            <a:avLst/>
            <a:gdLst>
              <a:gd name="T0" fmla="*/ 2 w 12"/>
              <a:gd name="T1" fmla="*/ 1 h 41"/>
              <a:gd name="T2" fmla="*/ 2 w 12"/>
              <a:gd name="T3" fmla="*/ 0 h 41"/>
              <a:gd name="T4" fmla="*/ 2 w 12"/>
              <a:gd name="T5" fmla="*/ 0 h 41"/>
              <a:gd name="T6" fmla="*/ 2 w 12"/>
              <a:gd name="T7" fmla="*/ 0 h 41"/>
              <a:gd name="T8" fmla="*/ 0 w 12"/>
              <a:gd name="T9" fmla="*/ 0 h 41"/>
              <a:gd name="T10" fmla="*/ 0 w 12"/>
              <a:gd name="T11" fmla="*/ 0 h 41"/>
              <a:gd name="T12" fmla="*/ 0 w 12"/>
              <a:gd name="T13" fmla="*/ 0 h 41"/>
              <a:gd name="T14" fmla="*/ 0 w 12"/>
              <a:gd name="T15" fmla="*/ 10 h 41"/>
              <a:gd name="T16" fmla="*/ 0 w 12"/>
              <a:gd name="T17" fmla="*/ 10 h 41"/>
              <a:gd name="T18" fmla="*/ 0 w 12"/>
              <a:gd name="T19" fmla="*/ 10 h 41"/>
              <a:gd name="T20" fmla="*/ 2 w 12"/>
              <a:gd name="T21" fmla="*/ 10 h 41"/>
              <a:gd name="T22" fmla="*/ 2 w 12"/>
              <a:gd name="T23" fmla="*/ 10 h 41"/>
              <a:gd name="T24" fmla="*/ 2 w 12"/>
              <a:gd name="T25" fmla="*/ 10 h 41"/>
              <a:gd name="T26" fmla="*/ 2 w 12"/>
              <a:gd name="T27" fmla="*/ 9 h 41"/>
              <a:gd name="T28" fmla="*/ 2 w 12"/>
              <a:gd name="T29" fmla="*/ 1 h 4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41"/>
              <a:gd name="T47" fmla="*/ 12 w 12"/>
              <a:gd name="T48" fmla="*/ 41 h 4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41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9"/>
                </a:lnTo>
                <a:lnTo>
                  <a:pt x="2" y="39"/>
                </a:lnTo>
                <a:lnTo>
                  <a:pt x="2" y="41"/>
                </a:lnTo>
                <a:lnTo>
                  <a:pt x="10" y="41"/>
                </a:lnTo>
                <a:lnTo>
                  <a:pt x="10" y="39"/>
                </a:lnTo>
                <a:lnTo>
                  <a:pt x="12" y="39"/>
                </a:lnTo>
                <a:lnTo>
                  <a:pt x="12" y="35"/>
                </a:lnTo>
                <a:lnTo>
                  <a:pt x="12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3" name="Freeform 292"/>
          <xdr:cNvSpPr>
            <a:spLocks/>
          </xdr:cNvSpPr>
        </xdr:nvSpPr>
        <xdr:spPr bwMode="auto">
          <a:xfrm>
            <a:off x="328" y="2110"/>
            <a:ext cx="3" cy="12"/>
          </a:xfrm>
          <a:custGeom>
            <a:avLst/>
            <a:gdLst>
              <a:gd name="T0" fmla="*/ 3 w 12"/>
              <a:gd name="T1" fmla="*/ 1 h 54"/>
              <a:gd name="T2" fmla="*/ 3 w 12"/>
              <a:gd name="T3" fmla="*/ 0 h 54"/>
              <a:gd name="T4" fmla="*/ 3 w 12"/>
              <a:gd name="T5" fmla="*/ 0 h 54"/>
              <a:gd name="T6" fmla="*/ 3 w 12"/>
              <a:gd name="T7" fmla="*/ 0 h 54"/>
              <a:gd name="T8" fmla="*/ 1 w 12"/>
              <a:gd name="T9" fmla="*/ 0 h 54"/>
              <a:gd name="T10" fmla="*/ 1 w 12"/>
              <a:gd name="T11" fmla="*/ 0 h 54"/>
              <a:gd name="T12" fmla="*/ 0 w 12"/>
              <a:gd name="T13" fmla="*/ 0 h 54"/>
              <a:gd name="T14" fmla="*/ 0 w 12"/>
              <a:gd name="T15" fmla="*/ 12 h 54"/>
              <a:gd name="T16" fmla="*/ 1 w 12"/>
              <a:gd name="T17" fmla="*/ 12 h 54"/>
              <a:gd name="T18" fmla="*/ 1 w 12"/>
              <a:gd name="T19" fmla="*/ 12 h 54"/>
              <a:gd name="T20" fmla="*/ 3 w 12"/>
              <a:gd name="T21" fmla="*/ 12 h 54"/>
              <a:gd name="T22" fmla="*/ 3 w 12"/>
              <a:gd name="T23" fmla="*/ 12 h 54"/>
              <a:gd name="T24" fmla="*/ 3 w 12"/>
              <a:gd name="T25" fmla="*/ 12 h 54"/>
              <a:gd name="T26" fmla="*/ 3 w 12"/>
              <a:gd name="T27" fmla="*/ 11 h 54"/>
              <a:gd name="T28" fmla="*/ 3 w 12"/>
              <a:gd name="T29" fmla="*/ 1 h 5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54"/>
              <a:gd name="T47" fmla="*/ 12 w 12"/>
              <a:gd name="T48" fmla="*/ 54 h 5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54">
                <a:moveTo>
                  <a:pt x="12" y="6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52"/>
                </a:lnTo>
                <a:lnTo>
                  <a:pt x="2" y="52"/>
                </a:lnTo>
                <a:lnTo>
                  <a:pt x="2" y="54"/>
                </a:lnTo>
                <a:lnTo>
                  <a:pt x="10" y="54"/>
                </a:lnTo>
                <a:lnTo>
                  <a:pt x="10" y="52"/>
                </a:lnTo>
                <a:lnTo>
                  <a:pt x="12" y="52"/>
                </a:lnTo>
                <a:lnTo>
                  <a:pt x="12" y="49"/>
                </a:lnTo>
                <a:lnTo>
                  <a:pt x="12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4" name="Freeform 293"/>
          <xdr:cNvSpPr>
            <a:spLocks/>
          </xdr:cNvSpPr>
        </xdr:nvSpPr>
        <xdr:spPr bwMode="auto">
          <a:xfrm>
            <a:off x="326" y="2119"/>
            <a:ext cx="5" cy="7"/>
          </a:xfrm>
          <a:custGeom>
            <a:avLst/>
            <a:gdLst>
              <a:gd name="T0" fmla="*/ 5 w 25"/>
              <a:gd name="T1" fmla="*/ 2 h 27"/>
              <a:gd name="T2" fmla="*/ 5 w 25"/>
              <a:gd name="T3" fmla="*/ 2 h 27"/>
              <a:gd name="T4" fmla="*/ 5 w 25"/>
              <a:gd name="T5" fmla="*/ 1 h 27"/>
              <a:gd name="T6" fmla="*/ 4 w 25"/>
              <a:gd name="T7" fmla="*/ 0 h 27"/>
              <a:gd name="T8" fmla="*/ 3 w 25"/>
              <a:gd name="T9" fmla="*/ 0 h 27"/>
              <a:gd name="T10" fmla="*/ 3 w 25"/>
              <a:gd name="T11" fmla="*/ 1 h 27"/>
              <a:gd name="T12" fmla="*/ 0 w 25"/>
              <a:gd name="T13" fmla="*/ 4 h 27"/>
              <a:gd name="T14" fmla="*/ 0 w 25"/>
              <a:gd name="T15" fmla="*/ 5 h 27"/>
              <a:gd name="T16" fmla="*/ 0 w 25"/>
              <a:gd name="T17" fmla="*/ 6 h 27"/>
              <a:gd name="T18" fmla="*/ 1 w 25"/>
              <a:gd name="T19" fmla="*/ 7 h 27"/>
              <a:gd name="T20" fmla="*/ 1 w 25"/>
              <a:gd name="T21" fmla="*/ 7 h 27"/>
              <a:gd name="T22" fmla="*/ 2 w 25"/>
              <a:gd name="T23" fmla="*/ 6 h 27"/>
              <a:gd name="T24" fmla="*/ 5 w 25"/>
              <a:gd name="T25" fmla="*/ 2 h 2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25"/>
              <a:gd name="T40" fmla="*/ 0 h 27"/>
              <a:gd name="T41" fmla="*/ 25 w 25"/>
              <a:gd name="T42" fmla="*/ 27 h 2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25" h="27">
                <a:moveTo>
                  <a:pt x="23" y="9"/>
                </a:moveTo>
                <a:lnTo>
                  <a:pt x="25" y="7"/>
                </a:lnTo>
                <a:lnTo>
                  <a:pt x="25" y="4"/>
                </a:lnTo>
                <a:lnTo>
                  <a:pt x="21" y="0"/>
                </a:lnTo>
                <a:lnTo>
                  <a:pt x="17" y="0"/>
                </a:lnTo>
                <a:lnTo>
                  <a:pt x="15" y="2"/>
                </a:lnTo>
                <a:lnTo>
                  <a:pt x="2" y="17"/>
                </a:lnTo>
                <a:lnTo>
                  <a:pt x="0" y="19"/>
                </a:lnTo>
                <a:lnTo>
                  <a:pt x="0" y="23"/>
                </a:lnTo>
                <a:lnTo>
                  <a:pt x="4" y="27"/>
                </a:lnTo>
                <a:lnTo>
                  <a:pt x="7" y="27"/>
                </a:lnTo>
                <a:lnTo>
                  <a:pt x="9" y="25"/>
                </a:lnTo>
                <a:lnTo>
                  <a:pt x="23" y="9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295" name="Freeform 294"/>
          <xdr:cNvSpPr>
            <a:spLocks/>
          </xdr:cNvSpPr>
        </xdr:nvSpPr>
        <xdr:spPr bwMode="auto">
          <a:xfrm>
            <a:off x="326" y="2124"/>
            <a:ext cx="2" cy="14"/>
          </a:xfrm>
          <a:custGeom>
            <a:avLst/>
            <a:gdLst>
              <a:gd name="T0" fmla="*/ 2 w 11"/>
              <a:gd name="T1" fmla="*/ 1 h 64"/>
              <a:gd name="T2" fmla="*/ 2 w 11"/>
              <a:gd name="T3" fmla="*/ 0 h 64"/>
              <a:gd name="T4" fmla="*/ 2 w 11"/>
              <a:gd name="T5" fmla="*/ 0 h 64"/>
              <a:gd name="T6" fmla="*/ 2 w 11"/>
              <a:gd name="T7" fmla="*/ 0 h 64"/>
              <a:gd name="T8" fmla="*/ 0 w 11"/>
              <a:gd name="T9" fmla="*/ 0 h 64"/>
              <a:gd name="T10" fmla="*/ 0 w 11"/>
              <a:gd name="T11" fmla="*/ 0 h 64"/>
              <a:gd name="T12" fmla="*/ 0 w 11"/>
              <a:gd name="T13" fmla="*/ 0 h 64"/>
              <a:gd name="T14" fmla="*/ 0 w 11"/>
              <a:gd name="T15" fmla="*/ 14 h 64"/>
              <a:gd name="T16" fmla="*/ 0 w 11"/>
              <a:gd name="T17" fmla="*/ 14 h 64"/>
              <a:gd name="T18" fmla="*/ 0 w 11"/>
              <a:gd name="T19" fmla="*/ 14 h 64"/>
              <a:gd name="T20" fmla="*/ 2 w 11"/>
              <a:gd name="T21" fmla="*/ 14 h 64"/>
              <a:gd name="T22" fmla="*/ 2 w 11"/>
              <a:gd name="T23" fmla="*/ 14 h 64"/>
              <a:gd name="T24" fmla="*/ 2 w 11"/>
              <a:gd name="T25" fmla="*/ 14 h 64"/>
              <a:gd name="T26" fmla="*/ 2 w 11"/>
              <a:gd name="T27" fmla="*/ 13 h 64"/>
              <a:gd name="T28" fmla="*/ 2 w 11"/>
              <a:gd name="T29" fmla="*/ 1 h 6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64"/>
              <a:gd name="T47" fmla="*/ 11 w 11"/>
              <a:gd name="T48" fmla="*/ 64 h 6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64">
                <a:moveTo>
                  <a:pt x="11" y="6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63"/>
                </a:lnTo>
                <a:lnTo>
                  <a:pt x="2" y="63"/>
                </a:lnTo>
                <a:lnTo>
                  <a:pt x="2" y="64"/>
                </a:lnTo>
                <a:lnTo>
                  <a:pt x="9" y="64"/>
                </a:lnTo>
                <a:lnTo>
                  <a:pt x="9" y="63"/>
                </a:lnTo>
                <a:lnTo>
                  <a:pt x="11" y="63"/>
                </a:lnTo>
                <a:lnTo>
                  <a:pt x="11" y="59"/>
                </a:lnTo>
                <a:lnTo>
                  <a:pt x="11" y="6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6" name="Freeform 295"/>
          <xdr:cNvSpPr>
            <a:spLocks/>
          </xdr:cNvSpPr>
        </xdr:nvSpPr>
        <xdr:spPr bwMode="auto">
          <a:xfrm>
            <a:off x="321" y="2135"/>
            <a:ext cx="7" cy="33"/>
          </a:xfrm>
          <a:custGeom>
            <a:avLst/>
            <a:gdLst>
              <a:gd name="T0" fmla="*/ 7 w 33"/>
              <a:gd name="T1" fmla="*/ 2 h 140"/>
              <a:gd name="T2" fmla="*/ 7 w 33"/>
              <a:gd name="T3" fmla="*/ 2 h 140"/>
              <a:gd name="T4" fmla="*/ 7 w 33"/>
              <a:gd name="T5" fmla="*/ 1 h 140"/>
              <a:gd name="T6" fmla="*/ 7 w 33"/>
              <a:gd name="T7" fmla="*/ 0 h 140"/>
              <a:gd name="T8" fmla="*/ 7 w 33"/>
              <a:gd name="T9" fmla="*/ 0 h 140"/>
              <a:gd name="T10" fmla="*/ 6 w 33"/>
              <a:gd name="T11" fmla="*/ 0 h 140"/>
              <a:gd name="T12" fmla="*/ 5 w 33"/>
              <a:gd name="T13" fmla="*/ 0 h 140"/>
              <a:gd name="T14" fmla="*/ 0 w 33"/>
              <a:gd name="T15" fmla="*/ 5 h 140"/>
              <a:gd name="T16" fmla="*/ 0 w 33"/>
              <a:gd name="T17" fmla="*/ 5 h 140"/>
              <a:gd name="T18" fmla="*/ 0 w 33"/>
              <a:gd name="T19" fmla="*/ 33 h 140"/>
              <a:gd name="T20" fmla="*/ 0 w 33"/>
              <a:gd name="T21" fmla="*/ 33 h 140"/>
              <a:gd name="T22" fmla="*/ 0 w 33"/>
              <a:gd name="T23" fmla="*/ 33 h 140"/>
              <a:gd name="T24" fmla="*/ 2 w 33"/>
              <a:gd name="T25" fmla="*/ 33 h 140"/>
              <a:gd name="T26" fmla="*/ 2 w 33"/>
              <a:gd name="T27" fmla="*/ 33 h 140"/>
              <a:gd name="T28" fmla="*/ 3 w 33"/>
              <a:gd name="T29" fmla="*/ 33 h 140"/>
              <a:gd name="T30" fmla="*/ 3 w 33"/>
              <a:gd name="T31" fmla="*/ 32 h 140"/>
              <a:gd name="T32" fmla="*/ 3 w 33"/>
              <a:gd name="T33" fmla="*/ 6 h 140"/>
              <a:gd name="T34" fmla="*/ 2 w 33"/>
              <a:gd name="T35" fmla="*/ 7 h 140"/>
              <a:gd name="T36" fmla="*/ 7 w 33"/>
              <a:gd name="T37" fmla="*/ 2 h 140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33"/>
              <a:gd name="T58" fmla="*/ 0 h 140"/>
              <a:gd name="T59" fmla="*/ 33 w 33"/>
              <a:gd name="T60" fmla="*/ 140 h 140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33" h="140">
                <a:moveTo>
                  <a:pt x="31" y="10"/>
                </a:moveTo>
                <a:lnTo>
                  <a:pt x="33" y="10"/>
                </a:lnTo>
                <a:lnTo>
                  <a:pt x="33" y="4"/>
                </a:lnTo>
                <a:lnTo>
                  <a:pt x="31" y="2"/>
                </a:lnTo>
                <a:lnTo>
                  <a:pt x="31" y="0"/>
                </a:lnTo>
                <a:lnTo>
                  <a:pt x="26" y="0"/>
                </a:lnTo>
                <a:lnTo>
                  <a:pt x="24" y="2"/>
                </a:lnTo>
                <a:lnTo>
                  <a:pt x="2" y="21"/>
                </a:lnTo>
                <a:lnTo>
                  <a:pt x="0" y="21"/>
                </a:lnTo>
                <a:lnTo>
                  <a:pt x="0" y="138"/>
                </a:lnTo>
                <a:lnTo>
                  <a:pt x="2" y="138"/>
                </a:lnTo>
                <a:lnTo>
                  <a:pt x="2" y="140"/>
                </a:lnTo>
                <a:lnTo>
                  <a:pt x="10" y="140"/>
                </a:lnTo>
                <a:lnTo>
                  <a:pt x="10" y="138"/>
                </a:lnTo>
                <a:lnTo>
                  <a:pt x="12" y="138"/>
                </a:lnTo>
                <a:lnTo>
                  <a:pt x="12" y="134"/>
                </a:lnTo>
                <a:lnTo>
                  <a:pt x="12" y="25"/>
                </a:lnTo>
                <a:lnTo>
                  <a:pt x="10" y="29"/>
                </a:lnTo>
                <a:lnTo>
                  <a:pt x="31" y="10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7" name="Freeform 296"/>
          <xdr:cNvSpPr>
            <a:spLocks/>
          </xdr:cNvSpPr>
        </xdr:nvSpPr>
        <xdr:spPr bwMode="auto">
          <a:xfrm>
            <a:off x="321" y="2166"/>
            <a:ext cx="16" cy="40"/>
          </a:xfrm>
          <a:custGeom>
            <a:avLst/>
            <a:gdLst>
              <a:gd name="T0" fmla="*/ 2 w 81"/>
              <a:gd name="T1" fmla="*/ 1 h 172"/>
              <a:gd name="T2" fmla="*/ 2 w 81"/>
              <a:gd name="T3" fmla="*/ 0 h 172"/>
              <a:gd name="T4" fmla="*/ 2 w 81"/>
              <a:gd name="T5" fmla="*/ 0 h 172"/>
              <a:gd name="T6" fmla="*/ 1 w 81"/>
              <a:gd name="T7" fmla="*/ 0 h 172"/>
              <a:gd name="T8" fmla="*/ 0 w 81"/>
              <a:gd name="T9" fmla="*/ 0 h 172"/>
              <a:gd name="T10" fmla="*/ 0 w 81"/>
              <a:gd name="T11" fmla="*/ 0 h 172"/>
              <a:gd name="T12" fmla="*/ 0 w 81"/>
              <a:gd name="T13" fmla="*/ 2 h 172"/>
              <a:gd name="T14" fmla="*/ 13 w 81"/>
              <a:gd name="T15" fmla="*/ 31 h 172"/>
              <a:gd name="T16" fmla="*/ 14 w 81"/>
              <a:gd name="T17" fmla="*/ 31 h 172"/>
              <a:gd name="T18" fmla="*/ 14 w 81"/>
              <a:gd name="T19" fmla="*/ 32 h 172"/>
              <a:gd name="T20" fmla="*/ 15 w 81"/>
              <a:gd name="T21" fmla="*/ 32 h 172"/>
              <a:gd name="T22" fmla="*/ 14 w 81"/>
              <a:gd name="T23" fmla="*/ 30 h 172"/>
              <a:gd name="T24" fmla="*/ 14 w 81"/>
              <a:gd name="T25" fmla="*/ 40 h 172"/>
              <a:gd name="T26" fmla="*/ 14 w 81"/>
              <a:gd name="T27" fmla="*/ 40 h 172"/>
              <a:gd name="T28" fmla="*/ 14 w 81"/>
              <a:gd name="T29" fmla="*/ 40 h 172"/>
              <a:gd name="T30" fmla="*/ 16 w 81"/>
              <a:gd name="T31" fmla="*/ 40 h 172"/>
              <a:gd name="T32" fmla="*/ 16 w 81"/>
              <a:gd name="T33" fmla="*/ 40 h 172"/>
              <a:gd name="T34" fmla="*/ 16 w 81"/>
              <a:gd name="T35" fmla="*/ 40 h 172"/>
              <a:gd name="T36" fmla="*/ 16 w 81"/>
              <a:gd name="T37" fmla="*/ 39 h 172"/>
              <a:gd name="T38" fmla="*/ 16 w 81"/>
              <a:gd name="T39" fmla="*/ 30 h 172"/>
              <a:gd name="T40" fmla="*/ 16 w 81"/>
              <a:gd name="T41" fmla="*/ 30 h 172"/>
              <a:gd name="T42" fmla="*/ 16 w 81"/>
              <a:gd name="T43" fmla="*/ 30 h 172"/>
              <a:gd name="T44" fmla="*/ 16 w 81"/>
              <a:gd name="T45" fmla="*/ 29 h 172"/>
              <a:gd name="T46" fmla="*/ 14 w 81"/>
              <a:gd name="T47" fmla="*/ 29 h 172"/>
              <a:gd name="T48" fmla="*/ 16 w 81"/>
              <a:gd name="T49" fmla="*/ 30 h 172"/>
              <a:gd name="T50" fmla="*/ 2 w 81"/>
              <a:gd name="T51" fmla="*/ 1 h 172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81"/>
              <a:gd name="T79" fmla="*/ 0 h 172"/>
              <a:gd name="T80" fmla="*/ 81 w 81"/>
              <a:gd name="T81" fmla="*/ 172 h 172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81" h="172">
                <a:moveTo>
                  <a:pt x="12" y="4"/>
                </a:moveTo>
                <a:lnTo>
                  <a:pt x="10" y="2"/>
                </a:lnTo>
                <a:lnTo>
                  <a:pt x="10" y="0"/>
                </a:lnTo>
                <a:lnTo>
                  <a:pt x="4" y="0"/>
                </a:lnTo>
                <a:lnTo>
                  <a:pt x="2" y="2"/>
                </a:lnTo>
                <a:lnTo>
                  <a:pt x="0" y="2"/>
                </a:lnTo>
                <a:lnTo>
                  <a:pt x="0" y="8"/>
                </a:lnTo>
                <a:lnTo>
                  <a:pt x="67" y="133"/>
                </a:lnTo>
                <a:lnTo>
                  <a:pt x="69" y="135"/>
                </a:lnTo>
                <a:lnTo>
                  <a:pt x="69" y="137"/>
                </a:lnTo>
                <a:lnTo>
                  <a:pt x="75" y="137"/>
                </a:lnTo>
                <a:lnTo>
                  <a:pt x="69" y="131"/>
                </a:lnTo>
                <a:lnTo>
                  <a:pt x="69" y="170"/>
                </a:lnTo>
                <a:lnTo>
                  <a:pt x="71" y="170"/>
                </a:lnTo>
                <a:lnTo>
                  <a:pt x="71" y="172"/>
                </a:lnTo>
                <a:lnTo>
                  <a:pt x="79" y="172"/>
                </a:lnTo>
                <a:lnTo>
                  <a:pt x="79" y="170"/>
                </a:lnTo>
                <a:lnTo>
                  <a:pt x="81" y="170"/>
                </a:lnTo>
                <a:lnTo>
                  <a:pt x="81" y="166"/>
                </a:lnTo>
                <a:lnTo>
                  <a:pt x="81" y="131"/>
                </a:lnTo>
                <a:lnTo>
                  <a:pt x="81" y="127"/>
                </a:lnTo>
                <a:lnTo>
                  <a:pt x="79" y="127"/>
                </a:lnTo>
                <a:lnTo>
                  <a:pt x="79" y="125"/>
                </a:lnTo>
                <a:lnTo>
                  <a:pt x="73" y="125"/>
                </a:lnTo>
                <a:lnTo>
                  <a:pt x="79" y="129"/>
                </a:lnTo>
                <a:lnTo>
                  <a:pt x="12" y="4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8" name="Freeform 297"/>
          <xdr:cNvSpPr>
            <a:spLocks/>
          </xdr:cNvSpPr>
        </xdr:nvSpPr>
        <xdr:spPr bwMode="auto">
          <a:xfrm>
            <a:off x="337" y="2202"/>
            <a:ext cx="5" cy="3"/>
          </a:xfrm>
          <a:custGeom>
            <a:avLst/>
            <a:gdLst>
              <a:gd name="T0" fmla="*/ 1 w 21"/>
              <a:gd name="T1" fmla="*/ 0 h 12"/>
              <a:gd name="T2" fmla="*/ 0 w 21"/>
              <a:gd name="T3" fmla="*/ 0 h 12"/>
              <a:gd name="T4" fmla="*/ 0 w 21"/>
              <a:gd name="T5" fmla="*/ 1 h 12"/>
              <a:gd name="T6" fmla="*/ 0 w 21"/>
              <a:gd name="T7" fmla="*/ 1 h 12"/>
              <a:gd name="T8" fmla="*/ 0 w 21"/>
              <a:gd name="T9" fmla="*/ 3 h 12"/>
              <a:gd name="T10" fmla="*/ 0 w 21"/>
              <a:gd name="T11" fmla="*/ 3 h 12"/>
              <a:gd name="T12" fmla="*/ 0 w 21"/>
              <a:gd name="T13" fmla="*/ 3 h 12"/>
              <a:gd name="T14" fmla="*/ 5 w 21"/>
              <a:gd name="T15" fmla="*/ 3 h 12"/>
              <a:gd name="T16" fmla="*/ 5 w 21"/>
              <a:gd name="T17" fmla="*/ 3 h 12"/>
              <a:gd name="T18" fmla="*/ 5 w 21"/>
              <a:gd name="T19" fmla="*/ 3 h 12"/>
              <a:gd name="T20" fmla="*/ 5 w 21"/>
              <a:gd name="T21" fmla="*/ 1 h 12"/>
              <a:gd name="T22" fmla="*/ 5 w 21"/>
              <a:gd name="T23" fmla="*/ 1 h 12"/>
              <a:gd name="T24" fmla="*/ 5 w 21"/>
              <a:gd name="T25" fmla="*/ 0 h 12"/>
              <a:gd name="T26" fmla="*/ 4 w 21"/>
              <a:gd name="T27" fmla="*/ 0 h 12"/>
              <a:gd name="T28" fmla="*/ 1 w 21"/>
              <a:gd name="T29" fmla="*/ 0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1"/>
              <a:gd name="T46" fmla="*/ 0 h 12"/>
              <a:gd name="T47" fmla="*/ 21 w 21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1" h="12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19" y="12"/>
                </a:lnTo>
                <a:lnTo>
                  <a:pt x="19" y="10"/>
                </a:lnTo>
                <a:lnTo>
                  <a:pt x="21" y="10"/>
                </a:lnTo>
                <a:lnTo>
                  <a:pt x="21" y="2"/>
                </a:lnTo>
                <a:lnTo>
                  <a:pt x="19" y="2"/>
                </a:lnTo>
                <a:lnTo>
                  <a:pt x="19" y="0"/>
                </a:lnTo>
                <a:lnTo>
                  <a:pt x="15" y="0"/>
                </a:lnTo>
                <a:lnTo>
                  <a:pt x="6" y="0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299" name="Freeform 298"/>
          <xdr:cNvSpPr>
            <a:spLocks/>
          </xdr:cNvSpPr>
        </xdr:nvSpPr>
        <xdr:spPr bwMode="auto">
          <a:xfrm>
            <a:off x="342" y="2199"/>
            <a:ext cx="7" cy="3"/>
          </a:xfrm>
          <a:custGeom>
            <a:avLst/>
            <a:gdLst>
              <a:gd name="T0" fmla="*/ 1 w 32"/>
              <a:gd name="T1" fmla="*/ 0 h 12"/>
              <a:gd name="T2" fmla="*/ 0 w 32"/>
              <a:gd name="T3" fmla="*/ 0 h 12"/>
              <a:gd name="T4" fmla="*/ 0 w 32"/>
              <a:gd name="T5" fmla="*/ 1 h 12"/>
              <a:gd name="T6" fmla="*/ 0 w 32"/>
              <a:gd name="T7" fmla="*/ 1 h 12"/>
              <a:gd name="T8" fmla="*/ 0 w 32"/>
              <a:gd name="T9" fmla="*/ 3 h 12"/>
              <a:gd name="T10" fmla="*/ 0 w 32"/>
              <a:gd name="T11" fmla="*/ 3 h 12"/>
              <a:gd name="T12" fmla="*/ 0 w 32"/>
              <a:gd name="T13" fmla="*/ 3 h 12"/>
              <a:gd name="T14" fmla="*/ 7 w 32"/>
              <a:gd name="T15" fmla="*/ 3 h 12"/>
              <a:gd name="T16" fmla="*/ 7 w 32"/>
              <a:gd name="T17" fmla="*/ 3 h 12"/>
              <a:gd name="T18" fmla="*/ 7 w 32"/>
              <a:gd name="T19" fmla="*/ 3 h 12"/>
              <a:gd name="T20" fmla="*/ 7 w 32"/>
              <a:gd name="T21" fmla="*/ 1 h 12"/>
              <a:gd name="T22" fmla="*/ 7 w 32"/>
              <a:gd name="T23" fmla="*/ 1 h 12"/>
              <a:gd name="T24" fmla="*/ 7 w 32"/>
              <a:gd name="T25" fmla="*/ 0 h 12"/>
              <a:gd name="T26" fmla="*/ 6 w 32"/>
              <a:gd name="T27" fmla="*/ 0 h 12"/>
              <a:gd name="T28" fmla="*/ 1 w 32"/>
              <a:gd name="T29" fmla="*/ 0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32"/>
              <a:gd name="T46" fmla="*/ 0 h 12"/>
              <a:gd name="T47" fmla="*/ 32 w 32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32" h="12">
                <a:moveTo>
                  <a:pt x="6" y="0"/>
                </a:move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30" y="12"/>
                </a:lnTo>
                <a:lnTo>
                  <a:pt x="30" y="10"/>
                </a:lnTo>
                <a:lnTo>
                  <a:pt x="32" y="10"/>
                </a:lnTo>
                <a:lnTo>
                  <a:pt x="32" y="2"/>
                </a:lnTo>
                <a:lnTo>
                  <a:pt x="30" y="2"/>
                </a:lnTo>
                <a:lnTo>
                  <a:pt x="30" y="0"/>
                </a:lnTo>
                <a:lnTo>
                  <a:pt x="26" y="0"/>
                </a:lnTo>
                <a:lnTo>
                  <a:pt x="6" y="0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0" name="Freeform 299"/>
          <xdr:cNvSpPr>
            <a:spLocks/>
          </xdr:cNvSpPr>
        </xdr:nvSpPr>
        <xdr:spPr bwMode="auto">
          <a:xfrm>
            <a:off x="327" y="2082"/>
            <a:ext cx="19" cy="32"/>
          </a:xfrm>
          <a:custGeom>
            <a:avLst/>
            <a:gdLst>
              <a:gd name="T0" fmla="*/ 0 w 87"/>
              <a:gd name="T1" fmla="*/ 1 h 134"/>
              <a:gd name="T2" fmla="*/ 0 w 87"/>
              <a:gd name="T3" fmla="*/ 2 h 134"/>
              <a:gd name="T4" fmla="*/ 16 w 87"/>
              <a:gd name="T5" fmla="*/ 32 h 134"/>
              <a:gd name="T6" fmla="*/ 17 w 87"/>
              <a:gd name="T7" fmla="*/ 32 h 134"/>
              <a:gd name="T8" fmla="*/ 19 w 87"/>
              <a:gd name="T9" fmla="*/ 31 h 134"/>
              <a:gd name="T10" fmla="*/ 19 w 87"/>
              <a:gd name="T11" fmla="*/ 30 h 134"/>
              <a:gd name="T12" fmla="*/ 3 w 87"/>
              <a:gd name="T13" fmla="*/ 0 h 134"/>
              <a:gd name="T14" fmla="*/ 2 w 87"/>
              <a:gd name="T15" fmla="*/ 0 h 134"/>
              <a:gd name="T16" fmla="*/ 0 w 87"/>
              <a:gd name="T17" fmla="*/ 1 h 134"/>
              <a:gd name="T18" fmla="*/ 1 w 87"/>
              <a:gd name="T19" fmla="*/ 2 h 134"/>
              <a:gd name="T20" fmla="*/ 3 w 87"/>
              <a:gd name="T21" fmla="*/ 1 h 134"/>
              <a:gd name="T22" fmla="*/ 2 w 87"/>
              <a:gd name="T23" fmla="*/ 1 h 134"/>
              <a:gd name="T24" fmla="*/ 18 w 87"/>
              <a:gd name="T25" fmla="*/ 31 h 134"/>
              <a:gd name="T26" fmla="*/ 18 w 87"/>
              <a:gd name="T27" fmla="*/ 30 h 134"/>
              <a:gd name="T28" fmla="*/ 16 w 87"/>
              <a:gd name="T29" fmla="*/ 31 h 134"/>
              <a:gd name="T30" fmla="*/ 17 w 87"/>
              <a:gd name="T31" fmla="*/ 31 h 134"/>
              <a:gd name="T32" fmla="*/ 1 w 87"/>
              <a:gd name="T33" fmla="*/ 1 h 134"/>
              <a:gd name="T34" fmla="*/ 1 w 87"/>
              <a:gd name="T35" fmla="*/ 2 h 134"/>
              <a:gd name="T36" fmla="*/ 0 w 87"/>
              <a:gd name="T37" fmla="*/ 1 h 134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87"/>
              <a:gd name="T58" fmla="*/ 0 h 134"/>
              <a:gd name="T59" fmla="*/ 87 w 87"/>
              <a:gd name="T60" fmla="*/ 134 h 134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87" h="134">
                <a:moveTo>
                  <a:pt x="0" y="6"/>
                </a:moveTo>
                <a:lnTo>
                  <a:pt x="0" y="10"/>
                </a:lnTo>
                <a:lnTo>
                  <a:pt x="73" y="134"/>
                </a:lnTo>
                <a:lnTo>
                  <a:pt x="77" y="134"/>
                </a:lnTo>
                <a:lnTo>
                  <a:pt x="87" y="129"/>
                </a:lnTo>
                <a:lnTo>
                  <a:pt x="87" y="125"/>
                </a:lnTo>
                <a:lnTo>
                  <a:pt x="14" y="0"/>
                </a:lnTo>
                <a:lnTo>
                  <a:pt x="10" y="0"/>
                </a:lnTo>
                <a:lnTo>
                  <a:pt x="0" y="6"/>
                </a:lnTo>
                <a:lnTo>
                  <a:pt x="4" y="10"/>
                </a:lnTo>
                <a:lnTo>
                  <a:pt x="14" y="4"/>
                </a:lnTo>
                <a:lnTo>
                  <a:pt x="10" y="4"/>
                </a:lnTo>
                <a:lnTo>
                  <a:pt x="83" y="129"/>
                </a:lnTo>
                <a:lnTo>
                  <a:pt x="83" y="125"/>
                </a:lnTo>
                <a:lnTo>
                  <a:pt x="73" y="131"/>
                </a:lnTo>
                <a:lnTo>
                  <a:pt x="77" y="131"/>
                </a:lnTo>
                <a:lnTo>
                  <a:pt x="4" y="6"/>
                </a:lnTo>
                <a:lnTo>
                  <a:pt x="4" y="10"/>
                </a:lnTo>
                <a:lnTo>
                  <a:pt x="0" y="6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01" name="Freeform 300"/>
          <xdr:cNvSpPr>
            <a:spLocks/>
          </xdr:cNvSpPr>
        </xdr:nvSpPr>
        <xdr:spPr bwMode="auto">
          <a:xfrm>
            <a:off x="349" y="2202"/>
            <a:ext cx="5" cy="5"/>
          </a:xfrm>
          <a:custGeom>
            <a:avLst/>
            <a:gdLst>
              <a:gd name="T0" fmla="*/ 0 w 25"/>
              <a:gd name="T1" fmla="*/ 0 h 25"/>
              <a:gd name="T2" fmla="*/ 0 w 25"/>
              <a:gd name="T3" fmla="*/ 0 h 25"/>
              <a:gd name="T4" fmla="*/ 0 w 25"/>
              <a:gd name="T5" fmla="*/ 2 h 25"/>
              <a:gd name="T6" fmla="*/ 0 w 25"/>
              <a:gd name="T7" fmla="*/ 2 h 25"/>
              <a:gd name="T8" fmla="*/ 0 w 25"/>
              <a:gd name="T9" fmla="*/ 2 h 25"/>
              <a:gd name="T10" fmla="*/ 2 w 25"/>
              <a:gd name="T11" fmla="*/ 2 h 25"/>
              <a:gd name="T12" fmla="*/ 2 w 25"/>
              <a:gd name="T13" fmla="*/ 2 h 25"/>
              <a:gd name="T14" fmla="*/ 2 w 25"/>
              <a:gd name="T15" fmla="*/ 1 h 25"/>
              <a:gd name="T16" fmla="*/ 2 w 25"/>
              <a:gd name="T17" fmla="*/ 2 h 25"/>
              <a:gd name="T18" fmla="*/ 1 w 25"/>
              <a:gd name="T19" fmla="*/ 2 h 25"/>
              <a:gd name="T20" fmla="*/ 1 w 25"/>
              <a:gd name="T21" fmla="*/ 2 h 25"/>
              <a:gd name="T22" fmla="*/ 2 w 25"/>
              <a:gd name="T23" fmla="*/ 2 h 25"/>
              <a:gd name="T24" fmla="*/ 2 w 25"/>
              <a:gd name="T25" fmla="*/ 2 h 25"/>
              <a:gd name="T26" fmla="*/ 2 w 25"/>
              <a:gd name="T27" fmla="*/ 3 h 25"/>
              <a:gd name="T28" fmla="*/ 2 w 25"/>
              <a:gd name="T29" fmla="*/ 2 h 25"/>
              <a:gd name="T30" fmla="*/ 2 w 25"/>
              <a:gd name="T31" fmla="*/ 3 h 25"/>
              <a:gd name="T32" fmla="*/ 3 w 25"/>
              <a:gd name="T33" fmla="*/ 3 h 25"/>
              <a:gd name="T34" fmla="*/ 3 w 25"/>
              <a:gd name="T35" fmla="*/ 4 h 25"/>
              <a:gd name="T36" fmla="*/ 3 w 25"/>
              <a:gd name="T37" fmla="*/ 4 h 25"/>
              <a:gd name="T38" fmla="*/ 3 w 25"/>
              <a:gd name="T39" fmla="*/ 4 h 25"/>
              <a:gd name="T40" fmla="*/ 3 w 25"/>
              <a:gd name="T41" fmla="*/ 5 h 25"/>
              <a:gd name="T42" fmla="*/ 3 w 25"/>
              <a:gd name="T43" fmla="*/ 5 h 25"/>
              <a:gd name="T44" fmla="*/ 3 w 25"/>
              <a:gd name="T45" fmla="*/ 5 h 25"/>
              <a:gd name="T46" fmla="*/ 5 w 25"/>
              <a:gd name="T47" fmla="*/ 5 h 25"/>
              <a:gd name="T48" fmla="*/ 5 w 25"/>
              <a:gd name="T49" fmla="*/ 5 h 25"/>
              <a:gd name="T50" fmla="*/ 5 w 25"/>
              <a:gd name="T51" fmla="*/ 5 h 25"/>
              <a:gd name="T52" fmla="*/ 5 w 25"/>
              <a:gd name="T53" fmla="*/ 4 h 25"/>
              <a:gd name="T54" fmla="*/ 5 w 25"/>
              <a:gd name="T55" fmla="*/ 2 h 25"/>
              <a:gd name="T56" fmla="*/ 4 w 25"/>
              <a:gd name="T57" fmla="*/ 2 h 25"/>
              <a:gd name="T58" fmla="*/ 4 w 25"/>
              <a:gd name="T59" fmla="*/ 2 h 25"/>
              <a:gd name="T60" fmla="*/ 4 w 25"/>
              <a:gd name="T61" fmla="*/ 2 h 25"/>
              <a:gd name="T62" fmla="*/ 4 w 25"/>
              <a:gd name="T63" fmla="*/ 2 h 25"/>
              <a:gd name="T64" fmla="*/ 4 w 25"/>
              <a:gd name="T65" fmla="*/ 1 h 25"/>
              <a:gd name="T66" fmla="*/ 3 w 25"/>
              <a:gd name="T67" fmla="*/ 0 h 25"/>
              <a:gd name="T68" fmla="*/ 3 w 25"/>
              <a:gd name="T69" fmla="*/ 1 h 25"/>
              <a:gd name="T70" fmla="*/ 3 w 25"/>
              <a:gd name="T71" fmla="*/ 0 h 25"/>
              <a:gd name="T72" fmla="*/ 2 w 25"/>
              <a:gd name="T73" fmla="*/ 0 h 25"/>
              <a:gd name="T74" fmla="*/ 2 w 25"/>
              <a:gd name="T75" fmla="*/ 0 h 25"/>
              <a:gd name="T76" fmla="*/ 0 w 25"/>
              <a:gd name="T77" fmla="*/ 0 h 25"/>
              <a:gd name="T78" fmla="*/ 0 w 25"/>
              <a:gd name="T79" fmla="*/ 1 h 25"/>
              <a:gd name="T80" fmla="*/ 0 w 25"/>
              <a:gd name="T81" fmla="*/ 0 h 25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5"/>
              <a:gd name="T124" fmla="*/ 0 h 25"/>
              <a:gd name="T125" fmla="*/ 25 w 25"/>
              <a:gd name="T126" fmla="*/ 25 h 25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5" h="25">
                <a:moveTo>
                  <a:pt x="2" y="2"/>
                </a:move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10" y="12"/>
                </a:lnTo>
                <a:lnTo>
                  <a:pt x="10" y="10"/>
                </a:lnTo>
                <a:lnTo>
                  <a:pt x="12" y="6"/>
                </a:lnTo>
                <a:lnTo>
                  <a:pt x="10" y="8"/>
                </a:lnTo>
                <a:lnTo>
                  <a:pt x="4" y="8"/>
                </a:lnTo>
                <a:lnTo>
                  <a:pt x="4" y="10"/>
                </a:lnTo>
                <a:lnTo>
                  <a:pt x="8" y="10"/>
                </a:lnTo>
                <a:lnTo>
                  <a:pt x="8" y="12"/>
                </a:lnTo>
                <a:lnTo>
                  <a:pt x="12" y="14"/>
                </a:lnTo>
                <a:lnTo>
                  <a:pt x="10" y="10"/>
                </a:lnTo>
                <a:lnTo>
                  <a:pt x="12" y="16"/>
                </a:lnTo>
                <a:lnTo>
                  <a:pt x="14" y="16"/>
                </a:lnTo>
                <a:lnTo>
                  <a:pt x="14" y="20"/>
                </a:lnTo>
                <a:lnTo>
                  <a:pt x="16" y="20"/>
                </a:lnTo>
                <a:lnTo>
                  <a:pt x="14" y="20"/>
                </a:lnTo>
                <a:lnTo>
                  <a:pt x="14" y="24"/>
                </a:lnTo>
                <a:lnTo>
                  <a:pt x="16" y="24"/>
                </a:lnTo>
                <a:lnTo>
                  <a:pt x="16" y="25"/>
                </a:lnTo>
                <a:lnTo>
                  <a:pt x="23" y="25"/>
                </a:lnTo>
                <a:lnTo>
                  <a:pt x="23" y="24"/>
                </a:lnTo>
                <a:lnTo>
                  <a:pt x="25" y="24"/>
                </a:lnTo>
                <a:lnTo>
                  <a:pt x="25" y="20"/>
                </a:lnTo>
                <a:lnTo>
                  <a:pt x="23" y="12"/>
                </a:lnTo>
                <a:lnTo>
                  <a:pt x="21" y="12"/>
                </a:lnTo>
                <a:lnTo>
                  <a:pt x="21" y="8"/>
                </a:lnTo>
                <a:lnTo>
                  <a:pt x="19" y="8"/>
                </a:lnTo>
                <a:lnTo>
                  <a:pt x="21" y="10"/>
                </a:lnTo>
                <a:lnTo>
                  <a:pt x="19" y="6"/>
                </a:lnTo>
                <a:lnTo>
                  <a:pt x="16" y="2"/>
                </a:lnTo>
                <a:lnTo>
                  <a:pt x="16" y="4"/>
                </a:lnTo>
                <a:lnTo>
                  <a:pt x="16" y="2"/>
                </a:lnTo>
                <a:lnTo>
                  <a:pt x="12" y="2"/>
                </a:lnTo>
                <a:lnTo>
                  <a:pt x="12" y="0"/>
                </a:lnTo>
                <a:lnTo>
                  <a:pt x="2" y="0"/>
                </a:lnTo>
                <a:lnTo>
                  <a:pt x="0" y="6"/>
                </a:lnTo>
                <a:lnTo>
                  <a:pt x="2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02" name="Freeform 301"/>
          <xdr:cNvSpPr>
            <a:spLocks/>
          </xdr:cNvSpPr>
        </xdr:nvSpPr>
        <xdr:spPr bwMode="auto">
          <a:xfrm>
            <a:off x="352" y="2205"/>
            <a:ext cx="2" cy="8"/>
          </a:xfrm>
          <a:custGeom>
            <a:avLst/>
            <a:gdLst>
              <a:gd name="T0" fmla="*/ 2 w 11"/>
              <a:gd name="T1" fmla="*/ 1 h 37"/>
              <a:gd name="T2" fmla="*/ 2 w 11"/>
              <a:gd name="T3" fmla="*/ 0 h 37"/>
              <a:gd name="T4" fmla="*/ 2 w 11"/>
              <a:gd name="T5" fmla="*/ 0 h 37"/>
              <a:gd name="T6" fmla="*/ 2 w 11"/>
              <a:gd name="T7" fmla="*/ 0 h 37"/>
              <a:gd name="T8" fmla="*/ 0 w 11"/>
              <a:gd name="T9" fmla="*/ 0 h 37"/>
              <a:gd name="T10" fmla="*/ 0 w 11"/>
              <a:gd name="T11" fmla="*/ 0 h 37"/>
              <a:gd name="T12" fmla="*/ 0 w 11"/>
              <a:gd name="T13" fmla="*/ 0 h 37"/>
              <a:gd name="T14" fmla="*/ 0 w 11"/>
              <a:gd name="T15" fmla="*/ 8 h 37"/>
              <a:gd name="T16" fmla="*/ 0 w 11"/>
              <a:gd name="T17" fmla="*/ 8 h 37"/>
              <a:gd name="T18" fmla="*/ 0 w 11"/>
              <a:gd name="T19" fmla="*/ 8 h 37"/>
              <a:gd name="T20" fmla="*/ 2 w 11"/>
              <a:gd name="T21" fmla="*/ 8 h 37"/>
              <a:gd name="T22" fmla="*/ 2 w 11"/>
              <a:gd name="T23" fmla="*/ 8 h 37"/>
              <a:gd name="T24" fmla="*/ 2 w 11"/>
              <a:gd name="T25" fmla="*/ 8 h 37"/>
              <a:gd name="T26" fmla="*/ 2 w 11"/>
              <a:gd name="T27" fmla="*/ 7 h 37"/>
              <a:gd name="T28" fmla="*/ 2 w 11"/>
              <a:gd name="T29" fmla="*/ 1 h 3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37"/>
              <a:gd name="T47" fmla="*/ 11 w 11"/>
              <a:gd name="T48" fmla="*/ 37 h 3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37">
                <a:moveTo>
                  <a:pt x="11" y="6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5"/>
                </a:lnTo>
                <a:lnTo>
                  <a:pt x="2" y="35"/>
                </a:lnTo>
                <a:lnTo>
                  <a:pt x="2" y="37"/>
                </a:lnTo>
                <a:lnTo>
                  <a:pt x="9" y="37"/>
                </a:lnTo>
                <a:lnTo>
                  <a:pt x="9" y="35"/>
                </a:lnTo>
                <a:lnTo>
                  <a:pt x="11" y="35"/>
                </a:lnTo>
                <a:lnTo>
                  <a:pt x="11" y="31"/>
                </a:lnTo>
                <a:lnTo>
                  <a:pt x="11" y="6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3" name="Freeform 302"/>
          <xdr:cNvSpPr>
            <a:spLocks/>
          </xdr:cNvSpPr>
        </xdr:nvSpPr>
        <xdr:spPr bwMode="auto">
          <a:xfrm>
            <a:off x="353" y="2213"/>
            <a:ext cx="2" cy="31"/>
          </a:xfrm>
          <a:custGeom>
            <a:avLst/>
            <a:gdLst>
              <a:gd name="T0" fmla="*/ 2 w 11"/>
              <a:gd name="T1" fmla="*/ 1 h 128"/>
              <a:gd name="T2" fmla="*/ 2 w 11"/>
              <a:gd name="T3" fmla="*/ 0 h 128"/>
              <a:gd name="T4" fmla="*/ 2 w 11"/>
              <a:gd name="T5" fmla="*/ 0 h 128"/>
              <a:gd name="T6" fmla="*/ 2 w 11"/>
              <a:gd name="T7" fmla="*/ 0 h 128"/>
              <a:gd name="T8" fmla="*/ 0 w 11"/>
              <a:gd name="T9" fmla="*/ 0 h 128"/>
              <a:gd name="T10" fmla="*/ 0 w 11"/>
              <a:gd name="T11" fmla="*/ 0 h 128"/>
              <a:gd name="T12" fmla="*/ 0 w 11"/>
              <a:gd name="T13" fmla="*/ 0 h 128"/>
              <a:gd name="T14" fmla="*/ 0 w 11"/>
              <a:gd name="T15" fmla="*/ 31 h 128"/>
              <a:gd name="T16" fmla="*/ 0 w 11"/>
              <a:gd name="T17" fmla="*/ 31 h 128"/>
              <a:gd name="T18" fmla="*/ 0 w 11"/>
              <a:gd name="T19" fmla="*/ 31 h 128"/>
              <a:gd name="T20" fmla="*/ 2 w 11"/>
              <a:gd name="T21" fmla="*/ 31 h 128"/>
              <a:gd name="T22" fmla="*/ 2 w 11"/>
              <a:gd name="T23" fmla="*/ 31 h 128"/>
              <a:gd name="T24" fmla="*/ 2 w 11"/>
              <a:gd name="T25" fmla="*/ 31 h 128"/>
              <a:gd name="T26" fmla="*/ 2 w 11"/>
              <a:gd name="T27" fmla="*/ 30 h 128"/>
              <a:gd name="T28" fmla="*/ 2 w 11"/>
              <a:gd name="T29" fmla="*/ 1 h 128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1"/>
              <a:gd name="T46" fmla="*/ 0 h 128"/>
              <a:gd name="T47" fmla="*/ 11 w 11"/>
              <a:gd name="T48" fmla="*/ 128 h 128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1" h="128">
                <a:moveTo>
                  <a:pt x="11" y="6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1" y="0"/>
                </a:lnTo>
                <a:lnTo>
                  <a:pt x="1" y="2"/>
                </a:lnTo>
                <a:lnTo>
                  <a:pt x="0" y="2"/>
                </a:lnTo>
                <a:lnTo>
                  <a:pt x="0" y="126"/>
                </a:lnTo>
                <a:lnTo>
                  <a:pt x="1" y="126"/>
                </a:lnTo>
                <a:lnTo>
                  <a:pt x="1" y="128"/>
                </a:lnTo>
                <a:lnTo>
                  <a:pt x="9" y="128"/>
                </a:lnTo>
                <a:lnTo>
                  <a:pt x="9" y="126"/>
                </a:lnTo>
                <a:lnTo>
                  <a:pt x="11" y="126"/>
                </a:lnTo>
                <a:lnTo>
                  <a:pt x="11" y="122"/>
                </a:lnTo>
                <a:lnTo>
                  <a:pt x="11" y="6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4" name="Freeform 303"/>
          <xdr:cNvSpPr>
            <a:spLocks/>
          </xdr:cNvSpPr>
        </xdr:nvSpPr>
        <xdr:spPr bwMode="auto">
          <a:xfrm>
            <a:off x="332" y="2244"/>
            <a:ext cx="22" cy="5"/>
          </a:xfrm>
          <a:custGeom>
            <a:avLst/>
            <a:gdLst>
              <a:gd name="T0" fmla="*/ 22 w 110"/>
              <a:gd name="T1" fmla="*/ 2 h 24"/>
              <a:gd name="T2" fmla="*/ 21 w 110"/>
              <a:gd name="T3" fmla="*/ 0 h 24"/>
              <a:gd name="T4" fmla="*/ 21 w 110"/>
              <a:gd name="T5" fmla="*/ 0 h 24"/>
              <a:gd name="T6" fmla="*/ 19 w 110"/>
              <a:gd name="T7" fmla="*/ 1 h 24"/>
              <a:gd name="T8" fmla="*/ 18 w 110"/>
              <a:gd name="T9" fmla="*/ 1 h 24"/>
              <a:gd name="T10" fmla="*/ 17 w 110"/>
              <a:gd name="T11" fmla="*/ 1 h 24"/>
              <a:gd name="T12" fmla="*/ 15 w 110"/>
              <a:gd name="T13" fmla="*/ 2 h 24"/>
              <a:gd name="T14" fmla="*/ 13 w 110"/>
              <a:gd name="T15" fmla="*/ 2 h 24"/>
              <a:gd name="T16" fmla="*/ 11 w 110"/>
              <a:gd name="T17" fmla="*/ 3 h 24"/>
              <a:gd name="T18" fmla="*/ 11 w 110"/>
              <a:gd name="T19" fmla="*/ 3 h 24"/>
              <a:gd name="T20" fmla="*/ 8 w 110"/>
              <a:gd name="T21" fmla="*/ 2 h 24"/>
              <a:gd name="T22" fmla="*/ 6 w 110"/>
              <a:gd name="T23" fmla="*/ 1 h 24"/>
              <a:gd name="T24" fmla="*/ 5 w 110"/>
              <a:gd name="T25" fmla="*/ 1 h 24"/>
              <a:gd name="T26" fmla="*/ 4 w 110"/>
              <a:gd name="T27" fmla="*/ 1 h 24"/>
              <a:gd name="T28" fmla="*/ 2 w 110"/>
              <a:gd name="T29" fmla="*/ 0 h 24"/>
              <a:gd name="T30" fmla="*/ 2 w 110"/>
              <a:gd name="T31" fmla="*/ 0 h 24"/>
              <a:gd name="T32" fmla="*/ 0 w 110"/>
              <a:gd name="T33" fmla="*/ 0 h 24"/>
              <a:gd name="T34" fmla="*/ 0 w 110"/>
              <a:gd name="T35" fmla="*/ 2 h 24"/>
              <a:gd name="T36" fmla="*/ 1 w 110"/>
              <a:gd name="T37" fmla="*/ 3 h 24"/>
              <a:gd name="T38" fmla="*/ 2 w 110"/>
              <a:gd name="T39" fmla="*/ 3 h 24"/>
              <a:gd name="T40" fmla="*/ 2 w 110"/>
              <a:gd name="T41" fmla="*/ 3 h 24"/>
              <a:gd name="T42" fmla="*/ 4 w 110"/>
              <a:gd name="T43" fmla="*/ 3 h 24"/>
              <a:gd name="T44" fmla="*/ 6 w 110"/>
              <a:gd name="T45" fmla="*/ 4 h 24"/>
              <a:gd name="T46" fmla="*/ 8 w 110"/>
              <a:gd name="T47" fmla="*/ 5 h 24"/>
              <a:gd name="T48" fmla="*/ 9 w 110"/>
              <a:gd name="T49" fmla="*/ 5 h 24"/>
              <a:gd name="T50" fmla="*/ 12 w 110"/>
              <a:gd name="T51" fmla="*/ 5 h 24"/>
              <a:gd name="T52" fmla="*/ 14 w 110"/>
              <a:gd name="T53" fmla="*/ 5 h 24"/>
              <a:gd name="T54" fmla="*/ 16 w 110"/>
              <a:gd name="T55" fmla="*/ 4 h 24"/>
              <a:gd name="T56" fmla="*/ 17 w 110"/>
              <a:gd name="T57" fmla="*/ 4 h 24"/>
              <a:gd name="T58" fmla="*/ 20 w 110"/>
              <a:gd name="T59" fmla="*/ 3 h 24"/>
              <a:gd name="T60" fmla="*/ 21 w 110"/>
              <a:gd name="T61" fmla="*/ 3 h 24"/>
              <a:gd name="T62" fmla="*/ 21 w 110"/>
              <a:gd name="T63" fmla="*/ 3 h 24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110"/>
              <a:gd name="T97" fmla="*/ 0 h 24"/>
              <a:gd name="T98" fmla="*/ 110 w 110"/>
              <a:gd name="T99" fmla="*/ 24 h 24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110" h="24">
                <a:moveTo>
                  <a:pt x="106" y="12"/>
                </a:moveTo>
                <a:lnTo>
                  <a:pt x="110" y="8"/>
                </a:lnTo>
                <a:lnTo>
                  <a:pt x="110" y="4"/>
                </a:lnTo>
                <a:lnTo>
                  <a:pt x="106" y="0"/>
                </a:lnTo>
                <a:lnTo>
                  <a:pt x="103" y="0"/>
                </a:lnTo>
                <a:lnTo>
                  <a:pt x="105" y="0"/>
                </a:lnTo>
                <a:lnTo>
                  <a:pt x="97" y="2"/>
                </a:lnTo>
                <a:lnTo>
                  <a:pt x="97" y="4"/>
                </a:lnTo>
                <a:lnTo>
                  <a:pt x="91" y="4"/>
                </a:lnTo>
                <a:lnTo>
                  <a:pt x="91" y="6"/>
                </a:lnTo>
                <a:lnTo>
                  <a:pt x="85" y="4"/>
                </a:lnTo>
                <a:lnTo>
                  <a:pt x="83" y="6"/>
                </a:lnTo>
                <a:lnTo>
                  <a:pt x="79" y="6"/>
                </a:lnTo>
                <a:lnTo>
                  <a:pt x="77" y="8"/>
                </a:lnTo>
                <a:lnTo>
                  <a:pt x="69" y="8"/>
                </a:lnTo>
                <a:lnTo>
                  <a:pt x="67" y="10"/>
                </a:lnTo>
                <a:lnTo>
                  <a:pt x="57" y="10"/>
                </a:lnTo>
                <a:lnTo>
                  <a:pt x="55" y="12"/>
                </a:lnTo>
                <a:lnTo>
                  <a:pt x="55" y="14"/>
                </a:lnTo>
                <a:lnTo>
                  <a:pt x="55" y="12"/>
                </a:lnTo>
                <a:lnTo>
                  <a:pt x="41" y="10"/>
                </a:lnTo>
                <a:lnTo>
                  <a:pt x="40" y="8"/>
                </a:lnTo>
                <a:lnTo>
                  <a:pt x="32" y="8"/>
                </a:lnTo>
                <a:lnTo>
                  <a:pt x="30" y="6"/>
                </a:lnTo>
                <a:lnTo>
                  <a:pt x="26" y="8"/>
                </a:lnTo>
                <a:lnTo>
                  <a:pt x="26" y="6"/>
                </a:lnTo>
                <a:lnTo>
                  <a:pt x="18" y="6"/>
                </a:lnTo>
                <a:lnTo>
                  <a:pt x="18" y="4"/>
                </a:lnTo>
                <a:lnTo>
                  <a:pt x="12" y="2"/>
                </a:lnTo>
                <a:lnTo>
                  <a:pt x="10" y="0"/>
                </a:lnTo>
                <a:lnTo>
                  <a:pt x="6" y="0"/>
                </a:lnTo>
                <a:lnTo>
                  <a:pt x="8" y="0"/>
                </a:lnTo>
                <a:lnTo>
                  <a:pt x="2" y="0"/>
                </a:lnTo>
                <a:lnTo>
                  <a:pt x="2" y="2"/>
                </a:lnTo>
                <a:lnTo>
                  <a:pt x="0" y="4"/>
                </a:lnTo>
                <a:lnTo>
                  <a:pt x="0" y="10"/>
                </a:lnTo>
                <a:lnTo>
                  <a:pt x="2" y="10"/>
                </a:lnTo>
                <a:lnTo>
                  <a:pt x="4" y="12"/>
                </a:lnTo>
                <a:lnTo>
                  <a:pt x="6" y="12"/>
                </a:lnTo>
                <a:lnTo>
                  <a:pt x="8" y="14"/>
                </a:lnTo>
                <a:lnTo>
                  <a:pt x="10" y="12"/>
                </a:lnTo>
                <a:lnTo>
                  <a:pt x="10" y="14"/>
                </a:lnTo>
                <a:lnTo>
                  <a:pt x="18" y="14"/>
                </a:lnTo>
                <a:lnTo>
                  <a:pt x="18" y="16"/>
                </a:lnTo>
                <a:lnTo>
                  <a:pt x="26" y="18"/>
                </a:lnTo>
                <a:lnTo>
                  <a:pt x="28" y="20"/>
                </a:lnTo>
                <a:lnTo>
                  <a:pt x="36" y="20"/>
                </a:lnTo>
                <a:lnTo>
                  <a:pt x="38" y="22"/>
                </a:lnTo>
                <a:lnTo>
                  <a:pt x="47" y="20"/>
                </a:lnTo>
                <a:lnTo>
                  <a:pt x="47" y="22"/>
                </a:lnTo>
                <a:lnTo>
                  <a:pt x="55" y="24"/>
                </a:lnTo>
                <a:lnTo>
                  <a:pt x="59" y="24"/>
                </a:lnTo>
                <a:lnTo>
                  <a:pt x="61" y="22"/>
                </a:lnTo>
                <a:lnTo>
                  <a:pt x="71" y="22"/>
                </a:lnTo>
                <a:lnTo>
                  <a:pt x="73" y="20"/>
                </a:lnTo>
                <a:lnTo>
                  <a:pt x="81" y="20"/>
                </a:lnTo>
                <a:lnTo>
                  <a:pt x="83" y="18"/>
                </a:lnTo>
                <a:lnTo>
                  <a:pt x="87" y="18"/>
                </a:lnTo>
                <a:lnTo>
                  <a:pt x="89" y="16"/>
                </a:lnTo>
                <a:lnTo>
                  <a:pt x="99" y="14"/>
                </a:lnTo>
                <a:lnTo>
                  <a:pt x="99" y="12"/>
                </a:lnTo>
                <a:lnTo>
                  <a:pt x="105" y="12"/>
                </a:lnTo>
                <a:lnTo>
                  <a:pt x="105" y="10"/>
                </a:lnTo>
                <a:lnTo>
                  <a:pt x="105" y="12"/>
                </a:lnTo>
                <a:lnTo>
                  <a:pt x="106" y="12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5" name="Freeform 304"/>
          <xdr:cNvSpPr>
            <a:spLocks/>
          </xdr:cNvSpPr>
        </xdr:nvSpPr>
        <xdr:spPr bwMode="auto">
          <a:xfrm>
            <a:off x="327" y="2241"/>
            <a:ext cx="5" cy="10"/>
          </a:xfrm>
          <a:custGeom>
            <a:avLst/>
            <a:gdLst>
              <a:gd name="T0" fmla="*/ 5 w 26"/>
              <a:gd name="T1" fmla="*/ 2 h 44"/>
              <a:gd name="T2" fmla="*/ 5 w 26"/>
              <a:gd name="T3" fmla="*/ 1 h 44"/>
              <a:gd name="T4" fmla="*/ 4 w 26"/>
              <a:gd name="T5" fmla="*/ 0 h 44"/>
              <a:gd name="T6" fmla="*/ 3 w 26"/>
              <a:gd name="T7" fmla="*/ 0 h 44"/>
              <a:gd name="T8" fmla="*/ 3 w 26"/>
              <a:gd name="T9" fmla="*/ 1 h 44"/>
              <a:gd name="T10" fmla="*/ 3 w 26"/>
              <a:gd name="T11" fmla="*/ 0 h 44"/>
              <a:gd name="T12" fmla="*/ 2 w 26"/>
              <a:gd name="T13" fmla="*/ 1 h 44"/>
              <a:gd name="T14" fmla="*/ 3 w 26"/>
              <a:gd name="T15" fmla="*/ 2 h 44"/>
              <a:gd name="T16" fmla="*/ 2 w 26"/>
              <a:gd name="T17" fmla="*/ 2 h 44"/>
              <a:gd name="T18" fmla="*/ 2 w 26"/>
              <a:gd name="T19" fmla="*/ 3 h 44"/>
              <a:gd name="T20" fmla="*/ 2 w 26"/>
              <a:gd name="T21" fmla="*/ 3 h 44"/>
              <a:gd name="T22" fmla="*/ 2 w 26"/>
              <a:gd name="T23" fmla="*/ 7 h 44"/>
              <a:gd name="T24" fmla="*/ 3 w 26"/>
              <a:gd name="T25" fmla="*/ 5 h 44"/>
              <a:gd name="T26" fmla="*/ 2 w 26"/>
              <a:gd name="T27" fmla="*/ 6 h 44"/>
              <a:gd name="T28" fmla="*/ 2 w 26"/>
              <a:gd name="T29" fmla="*/ 6 h 44"/>
              <a:gd name="T30" fmla="*/ 1 w 26"/>
              <a:gd name="T31" fmla="*/ 6 h 44"/>
              <a:gd name="T32" fmla="*/ 1 w 26"/>
              <a:gd name="T33" fmla="*/ 7 h 44"/>
              <a:gd name="T34" fmla="*/ 1 w 26"/>
              <a:gd name="T35" fmla="*/ 7 h 44"/>
              <a:gd name="T36" fmla="*/ 1 w 26"/>
              <a:gd name="T37" fmla="*/ 7 h 44"/>
              <a:gd name="T38" fmla="*/ 0 w 26"/>
              <a:gd name="T39" fmla="*/ 7 h 44"/>
              <a:gd name="T40" fmla="*/ 0 w 26"/>
              <a:gd name="T41" fmla="*/ 9 h 44"/>
              <a:gd name="T42" fmla="*/ 0 w 26"/>
              <a:gd name="T43" fmla="*/ 10 h 44"/>
              <a:gd name="T44" fmla="*/ 0 w 26"/>
              <a:gd name="T45" fmla="*/ 10 h 44"/>
              <a:gd name="T46" fmla="*/ 2 w 26"/>
              <a:gd name="T47" fmla="*/ 10 h 44"/>
              <a:gd name="T48" fmla="*/ 2 w 26"/>
              <a:gd name="T49" fmla="*/ 10 h 44"/>
              <a:gd name="T50" fmla="*/ 2 w 26"/>
              <a:gd name="T51" fmla="*/ 10 h 44"/>
              <a:gd name="T52" fmla="*/ 2 w 26"/>
              <a:gd name="T53" fmla="*/ 8 h 44"/>
              <a:gd name="T54" fmla="*/ 2 w 26"/>
              <a:gd name="T55" fmla="*/ 8 h 44"/>
              <a:gd name="T56" fmla="*/ 2 w 26"/>
              <a:gd name="T57" fmla="*/ 9 h 44"/>
              <a:gd name="T58" fmla="*/ 2 w 26"/>
              <a:gd name="T59" fmla="*/ 9 h 44"/>
              <a:gd name="T60" fmla="*/ 2 w 26"/>
              <a:gd name="T61" fmla="*/ 9 h 44"/>
              <a:gd name="T62" fmla="*/ 2 w 26"/>
              <a:gd name="T63" fmla="*/ 8 h 44"/>
              <a:gd name="T64" fmla="*/ 3 w 26"/>
              <a:gd name="T65" fmla="*/ 8 h 44"/>
              <a:gd name="T66" fmla="*/ 3 w 26"/>
              <a:gd name="T67" fmla="*/ 8 h 44"/>
              <a:gd name="T68" fmla="*/ 3 w 26"/>
              <a:gd name="T69" fmla="*/ 8 h 44"/>
              <a:gd name="T70" fmla="*/ 3 w 26"/>
              <a:gd name="T71" fmla="*/ 8 h 44"/>
              <a:gd name="T72" fmla="*/ 3 w 26"/>
              <a:gd name="T73" fmla="*/ 8 h 44"/>
              <a:gd name="T74" fmla="*/ 4 w 26"/>
              <a:gd name="T75" fmla="*/ 7 h 44"/>
              <a:gd name="T76" fmla="*/ 3 w 26"/>
              <a:gd name="T77" fmla="*/ 5 h 44"/>
              <a:gd name="T78" fmla="*/ 4 w 26"/>
              <a:gd name="T79" fmla="*/ 5 h 44"/>
              <a:gd name="T80" fmla="*/ 4 w 26"/>
              <a:gd name="T81" fmla="*/ 3 h 44"/>
              <a:gd name="T82" fmla="*/ 4 w 26"/>
              <a:gd name="T83" fmla="*/ 3 h 44"/>
              <a:gd name="T84" fmla="*/ 5 w 26"/>
              <a:gd name="T85" fmla="*/ 2 h 44"/>
              <a:gd name="T86" fmla="*/ 5 w 26"/>
              <a:gd name="T87" fmla="*/ 2 h 44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26"/>
              <a:gd name="T133" fmla="*/ 0 h 44"/>
              <a:gd name="T134" fmla="*/ 26 w 26"/>
              <a:gd name="T135" fmla="*/ 44 h 44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26" h="44">
                <a:moveTo>
                  <a:pt x="26" y="7"/>
                </a:moveTo>
                <a:lnTo>
                  <a:pt x="26" y="3"/>
                </a:lnTo>
                <a:lnTo>
                  <a:pt x="22" y="0"/>
                </a:lnTo>
                <a:lnTo>
                  <a:pt x="18" y="0"/>
                </a:lnTo>
                <a:lnTo>
                  <a:pt x="14" y="3"/>
                </a:lnTo>
                <a:lnTo>
                  <a:pt x="16" y="2"/>
                </a:lnTo>
                <a:lnTo>
                  <a:pt x="12" y="5"/>
                </a:lnTo>
                <a:lnTo>
                  <a:pt x="14" y="7"/>
                </a:lnTo>
                <a:lnTo>
                  <a:pt x="12" y="7"/>
                </a:lnTo>
                <a:lnTo>
                  <a:pt x="12" y="15"/>
                </a:lnTo>
                <a:lnTo>
                  <a:pt x="10" y="15"/>
                </a:lnTo>
                <a:lnTo>
                  <a:pt x="8" y="29"/>
                </a:lnTo>
                <a:lnTo>
                  <a:pt x="14" y="23"/>
                </a:lnTo>
                <a:lnTo>
                  <a:pt x="8" y="25"/>
                </a:lnTo>
                <a:lnTo>
                  <a:pt x="8" y="27"/>
                </a:lnTo>
                <a:lnTo>
                  <a:pt x="6" y="27"/>
                </a:lnTo>
                <a:lnTo>
                  <a:pt x="6" y="29"/>
                </a:lnTo>
                <a:lnTo>
                  <a:pt x="4" y="29"/>
                </a:lnTo>
                <a:lnTo>
                  <a:pt x="4" y="31"/>
                </a:lnTo>
                <a:lnTo>
                  <a:pt x="2" y="31"/>
                </a:lnTo>
                <a:lnTo>
                  <a:pt x="0" y="39"/>
                </a:lnTo>
                <a:lnTo>
                  <a:pt x="2" y="42"/>
                </a:lnTo>
                <a:lnTo>
                  <a:pt x="2" y="44"/>
                </a:lnTo>
                <a:lnTo>
                  <a:pt x="10" y="44"/>
                </a:lnTo>
                <a:lnTo>
                  <a:pt x="10" y="42"/>
                </a:lnTo>
                <a:lnTo>
                  <a:pt x="12" y="42"/>
                </a:lnTo>
                <a:lnTo>
                  <a:pt x="12" y="35"/>
                </a:lnTo>
                <a:lnTo>
                  <a:pt x="10" y="35"/>
                </a:lnTo>
                <a:lnTo>
                  <a:pt x="12" y="39"/>
                </a:lnTo>
                <a:lnTo>
                  <a:pt x="10" y="39"/>
                </a:lnTo>
                <a:lnTo>
                  <a:pt x="12" y="39"/>
                </a:lnTo>
                <a:lnTo>
                  <a:pt x="12" y="37"/>
                </a:lnTo>
                <a:lnTo>
                  <a:pt x="14" y="37"/>
                </a:lnTo>
                <a:lnTo>
                  <a:pt x="14" y="35"/>
                </a:lnTo>
                <a:lnTo>
                  <a:pt x="16" y="35"/>
                </a:lnTo>
                <a:lnTo>
                  <a:pt x="16" y="33"/>
                </a:lnTo>
                <a:lnTo>
                  <a:pt x="14" y="35"/>
                </a:lnTo>
                <a:lnTo>
                  <a:pt x="20" y="29"/>
                </a:lnTo>
                <a:lnTo>
                  <a:pt x="18" y="23"/>
                </a:lnTo>
                <a:lnTo>
                  <a:pt x="20" y="23"/>
                </a:lnTo>
                <a:lnTo>
                  <a:pt x="20" y="15"/>
                </a:lnTo>
                <a:lnTo>
                  <a:pt x="22" y="15"/>
                </a:lnTo>
                <a:lnTo>
                  <a:pt x="24" y="9"/>
                </a:lnTo>
                <a:lnTo>
                  <a:pt x="26" y="7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6" name="Freeform 305"/>
          <xdr:cNvSpPr>
            <a:spLocks/>
          </xdr:cNvSpPr>
        </xdr:nvSpPr>
        <xdr:spPr bwMode="auto">
          <a:xfrm>
            <a:off x="313" y="2254"/>
            <a:ext cx="14" cy="7"/>
          </a:xfrm>
          <a:custGeom>
            <a:avLst/>
            <a:gdLst>
              <a:gd name="T0" fmla="*/ 13 w 63"/>
              <a:gd name="T1" fmla="*/ 4 h 27"/>
              <a:gd name="T2" fmla="*/ 13 w 63"/>
              <a:gd name="T3" fmla="*/ 4 h 27"/>
              <a:gd name="T4" fmla="*/ 14 w 63"/>
              <a:gd name="T5" fmla="*/ 3 h 27"/>
              <a:gd name="T6" fmla="*/ 14 w 63"/>
              <a:gd name="T7" fmla="*/ 2 h 27"/>
              <a:gd name="T8" fmla="*/ 13 w 63"/>
              <a:gd name="T9" fmla="*/ 1 h 27"/>
              <a:gd name="T10" fmla="*/ 12 w 63"/>
              <a:gd name="T11" fmla="*/ 1 h 27"/>
              <a:gd name="T12" fmla="*/ 11 w 63"/>
              <a:gd name="T13" fmla="*/ 0 h 27"/>
              <a:gd name="T14" fmla="*/ 10 w 63"/>
              <a:gd name="T15" fmla="*/ 0 h 27"/>
              <a:gd name="T16" fmla="*/ 9 w 63"/>
              <a:gd name="T17" fmla="*/ 1 h 27"/>
              <a:gd name="T18" fmla="*/ 6 w 63"/>
              <a:gd name="T19" fmla="*/ 1 h 27"/>
              <a:gd name="T20" fmla="*/ 6 w 63"/>
              <a:gd name="T21" fmla="*/ 1 h 27"/>
              <a:gd name="T22" fmla="*/ 4 w 63"/>
              <a:gd name="T23" fmla="*/ 2 h 27"/>
              <a:gd name="T24" fmla="*/ 4 w 63"/>
              <a:gd name="T25" fmla="*/ 2 h 27"/>
              <a:gd name="T26" fmla="*/ 4 w 63"/>
              <a:gd name="T27" fmla="*/ 2 h 27"/>
              <a:gd name="T28" fmla="*/ 4 w 63"/>
              <a:gd name="T29" fmla="*/ 2 h 27"/>
              <a:gd name="T30" fmla="*/ 4 w 63"/>
              <a:gd name="T31" fmla="*/ 2 h 27"/>
              <a:gd name="T32" fmla="*/ 2 w 63"/>
              <a:gd name="T33" fmla="*/ 2 h 27"/>
              <a:gd name="T34" fmla="*/ 2 w 63"/>
              <a:gd name="T35" fmla="*/ 2 h 27"/>
              <a:gd name="T36" fmla="*/ 1 w 63"/>
              <a:gd name="T37" fmla="*/ 3 h 27"/>
              <a:gd name="T38" fmla="*/ 1 w 63"/>
              <a:gd name="T39" fmla="*/ 3 h 27"/>
              <a:gd name="T40" fmla="*/ 0 w 63"/>
              <a:gd name="T41" fmla="*/ 3 h 27"/>
              <a:gd name="T42" fmla="*/ 0 w 63"/>
              <a:gd name="T43" fmla="*/ 5 h 27"/>
              <a:gd name="T44" fmla="*/ 0 w 63"/>
              <a:gd name="T45" fmla="*/ 6 h 27"/>
              <a:gd name="T46" fmla="*/ 0 w 63"/>
              <a:gd name="T47" fmla="*/ 6 h 27"/>
              <a:gd name="T48" fmla="*/ 0 w 63"/>
              <a:gd name="T49" fmla="*/ 7 h 27"/>
              <a:gd name="T50" fmla="*/ 2 w 63"/>
              <a:gd name="T51" fmla="*/ 7 h 27"/>
              <a:gd name="T52" fmla="*/ 2 w 63"/>
              <a:gd name="T53" fmla="*/ 6 h 27"/>
              <a:gd name="T54" fmla="*/ 3 w 63"/>
              <a:gd name="T55" fmla="*/ 6 h 27"/>
              <a:gd name="T56" fmla="*/ 3 w 63"/>
              <a:gd name="T57" fmla="*/ 5 h 27"/>
              <a:gd name="T58" fmla="*/ 2 w 63"/>
              <a:gd name="T59" fmla="*/ 5 h 27"/>
              <a:gd name="T60" fmla="*/ 3 w 63"/>
              <a:gd name="T61" fmla="*/ 5 h 27"/>
              <a:gd name="T62" fmla="*/ 3 w 63"/>
              <a:gd name="T63" fmla="*/ 5 h 27"/>
              <a:gd name="T64" fmla="*/ 3 w 63"/>
              <a:gd name="T65" fmla="*/ 5 h 27"/>
              <a:gd name="T66" fmla="*/ 3 w 63"/>
              <a:gd name="T67" fmla="*/ 5 h 27"/>
              <a:gd name="T68" fmla="*/ 5 w 63"/>
              <a:gd name="T69" fmla="*/ 5 h 27"/>
              <a:gd name="T70" fmla="*/ 4 w 63"/>
              <a:gd name="T71" fmla="*/ 5 h 27"/>
              <a:gd name="T72" fmla="*/ 6 w 63"/>
              <a:gd name="T73" fmla="*/ 4 h 27"/>
              <a:gd name="T74" fmla="*/ 6 w 63"/>
              <a:gd name="T75" fmla="*/ 4 h 27"/>
              <a:gd name="T76" fmla="*/ 7 w 63"/>
              <a:gd name="T77" fmla="*/ 4 h 27"/>
              <a:gd name="T78" fmla="*/ 7 w 63"/>
              <a:gd name="T79" fmla="*/ 4 h 27"/>
              <a:gd name="T80" fmla="*/ 10 w 63"/>
              <a:gd name="T81" fmla="*/ 4 h 27"/>
              <a:gd name="T82" fmla="*/ 11 w 63"/>
              <a:gd name="T83" fmla="*/ 3 h 27"/>
              <a:gd name="T84" fmla="*/ 10 w 63"/>
              <a:gd name="T85" fmla="*/ 3 h 27"/>
              <a:gd name="T86" fmla="*/ 11 w 63"/>
              <a:gd name="T87" fmla="*/ 4 h 27"/>
              <a:gd name="T88" fmla="*/ 13 w 63"/>
              <a:gd name="T89" fmla="*/ 4 h 27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63"/>
              <a:gd name="T136" fmla="*/ 0 h 27"/>
              <a:gd name="T137" fmla="*/ 63 w 63"/>
              <a:gd name="T138" fmla="*/ 27 h 27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63" h="27">
                <a:moveTo>
                  <a:pt x="58" y="14"/>
                </a:moveTo>
                <a:lnTo>
                  <a:pt x="60" y="14"/>
                </a:lnTo>
                <a:lnTo>
                  <a:pt x="63" y="10"/>
                </a:lnTo>
                <a:lnTo>
                  <a:pt x="63" y="6"/>
                </a:lnTo>
                <a:lnTo>
                  <a:pt x="60" y="2"/>
                </a:lnTo>
                <a:lnTo>
                  <a:pt x="52" y="2"/>
                </a:lnTo>
                <a:lnTo>
                  <a:pt x="50" y="0"/>
                </a:lnTo>
                <a:lnTo>
                  <a:pt x="44" y="0"/>
                </a:lnTo>
                <a:lnTo>
                  <a:pt x="42" y="2"/>
                </a:lnTo>
                <a:lnTo>
                  <a:pt x="28" y="2"/>
                </a:lnTo>
                <a:lnTo>
                  <a:pt x="26" y="4"/>
                </a:lnTo>
                <a:lnTo>
                  <a:pt x="18" y="6"/>
                </a:lnTo>
                <a:lnTo>
                  <a:pt x="18" y="8"/>
                </a:lnTo>
                <a:lnTo>
                  <a:pt x="20" y="6"/>
                </a:lnTo>
                <a:lnTo>
                  <a:pt x="18" y="6"/>
                </a:lnTo>
                <a:lnTo>
                  <a:pt x="20" y="6"/>
                </a:lnTo>
                <a:lnTo>
                  <a:pt x="10" y="6"/>
                </a:lnTo>
                <a:lnTo>
                  <a:pt x="8" y="8"/>
                </a:lnTo>
                <a:lnTo>
                  <a:pt x="4" y="10"/>
                </a:lnTo>
                <a:lnTo>
                  <a:pt x="4" y="12"/>
                </a:lnTo>
                <a:lnTo>
                  <a:pt x="2" y="12"/>
                </a:lnTo>
                <a:lnTo>
                  <a:pt x="0" y="21"/>
                </a:lnTo>
                <a:lnTo>
                  <a:pt x="0" y="25"/>
                </a:lnTo>
                <a:lnTo>
                  <a:pt x="2" y="25"/>
                </a:lnTo>
                <a:lnTo>
                  <a:pt x="2" y="27"/>
                </a:lnTo>
                <a:lnTo>
                  <a:pt x="10" y="27"/>
                </a:lnTo>
                <a:lnTo>
                  <a:pt x="10" y="25"/>
                </a:lnTo>
                <a:lnTo>
                  <a:pt x="12" y="25"/>
                </a:lnTo>
                <a:lnTo>
                  <a:pt x="12" y="21"/>
                </a:lnTo>
                <a:lnTo>
                  <a:pt x="10" y="20"/>
                </a:lnTo>
                <a:lnTo>
                  <a:pt x="12" y="20"/>
                </a:lnTo>
                <a:lnTo>
                  <a:pt x="12" y="18"/>
                </a:lnTo>
                <a:lnTo>
                  <a:pt x="12" y="20"/>
                </a:lnTo>
                <a:lnTo>
                  <a:pt x="14" y="18"/>
                </a:lnTo>
                <a:lnTo>
                  <a:pt x="22" y="18"/>
                </a:lnTo>
                <a:lnTo>
                  <a:pt x="20" y="18"/>
                </a:lnTo>
                <a:lnTo>
                  <a:pt x="26" y="16"/>
                </a:lnTo>
                <a:lnTo>
                  <a:pt x="26" y="14"/>
                </a:lnTo>
                <a:lnTo>
                  <a:pt x="30" y="16"/>
                </a:lnTo>
                <a:lnTo>
                  <a:pt x="32" y="14"/>
                </a:lnTo>
                <a:lnTo>
                  <a:pt x="46" y="14"/>
                </a:lnTo>
                <a:lnTo>
                  <a:pt x="48" y="12"/>
                </a:lnTo>
                <a:lnTo>
                  <a:pt x="46" y="12"/>
                </a:lnTo>
                <a:lnTo>
                  <a:pt x="48" y="14"/>
                </a:lnTo>
                <a:lnTo>
                  <a:pt x="58" y="14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7" name="Freeform 306"/>
          <xdr:cNvSpPr>
            <a:spLocks/>
          </xdr:cNvSpPr>
        </xdr:nvSpPr>
        <xdr:spPr bwMode="auto">
          <a:xfrm>
            <a:off x="327" y="2258"/>
            <a:ext cx="5" cy="17"/>
          </a:xfrm>
          <a:custGeom>
            <a:avLst/>
            <a:gdLst>
              <a:gd name="T0" fmla="*/ 2 w 28"/>
              <a:gd name="T1" fmla="*/ 1 h 74"/>
              <a:gd name="T2" fmla="*/ 2 w 28"/>
              <a:gd name="T3" fmla="*/ 0 h 74"/>
              <a:gd name="T4" fmla="*/ 2 w 28"/>
              <a:gd name="T5" fmla="*/ 0 h 74"/>
              <a:gd name="T6" fmla="*/ 2 w 28"/>
              <a:gd name="T7" fmla="*/ 0 h 74"/>
              <a:gd name="T8" fmla="*/ 0 w 28"/>
              <a:gd name="T9" fmla="*/ 0 h 74"/>
              <a:gd name="T10" fmla="*/ 0 w 28"/>
              <a:gd name="T11" fmla="*/ 0 h 74"/>
              <a:gd name="T12" fmla="*/ 0 w 28"/>
              <a:gd name="T13" fmla="*/ 0 h 74"/>
              <a:gd name="T14" fmla="*/ 0 w 28"/>
              <a:gd name="T15" fmla="*/ 8 h 74"/>
              <a:gd name="T16" fmla="*/ 0 w 28"/>
              <a:gd name="T17" fmla="*/ 8 h 74"/>
              <a:gd name="T18" fmla="*/ 0 w 28"/>
              <a:gd name="T19" fmla="*/ 8 h 74"/>
              <a:gd name="T20" fmla="*/ 4 w 28"/>
              <a:gd name="T21" fmla="*/ 8 h 74"/>
              <a:gd name="T22" fmla="*/ 3 w 28"/>
              <a:gd name="T23" fmla="*/ 7 h 74"/>
              <a:gd name="T24" fmla="*/ 3 w 28"/>
              <a:gd name="T25" fmla="*/ 17 h 74"/>
              <a:gd name="T26" fmla="*/ 3 w 28"/>
              <a:gd name="T27" fmla="*/ 17 h 74"/>
              <a:gd name="T28" fmla="*/ 3 w 28"/>
              <a:gd name="T29" fmla="*/ 17 h 74"/>
              <a:gd name="T30" fmla="*/ 5 w 28"/>
              <a:gd name="T31" fmla="*/ 17 h 74"/>
              <a:gd name="T32" fmla="*/ 5 w 28"/>
              <a:gd name="T33" fmla="*/ 17 h 74"/>
              <a:gd name="T34" fmla="*/ 5 w 28"/>
              <a:gd name="T35" fmla="*/ 17 h 74"/>
              <a:gd name="T36" fmla="*/ 5 w 28"/>
              <a:gd name="T37" fmla="*/ 16 h 74"/>
              <a:gd name="T38" fmla="*/ 5 w 28"/>
              <a:gd name="T39" fmla="*/ 7 h 74"/>
              <a:gd name="T40" fmla="*/ 5 w 28"/>
              <a:gd name="T41" fmla="*/ 6 h 74"/>
              <a:gd name="T42" fmla="*/ 5 w 28"/>
              <a:gd name="T43" fmla="*/ 6 h 74"/>
              <a:gd name="T44" fmla="*/ 5 w 28"/>
              <a:gd name="T45" fmla="*/ 5 h 74"/>
              <a:gd name="T46" fmla="*/ 1 w 28"/>
              <a:gd name="T47" fmla="*/ 5 h 74"/>
              <a:gd name="T48" fmla="*/ 2 w 28"/>
              <a:gd name="T49" fmla="*/ 7 h 74"/>
              <a:gd name="T50" fmla="*/ 2 w 28"/>
              <a:gd name="T51" fmla="*/ 1 h 74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28"/>
              <a:gd name="T79" fmla="*/ 0 h 74"/>
              <a:gd name="T80" fmla="*/ 28 w 28"/>
              <a:gd name="T81" fmla="*/ 74 h 74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28" h="74">
                <a:moveTo>
                  <a:pt x="12" y="5"/>
                </a:move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33"/>
                </a:lnTo>
                <a:lnTo>
                  <a:pt x="2" y="33"/>
                </a:lnTo>
                <a:lnTo>
                  <a:pt x="2" y="35"/>
                </a:lnTo>
                <a:lnTo>
                  <a:pt x="22" y="35"/>
                </a:lnTo>
                <a:lnTo>
                  <a:pt x="16" y="29"/>
                </a:lnTo>
                <a:lnTo>
                  <a:pt x="16" y="72"/>
                </a:lnTo>
                <a:lnTo>
                  <a:pt x="18" y="72"/>
                </a:lnTo>
                <a:lnTo>
                  <a:pt x="18" y="74"/>
                </a:lnTo>
                <a:lnTo>
                  <a:pt x="26" y="74"/>
                </a:lnTo>
                <a:lnTo>
                  <a:pt x="26" y="72"/>
                </a:lnTo>
                <a:lnTo>
                  <a:pt x="28" y="72"/>
                </a:lnTo>
                <a:lnTo>
                  <a:pt x="28" y="68"/>
                </a:lnTo>
                <a:lnTo>
                  <a:pt x="28" y="29"/>
                </a:lnTo>
                <a:lnTo>
                  <a:pt x="28" y="25"/>
                </a:lnTo>
                <a:lnTo>
                  <a:pt x="26" y="25"/>
                </a:lnTo>
                <a:lnTo>
                  <a:pt x="26" y="23"/>
                </a:lnTo>
                <a:lnTo>
                  <a:pt x="6" y="23"/>
                </a:lnTo>
                <a:lnTo>
                  <a:pt x="12" y="29"/>
                </a:lnTo>
                <a:lnTo>
                  <a:pt x="12" y="5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8" name="Freeform 307"/>
          <xdr:cNvSpPr>
            <a:spLocks/>
          </xdr:cNvSpPr>
        </xdr:nvSpPr>
        <xdr:spPr bwMode="auto">
          <a:xfrm>
            <a:off x="333" y="2275"/>
            <a:ext cx="17" cy="7"/>
          </a:xfrm>
          <a:custGeom>
            <a:avLst/>
            <a:gdLst>
              <a:gd name="T0" fmla="*/ 2 w 83"/>
              <a:gd name="T1" fmla="*/ 0 h 27"/>
              <a:gd name="T2" fmla="*/ 0 w 83"/>
              <a:gd name="T3" fmla="*/ 0 h 27"/>
              <a:gd name="T4" fmla="*/ 0 w 83"/>
              <a:gd name="T5" fmla="*/ 1 h 27"/>
              <a:gd name="T6" fmla="*/ 0 w 83"/>
              <a:gd name="T7" fmla="*/ 1 h 27"/>
              <a:gd name="T8" fmla="*/ 0 w 83"/>
              <a:gd name="T9" fmla="*/ 2 h 27"/>
              <a:gd name="T10" fmla="*/ 0 w 83"/>
              <a:gd name="T11" fmla="*/ 2 h 27"/>
              <a:gd name="T12" fmla="*/ 1 w 83"/>
              <a:gd name="T13" fmla="*/ 3 h 27"/>
              <a:gd name="T14" fmla="*/ 15 w 83"/>
              <a:gd name="T15" fmla="*/ 7 h 27"/>
              <a:gd name="T16" fmla="*/ 17 w 83"/>
              <a:gd name="T17" fmla="*/ 7 h 27"/>
              <a:gd name="T18" fmla="*/ 17 w 83"/>
              <a:gd name="T19" fmla="*/ 6 h 27"/>
              <a:gd name="T20" fmla="*/ 17 w 83"/>
              <a:gd name="T21" fmla="*/ 6 h 27"/>
              <a:gd name="T22" fmla="*/ 17 w 83"/>
              <a:gd name="T23" fmla="*/ 4 h 27"/>
              <a:gd name="T24" fmla="*/ 17 w 83"/>
              <a:gd name="T25" fmla="*/ 4 h 27"/>
              <a:gd name="T26" fmla="*/ 16 w 83"/>
              <a:gd name="T27" fmla="*/ 4 h 27"/>
              <a:gd name="T28" fmla="*/ 2 w 83"/>
              <a:gd name="T29" fmla="*/ 0 h 2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83"/>
              <a:gd name="T46" fmla="*/ 0 h 27"/>
              <a:gd name="T47" fmla="*/ 83 w 83"/>
              <a:gd name="T48" fmla="*/ 27 h 2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83" h="27">
                <a:moveTo>
                  <a:pt x="8" y="0"/>
                </a:moveTo>
                <a:lnTo>
                  <a:pt x="2" y="0"/>
                </a:lnTo>
                <a:lnTo>
                  <a:pt x="2" y="2"/>
                </a:lnTo>
                <a:lnTo>
                  <a:pt x="0" y="3"/>
                </a:lnTo>
                <a:lnTo>
                  <a:pt x="0" y="9"/>
                </a:lnTo>
                <a:lnTo>
                  <a:pt x="2" y="9"/>
                </a:lnTo>
                <a:lnTo>
                  <a:pt x="4" y="11"/>
                </a:lnTo>
                <a:lnTo>
                  <a:pt x="75" y="27"/>
                </a:lnTo>
                <a:lnTo>
                  <a:pt x="81" y="27"/>
                </a:lnTo>
                <a:lnTo>
                  <a:pt x="81" y="25"/>
                </a:lnTo>
                <a:lnTo>
                  <a:pt x="83" y="23"/>
                </a:lnTo>
                <a:lnTo>
                  <a:pt x="83" y="17"/>
                </a:lnTo>
                <a:lnTo>
                  <a:pt x="81" y="17"/>
                </a:lnTo>
                <a:lnTo>
                  <a:pt x="79" y="15"/>
                </a:lnTo>
                <a:lnTo>
                  <a:pt x="8" y="0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09" name="Freeform 308"/>
          <xdr:cNvSpPr>
            <a:spLocks/>
          </xdr:cNvSpPr>
        </xdr:nvSpPr>
        <xdr:spPr bwMode="auto">
          <a:xfrm>
            <a:off x="352" y="2266"/>
            <a:ext cx="10" cy="72"/>
          </a:xfrm>
          <a:custGeom>
            <a:avLst/>
            <a:gdLst>
              <a:gd name="T0" fmla="*/ 0 w 76"/>
              <a:gd name="T1" fmla="*/ 13 h 305"/>
              <a:gd name="T2" fmla="*/ 0 w 76"/>
              <a:gd name="T3" fmla="*/ 14 h 305"/>
              <a:gd name="T4" fmla="*/ 0 w 76"/>
              <a:gd name="T5" fmla="*/ 14 h 305"/>
              <a:gd name="T6" fmla="*/ 0 w 76"/>
              <a:gd name="T7" fmla="*/ 15 h 305"/>
              <a:gd name="T8" fmla="*/ 1 w 76"/>
              <a:gd name="T9" fmla="*/ 15 h 305"/>
              <a:gd name="T10" fmla="*/ 1 w 76"/>
              <a:gd name="T11" fmla="*/ 14 h 305"/>
              <a:gd name="T12" fmla="*/ 1 w 76"/>
              <a:gd name="T13" fmla="*/ 14 h 305"/>
              <a:gd name="T14" fmla="*/ 1 w 76"/>
              <a:gd name="T15" fmla="*/ 1 h 305"/>
              <a:gd name="T16" fmla="*/ 1 w 76"/>
              <a:gd name="T17" fmla="*/ 3 h 305"/>
              <a:gd name="T18" fmla="*/ 8 w 76"/>
              <a:gd name="T19" fmla="*/ 3 h 305"/>
              <a:gd name="T20" fmla="*/ 7 w 76"/>
              <a:gd name="T21" fmla="*/ 1 h 305"/>
              <a:gd name="T22" fmla="*/ 7 w 76"/>
              <a:gd name="T23" fmla="*/ 12 h 305"/>
              <a:gd name="T24" fmla="*/ 7 w 76"/>
              <a:gd name="T25" fmla="*/ 12 h 305"/>
              <a:gd name="T26" fmla="*/ 7 w 76"/>
              <a:gd name="T27" fmla="*/ 12 h 305"/>
              <a:gd name="T28" fmla="*/ 9 w 76"/>
              <a:gd name="T29" fmla="*/ 12 h 305"/>
              <a:gd name="T30" fmla="*/ 9 w 76"/>
              <a:gd name="T31" fmla="*/ 11 h 305"/>
              <a:gd name="T32" fmla="*/ 9 w 76"/>
              <a:gd name="T33" fmla="*/ 61 h 305"/>
              <a:gd name="T34" fmla="*/ 9 w 76"/>
              <a:gd name="T35" fmla="*/ 59 h 305"/>
              <a:gd name="T36" fmla="*/ 7 w 76"/>
              <a:gd name="T37" fmla="*/ 59 h 305"/>
              <a:gd name="T38" fmla="*/ 7 w 76"/>
              <a:gd name="T39" fmla="*/ 60 h 305"/>
              <a:gd name="T40" fmla="*/ 7 w 76"/>
              <a:gd name="T41" fmla="*/ 60 h 305"/>
              <a:gd name="T42" fmla="*/ 7 w 76"/>
              <a:gd name="T43" fmla="*/ 71 h 305"/>
              <a:gd name="T44" fmla="*/ 8 w 76"/>
              <a:gd name="T45" fmla="*/ 69 h 305"/>
              <a:gd name="T46" fmla="*/ 1 w 76"/>
              <a:gd name="T47" fmla="*/ 69 h 305"/>
              <a:gd name="T48" fmla="*/ 1 w 76"/>
              <a:gd name="T49" fmla="*/ 71 h 305"/>
              <a:gd name="T50" fmla="*/ 1 w 76"/>
              <a:gd name="T51" fmla="*/ 55 h 305"/>
              <a:gd name="T52" fmla="*/ 1 w 76"/>
              <a:gd name="T53" fmla="*/ 55 h 305"/>
              <a:gd name="T54" fmla="*/ 1 w 76"/>
              <a:gd name="T55" fmla="*/ 54 h 305"/>
              <a:gd name="T56" fmla="*/ 0 w 76"/>
              <a:gd name="T57" fmla="*/ 54 h 305"/>
              <a:gd name="T58" fmla="*/ 0 w 76"/>
              <a:gd name="T59" fmla="*/ 55 h 305"/>
              <a:gd name="T60" fmla="*/ 0 w 76"/>
              <a:gd name="T61" fmla="*/ 55 h 305"/>
              <a:gd name="T62" fmla="*/ 0 w 76"/>
              <a:gd name="T63" fmla="*/ 55 h 305"/>
              <a:gd name="T64" fmla="*/ 0 w 76"/>
              <a:gd name="T65" fmla="*/ 71 h 305"/>
              <a:gd name="T66" fmla="*/ 0 w 76"/>
              <a:gd name="T67" fmla="*/ 72 h 305"/>
              <a:gd name="T68" fmla="*/ 0 w 76"/>
              <a:gd name="T69" fmla="*/ 72 h 305"/>
              <a:gd name="T70" fmla="*/ 0 w 76"/>
              <a:gd name="T71" fmla="*/ 72 h 305"/>
              <a:gd name="T72" fmla="*/ 9 w 76"/>
              <a:gd name="T73" fmla="*/ 72 h 305"/>
              <a:gd name="T74" fmla="*/ 9 w 76"/>
              <a:gd name="T75" fmla="*/ 72 h 305"/>
              <a:gd name="T76" fmla="*/ 9 w 76"/>
              <a:gd name="T77" fmla="*/ 72 h 305"/>
              <a:gd name="T78" fmla="*/ 9 w 76"/>
              <a:gd name="T79" fmla="*/ 61 h 305"/>
              <a:gd name="T80" fmla="*/ 8 w 76"/>
              <a:gd name="T81" fmla="*/ 62 h 305"/>
              <a:gd name="T82" fmla="*/ 10 w 76"/>
              <a:gd name="T83" fmla="*/ 62 h 305"/>
              <a:gd name="T84" fmla="*/ 10 w 76"/>
              <a:gd name="T85" fmla="*/ 62 h 305"/>
              <a:gd name="T86" fmla="*/ 10 w 76"/>
              <a:gd name="T87" fmla="*/ 62 h 305"/>
              <a:gd name="T88" fmla="*/ 10 w 76"/>
              <a:gd name="T89" fmla="*/ 10 h 305"/>
              <a:gd name="T90" fmla="*/ 10 w 76"/>
              <a:gd name="T91" fmla="*/ 10 h 305"/>
              <a:gd name="T92" fmla="*/ 10 w 76"/>
              <a:gd name="T93" fmla="*/ 9 h 305"/>
              <a:gd name="T94" fmla="*/ 8 w 76"/>
              <a:gd name="T95" fmla="*/ 9 h 305"/>
              <a:gd name="T96" fmla="*/ 9 w 76"/>
              <a:gd name="T97" fmla="*/ 11 h 305"/>
              <a:gd name="T98" fmla="*/ 9 w 76"/>
              <a:gd name="T99" fmla="*/ 0 h 305"/>
              <a:gd name="T100" fmla="*/ 9 w 76"/>
              <a:gd name="T101" fmla="*/ 0 h 305"/>
              <a:gd name="T102" fmla="*/ 9 w 76"/>
              <a:gd name="T103" fmla="*/ 0 h 305"/>
              <a:gd name="T104" fmla="*/ 0 w 76"/>
              <a:gd name="T105" fmla="*/ 0 h 305"/>
              <a:gd name="T106" fmla="*/ 0 w 76"/>
              <a:gd name="T107" fmla="*/ 0 h 305"/>
              <a:gd name="T108" fmla="*/ 0 w 76"/>
              <a:gd name="T109" fmla="*/ 0 h 305"/>
              <a:gd name="T110" fmla="*/ 0 w 76"/>
              <a:gd name="T111" fmla="*/ 1 h 305"/>
              <a:gd name="T112" fmla="*/ 0 w 76"/>
              <a:gd name="T113" fmla="*/ 13 h 305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76"/>
              <a:gd name="T172" fmla="*/ 0 h 305"/>
              <a:gd name="T173" fmla="*/ 76 w 76"/>
              <a:gd name="T174" fmla="*/ 305 h 305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76" h="305">
                <a:moveTo>
                  <a:pt x="0" y="56"/>
                </a:moveTo>
                <a:lnTo>
                  <a:pt x="0" y="60"/>
                </a:lnTo>
                <a:lnTo>
                  <a:pt x="2" y="60"/>
                </a:lnTo>
                <a:lnTo>
                  <a:pt x="2" y="62"/>
                </a:lnTo>
                <a:lnTo>
                  <a:pt x="9" y="62"/>
                </a:lnTo>
                <a:lnTo>
                  <a:pt x="9" y="60"/>
                </a:lnTo>
                <a:lnTo>
                  <a:pt x="11" y="60"/>
                </a:lnTo>
                <a:lnTo>
                  <a:pt x="11" y="5"/>
                </a:lnTo>
                <a:lnTo>
                  <a:pt x="6" y="11"/>
                </a:lnTo>
                <a:lnTo>
                  <a:pt x="61" y="11"/>
                </a:lnTo>
                <a:lnTo>
                  <a:pt x="55" y="5"/>
                </a:lnTo>
                <a:lnTo>
                  <a:pt x="55" y="50"/>
                </a:lnTo>
                <a:lnTo>
                  <a:pt x="57" y="50"/>
                </a:lnTo>
                <a:lnTo>
                  <a:pt x="57" y="52"/>
                </a:lnTo>
                <a:lnTo>
                  <a:pt x="71" y="52"/>
                </a:lnTo>
                <a:lnTo>
                  <a:pt x="65" y="46"/>
                </a:lnTo>
                <a:lnTo>
                  <a:pt x="65" y="257"/>
                </a:lnTo>
                <a:lnTo>
                  <a:pt x="71" y="251"/>
                </a:lnTo>
                <a:lnTo>
                  <a:pt x="57" y="251"/>
                </a:lnTo>
                <a:lnTo>
                  <a:pt x="57" y="253"/>
                </a:lnTo>
                <a:lnTo>
                  <a:pt x="55" y="253"/>
                </a:lnTo>
                <a:lnTo>
                  <a:pt x="55" y="299"/>
                </a:lnTo>
                <a:lnTo>
                  <a:pt x="61" y="294"/>
                </a:lnTo>
                <a:lnTo>
                  <a:pt x="6" y="294"/>
                </a:lnTo>
                <a:lnTo>
                  <a:pt x="11" y="299"/>
                </a:lnTo>
                <a:lnTo>
                  <a:pt x="11" y="231"/>
                </a:lnTo>
                <a:lnTo>
                  <a:pt x="9" y="231"/>
                </a:lnTo>
                <a:lnTo>
                  <a:pt x="9" y="229"/>
                </a:lnTo>
                <a:lnTo>
                  <a:pt x="2" y="229"/>
                </a:lnTo>
                <a:lnTo>
                  <a:pt x="2" y="231"/>
                </a:lnTo>
                <a:lnTo>
                  <a:pt x="0" y="231"/>
                </a:lnTo>
                <a:lnTo>
                  <a:pt x="0" y="235"/>
                </a:lnTo>
                <a:lnTo>
                  <a:pt x="0" y="299"/>
                </a:lnTo>
                <a:lnTo>
                  <a:pt x="0" y="303"/>
                </a:lnTo>
                <a:lnTo>
                  <a:pt x="2" y="303"/>
                </a:lnTo>
                <a:lnTo>
                  <a:pt x="2" y="305"/>
                </a:lnTo>
                <a:lnTo>
                  <a:pt x="65" y="305"/>
                </a:lnTo>
                <a:lnTo>
                  <a:pt x="65" y="303"/>
                </a:lnTo>
                <a:lnTo>
                  <a:pt x="67" y="303"/>
                </a:lnTo>
                <a:lnTo>
                  <a:pt x="67" y="257"/>
                </a:lnTo>
                <a:lnTo>
                  <a:pt x="61" y="262"/>
                </a:lnTo>
                <a:lnTo>
                  <a:pt x="74" y="262"/>
                </a:lnTo>
                <a:lnTo>
                  <a:pt x="74" y="261"/>
                </a:lnTo>
                <a:lnTo>
                  <a:pt x="76" y="261"/>
                </a:lnTo>
                <a:lnTo>
                  <a:pt x="76" y="42"/>
                </a:lnTo>
                <a:lnTo>
                  <a:pt x="74" y="42"/>
                </a:lnTo>
                <a:lnTo>
                  <a:pt x="74" y="40"/>
                </a:lnTo>
                <a:lnTo>
                  <a:pt x="61" y="40"/>
                </a:lnTo>
                <a:lnTo>
                  <a:pt x="67" y="46"/>
                </a:lnTo>
                <a:lnTo>
                  <a:pt x="67" y="2"/>
                </a:lnTo>
                <a:lnTo>
                  <a:pt x="65" y="2"/>
                </a:lnTo>
                <a:lnTo>
                  <a:pt x="65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5"/>
                </a:lnTo>
                <a:lnTo>
                  <a:pt x="0" y="56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0" name="Freeform 309"/>
          <xdr:cNvSpPr>
            <a:spLocks/>
          </xdr:cNvSpPr>
        </xdr:nvSpPr>
        <xdr:spPr bwMode="auto">
          <a:xfrm>
            <a:off x="331" y="2314"/>
            <a:ext cx="19" cy="4"/>
          </a:xfrm>
          <a:custGeom>
            <a:avLst/>
            <a:gdLst>
              <a:gd name="T0" fmla="*/ 19 w 95"/>
              <a:gd name="T1" fmla="*/ 4 h 18"/>
              <a:gd name="T2" fmla="*/ 19 w 95"/>
              <a:gd name="T3" fmla="*/ 4 h 18"/>
              <a:gd name="T4" fmla="*/ 19 w 95"/>
              <a:gd name="T5" fmla="*/ 3 h 18"/>
              <a:gd name="T6" fmla="*/ 18 w 95"/>
              <a:gd name="T7" fmla="*/ 3 h 18"/>
              <a:gd name="T8" fmla="*/ 18 w 95"/>
              <a:gd name="T9" fmla="*/ 3 h 18"/>
              <a:gd name="T10" fmla="*/ 16 w 95"/>
              <a:gd name="T11" fmla="*/ 3 h 18"/>
              <a:gd name="T12" fmla="*/ 16 w 95"/>
              <a:gd name="T13" fmla="*/ 2 h 18"/>
              <a:gd name="T14" fmla="*/ 13 w 95"/>
              <a:gd name="T15" fmla="*/ 2 h 18"/>
              <a:gd name="T16" fmla="*/ 13 w 95"/>
              <a:gd name="T17" fmla="*/ 2 h 18"/>
              <a:gd name="T18" fmla="*/ 8 w 95"/>
              <a:gd name="T19" fmla="*/ 2 h 18"/>
              <a:gd name="T20" fmla="*/ 8 w 95"/>
              <a:gd name="T21" fmla="*/ 1 h 18"/>
              <a:gd name="T22" fmla="*/ 6 w 95"/>
              <a:gd name="T23" fmla="*/ 1 h 18"/>
              <a:gd name="T24" fmla="*/ 6 w 95"/>
              <a:gd name="T25" fmla="*/ 1 h 18"/>
              <a:gd name="T26" fmla="*/ 5 w 95"/>
              <a:gd name="T27" fmla="*/ 1 h 18"/>
              <a:gd name="T28" fmla="*/ 4 w 95"/>
              <a:gd name="T29" fmla="*/ 0 h 18"/>
              <a:gd name="T30" fmla="*/ 4 w 95"/>
              <a:gd name="T31" fmla="*/ 0 h 18"/>
              <a:gd name="T32" fmla="*/ 4 w 95"/>
              <a:gd name="T33" fmla="*/ 0 h 18"/>
              <a:gd name="T34" fmla="*/ 0 w 95"/>
              <a:gd name="T35" fmla="*/ 0 h 18"/>
              <a:gd name="T36" fmla="*/ 0 w 95"/>
              <a:gd name="T37" fmla="*/ 1 h 18"/>
              <a:gd name="T38" fmla="*/ 0 w 95"/>
              <a:gd name="T39" fmla="*/ 1 h 18"/>
              <a:gd name="T40" fmla="*/ 3 w 95"/>
              <a:gd name="T41" fmla="*/ 1 h 18"/>
              <a:gd name="T42" fmla="*/ 3 w 95"/>
              <a:gd name="T43" fmla="*/ 1 h 18"/>
              <a:gd name="T44" fmla="*/ 4 w 95"/>
              <a:gd name="T45" fmla="*/ 1 h 18"/>
              <a:gd name="T46" fmla="*/ 5 w 95"/>
              <a:gd name="T47" fmla="*/ 2 h 18"/>
              <a:gd name="T48" fmla="*/ 6 w 95"/>
              <a:gd name="T49" fmla="*/ 2 h 18"/>
              <a:gd name="T50" fmla="*/ 6 w 95"/>
              <a:gd name="T51" fmla="*/ 2 h 18"/>
              <a:gd name="T52" fmla="*/ 8 w 95"/>
              <a:gd name="T53" fmla="*/ 2 h 18"/>
              <a:gd name="T54" fmla="*/ 8 w 95"/>
              <a:gd name="T55" fmla="*/ 3 h 18"/>
              <a:gd name="T56" fmla="*/ 13 w 95"/>
              <a:gd name="T57" fmla="*/ 3 h 18"/>
              <a:gd name="T58" fmla="*/ 13 w 95"/>
              <a:gd name="T59" fmla="*/ 3 h 18"/>
              <a:gd name="T60" fmla="*/ 16 w 95"/>
              <a:gd name="T61" fmla="*/ 3 h 18"/>
              <a:gd name="T62" fmla="*/ 16 w 95"/>
              <a:gd name="T63" fmla="*/ 4 h 18"/>
              <a:gd name="T64" fmla="*/ 18 w 95"/>
              <a:gd name="T65" fmla="*/ 4 h 18"/>
              <a:gd name="T66" fmla="*/ 18 w 95"/>
              <a:gd name="T67" fmla="*/ 4 h 18"/>
              <a:gd name="T68" fmla="*/ 19 w 95"/>
              <a:gd name="T69" fmla="*/ 4 h 1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95"/>
              <a:gd name="T106" fmla="*/ 0 h 18"/>
              <a:gd name="T107" fmla="*/ 95 w 95"/>
              <a:gd name="T108" fmla="*/ 18 h 1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95" h="18">
                <a:moveTo>
                  <a:pt x="93" y="18"/>
                </a:moveTo>
                <a:lnTo>
                  <a:pt x="95" y="18"/>
                </a:lnTo>
                <a:lnTo>
                  <a:pt x="95" y="14"/>
                </a:lnTo>
                <a:lnTo>
                  <a:pt x="91" y="14"/>
                </a:lnTo>
                <a:lnTo>
                  <a:pt x="89" y="12"/>
                </a:lnTo>
                <a:lnTo>
                  <a:pt x="81" y="12"/>
                </a:lnTo>
                <a:lnTo>
                  <a:pt x="79" y="10"/>
                </a:lnTo>
                <a:lnTo>
                  <a:pt x="67" y="10"/>
                </a:lnTo>
                <a:lnTo>
                  <a:pt x="65" y="8"/>
                </a:lnTo>
                <a:lnTo>
                  <a:pt x="40" y="8"/>
                </a:lnTo>
                <a:lnTo>
                  <a:pt x="38" y="6"/>
                </a:lnTo>
                <a:lnTo>
                  <a:pt x="30" y="6"/>
                </a:lnTo>
                <a:lnTo>
                  <a:pt x="28" y="4"/>
                </a:lnTo>
                <a:lnTo>
                  <a:pt x="24" y="4"/>
                </a:lnTo>
                <a:lnTo>
                  <a:pt x="22" y="2"/>
                </a:lnTo>
                <a:lnTo>
                  <a:pt x="18" y="2"/>
                </a:lnTo>
                <a:lnTo>
                  <a:pt x="18" y="0"/>
                </a:lnTo>
                <a:lnTo>
                  <a:pt x="0" y="0"/>
                </a:lnTo>
                <a:lnTo>
                  <a:pt x="0" y="4"/>
                </a:lnTo>
                <a:lnTo>
                  <a:pt x="2" y="4"/>
                </a:lnTo>
                <a:lnTo>
                  <a:pt x="14" y="4"/>
                </a:lnTo>
                <a:lnTo>
                  <a:pt x="14" y="6"/>
                </a:lnTo>
                <a:lnTo>
                  <a:pt x="22" y="6"/>
                </a:lnTo>
                <a:lnTo>
                  <a:pt x="24" y="8"/>
                </a:lnTo>
                <a:lnTo>
                  <a:pt x="28" y="8"/>
                </a:lnTo>
                <a:lnTo>
                  <a:pt x="30" y="10"/>
                </a:lnTo>
                <a:lnTo>
                  <a:pt x="38" y="10"/>
                </a:lnTo>
                <a:lnTo>
                  <a:pt x="40" y="12"/>
                </a:lnTo>
                <a:lnTo>
                  <a:pt x="65" y="12"/>
                </a:lnTo>
                <a:lnTo>
                  <a:pt x="67" y="14"/>
                </a:lnTo>
                <a:lnTo>
                  <a:pt x="79" y="14"/>
                </a:lnTo>
                <a:lnTo>
                  <a:pt x="81" y="16"/>
                </a:lnTo>
                <a:lnTo>
                  <a:pt x="89" y="16"/>
                </a:lnTo>
                <a:lnTo>
                  <a:pt x="91" y="18"/>
                </a:lnTo>
                <a:lnTo>
                  <a:pt x="93" y="1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11" name="Freeform 310"/>
          <xdr:cNvSpPr>
            <a:spLocks/>
          </xdr:cNvSpPr>
        </xdr:nvSpPr>
        <xdr:spPr bwMode="auto">
          <a:xfrm>
            <a:off x="320" y="2317"/>
            <a:ext cx="27" cy="36"/>
          </a:xfrm>
          <a:custGeom>
            <a:avLst/>
            <a:gdLst>
              <a:gd name="T0" fmla="*/ 27 w 128"/>
              <a:gd name="T1" fmla="*/ 2 h 154"/>
              <a:gd name="T2" fmla="*/ 27 w 128"/>
              <a:gd name="T3" fmla="*/ 2 h 154"/>
              <a:gd name="T4" fmla="*/ 27 w 128"/>
              <a:gd name="T5" fmla="*/ 1 h 154"/>
              <a:gd name="T6" fmla="*/ 26 w 128"/>
              <a:gd name="T7" fmla="*/ 0 h 154"/>
              <a:gd name="T8" fmla="*/ 25 w 128"/>
              <a:gd name="T9" fmla="*/ 0 h 154"/>
              <a:gd name="T10" fmla="*/ 25 w 128"/>
              <a:gd name="T11" fmla="*/ 0 h 154"/>
              <a:gd name="T12" fmla="*/ 0 w 128"/>
              <a:gd name="T13" fmla="*/ 34 h 154"/>
              <a:gd name="T14" fmla="*/ 0 w 128"/>
              <a:gd name="T15" fmla="*/ 34 h 154"/>
              <a:gd name="T16" fmla="*/ 0 w 128"/>
              <a:gd name="T17" fmla="*/ 35 h 154"/>
              <a:gd name="T18" fmla="*/ 1 w 128"/>
              <a:gd name="T19" fmla="*/ 36 h 154"/>
              <a:gd name="T20" fmla="*/ 2 w 128"/>
              <a:gd name="T21" fmla="*/ 36 h 154"/>
              <a:gd name="T22" fmla="*/ 2 w 128"/>
              <a:gd name="T23" fmla="*/ 36 h 154"/>
              <a:gd name="T24" fmla="*/ 27 w 128"/>
              <a:gd name="T25" fmla="*/ 2 h 15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28"/>
              <a:gd name="T40" fmla="*/ 0 h 154"/>
              <a:gd name="T41" fmla="*/ 128 w 128"/>
              <a:gd name="T42" fmla="*/ 154 h 15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28" h="154">
                <a:moveTo>
                  <a:pt x="126" y="9"/>
                </a:moveTo>
                <a:lnTo>
                  <a:pt x="128" y="7"/>
                </a:lnTo>
                <a:lnTo>
                  <a:pt x="128" y="4"/>
                </a:lnTo>
                <a:lnTo>
                  <a:pt x="124" y="0"/>
                </a:lnTo>
                <a:lnTo>
                  <a:pt x="120" y="0"/>
                </a:lnTo>
                <a:lnTo>
                  <a:pt x="118" y="2"/>
                </a:lnTo>
                <a:lnTo>
                  <a:pt x="2" y="144"/>
                </a:lnTo>
                <a:lnTo>
                  <a:pt x="0" y="146"/>
                </a:lnTo>
                <a:lnTo>
                  <a:pt x="0" y="150"/>
                </a:lnTo>
                <a:lnTo>
                  <a:pt x="4" y="154"/>
                </a:lnTo>
                <a:lnTo>
                  <a:pt x="8" y="154"/>
                </a:lnTo>
                <a:lnTo>
                  <a:pt x="10" y="152"/>
                </a:lnTo>
                <a:lnTo>
                  <a:pt x="126" y="9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2" name="Freeform 311"/>
          <xdr:cNvSpPr>
            <a:spLocks/>
          </xdr:cNvSpPr>
        </xdr:nvSpPr>
        <xdr:spPr bwMode="auto">
          <a:xfrm>
            <a:off x="249" y="2357"/>
            <a:ext cx="73" cy="3"/>
          </a:xfrm>
          <a:custGeom>
            <a:avLst/>
            <a:gdLst>
              <a:gd name="T0" fmla="*/ 72 w 359"/>
              <a:gd name="T1" fmla="*/ 3 h 12"/>
              <a:gd name="T2" fmla="*/ 73 w 359"/>
              <a:gd name="T3" fmla="*/ 3 h 12"/>
              <a:gd name="T4" fmla="*/ 73 w 359"/>
              <a:gd name="T5" fmla="*/ 3 h 12"/>
              <a:gd name="T6" fmla="*/ 73 w 359"/>
              <a:gd name="T7" fmla="*/ 3 h 12"/>
              <a:gd name="T8" fmla="*/ 73 w 359"/>
              <a:gd name="T9" fmla="*/ 1 h 12"/>
              <a:gd name="T10" fmla="*/ 73 w 359"/>
              <a:gd name="T11" fmla="*/ 1 h 12"/>
              <a:gd name="T12" fmla="*/ 73 w 359"/>
              <a:gd name="T13" fmla="*/ 0 h 12"/>
              <a:gd name="T14" fmla="*/ 0 w 359"/>
              <a:gd name="T15" fmla="*/ 0 h 12"/>
              <a:gd name="T16" fmla="*/ 0 w 359"/>
              <a:gd name="T17" fmla="*/ 1 h 12"/>
              <a:gd name="T18" fmla="*/ 0 w 359"/>
              <a:gd name="T19" fmla="*/ 1 h 12"/>
              <a:gd name="T20" fmla="*/ 0 w 359"/>
              <a:gd name="T21" fmla="*/ 3 h 12"/>
              <a:gd name="T22" fmla="*/ 0 w 359"/>
              <a:gd name="T23" fmla="*/ 3 h 12"/>
              <a:gd name="T24" fmla="*/ 0 w 359"/>
              <a:gd name="T25" fmla="*/ 3 h 12"/>
              <a:gd name="T26" fmla="*/ 1 w 359"/>
              <a:gd name="T27" fmla="*/ 3 h 12"/>
              <a:gd name="T28" fmla="*/ 72 w 359"/>
              <a:gd name="T29" fmla="*/ 3 h 1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359"/>
              <a:gd name="T46" fmla="*/ 0 h 12"/>
              <a:gd name="T47" fmla="*/ 359 w 359"/>
              <a:gd name="T48" fmla="*/ 12 h 1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359" h="12">
                <a:moveTo>
                  <a:pt x="353" y="12"/>
                </a:moveTo>
                <a:lnTo>
                  <a:pt x="357" y="12"/>
                </a:lnTo>
                <a:lnTo>
                  <a:pt x="357" y="10"/>
                </a:lnTo>
                <a:lnTo>
                  <a:pt x="359" y="10"/>
                </a:lnTo>
                <a:lnTo>
                  <a:pt x="359" y="2"/>
                </a:lnTo>
                <a:lnTo>
                  <a:pt x="357" y="2"/>
                </a:lnTo>
                <a:lnTo>
                  <a:pt x="357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2" y="12"/>
                </a:lnTo>
                <a:lnTo>
                  <a:pt x="6" y="12"/>
                </a:lnTo>
                <a:lnTo>
                  <a:pt x="353" y="12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3" name="Freeform 312"/>
          <xdr:cNvSpPr>
            <a:spLocks/>
          </xdr:cNvSpPr>
        </xdr:nvSpPr>
        <xdr:spPr bwMode="auto">
          <a:xfrm>
            <a:off x="249" y="2352"/>
            <a:ext cx="2" cy="8"/>
          </a:xfrm>
          <a:custGeom>
            <a:avLst/>
            <a:gdLst>
              <a:gd name="T0" fmla="*/ 0 w 12"/>
              <a:gd name="T1" fmla="*/ 7 h 37"/>
              <a:gd name="T2" fmla="*/ 0 w 12"/>
              <a:gd name="T3" fmla="*/ 8 h 37"/>
              <a:gd name="T4" fmla="*/ 0 w 12"/>
              <a:gd name="T5" fmla="*/ 8 h 37"/>
              <a:gd name="T6" fmla="*/ 0 w 12"/>
              <a:gd name="T7" fmla="*/ 8 h 37"/>
              <a:gd name="T8" fmla="*/ 2 w 12"/>
              <a:gd name="T9" fmla="*/ 8 h 37"/>
              <a:gd name="T10" fmla="*/ 2 w 12"/>
              <a:gd name="T11" fmla="*/ 8 h 37"/>
              <a:gd name="T12" fmla="*/ 2 w 12"/>
              <a:gd name="T13" fmla="*/ 8 h 37"/>
              <a:gd name="T14" fmla="*/ 2 w 12"/>
              <a:gd name="T15" fmla="*/ 0 h 37"/>
              <a:gd name="T16" fmla="*/ 2 w 12"/>
              <a:gd name="T17" fmla="*/ 0 h 37"/>
              <a:gd name="T18" fmla="*/ 2 w 12"/>
              <a:gd name="T19" fmla="*/ 0 h 37"/>
              <a:gd name="T20" fmla="*/ 0 w 12"/>
              <a:gd name="T21" fmla="*/ 0 h 37"/>
              <a:gd name="T22" fmla="*/ 0 w 12"/>
              <a:gd name="T23" fmla="*/ 0 h 37"/>
              <a:gd name="T24" fmla="*/ 0 w 12"/>
              <a:gd name="T25" fmla="*/ 0 h 37"/>
              <a:gd name="T26" fmla="*/ 0 w 12"/>
              <a:gd name="T27" fmla="*/ 1 h 37"/>
              <a:gd name="T28" fmla="*/ 0 w 12"/>
              <a:gd name="T29" fmla="*/ 7 h 3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37"/>
              <a:gd name="T47" fmla="*/ 12 w 12"/>
              <a:gd name="T48" fmla="*/ 37 h 3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37">
                <a:moveTo>
                  <a:pt x="0" y="31"/>
                </a:moveTo>
                <a:lnTo>
                  <a:pt x="0" y="35"/>
                </a:lnTo>
                <a:lnTo>
                  <a:pt x="2" y="35"/>
                </a:lnTo>
                <a:lnTo>
                  <a:pt x="2" y="37"/>
                </a:lnTo>
                <a:lnTo>
                  <a:pt x="10" y="37"/>
                </a:lnTo>
                <a:lnTo>
                  <a:pt x="10" y="35"/>
                </a:lnTo>
                <a:lnTo>
                  <a:pt x="12" y="35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6"/>
                </a:lnTo>
                <a:lnTo>
                  <a:pt x="0" y="31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4" name="Freeform 313"/>
          <xdr:cNvSpPr>
            <a:spLocks/>
          </xdr:cNvSpPr>
        </xdr:nvSpPr>
        <xdr:spPr bwMode="auto">
          <a:xfrm>
            <a:off x="238" y="2338"/>
            <a:ext cx="12" cy="15"/>
          </a:xfrm>
          <a:custGeom>
            <a:avLst/>
            <a:gdLst>
              <a:gd name="T0" fmla="*/ 10 w 59"/>
              <a:gd name="T1" fmla="*/ 15 h 68"/>
              <a:gd name="T2" fmla="*/ 10 w 59"/>
              <a:gd name="T3" fmla="*/ 15 h 68"/>
              <a:gd name="T4" fmla="*/ 11 w 59"/>
              <a:gd name="T5" fmla="*/ 15 h 68"/>
              <a:gd name="T6" fmla="*/ 12 w 59"/>
              <a:gd name="T7" fmla="*/ 14 h 68"/>
              <a:gd name="T8" fmla="*/ 12 w 59"/>
              <a:gd name="T9" fmla="*/ 13 h 68"/>
              <a:gd name="T10" fmla="*/ 12 w 59"/>
              <a:gd name="T11" fmla="*/ 13 h 68"/>
              <a:gd name="T12" fmla="*/ 2 w 59"/>
              <a:gd name="T13" fmla="*/ 0 h 68"/>
              <a:gd name="T14" fmla="*/ 2 w 59"/>
              <a:gd name="T15" fmla="*/ 0 h 68"/>
              <a:gd name="T16" fmla="*/ 1 w 59"/>
              <a:gd name="T17" fmla="*/ 0 h 68"/>
              <a:gd name="T18" fmla="*/ 0 w 59"/>
              <a:gd name="T19" fmla="*/ 1 h 68"/>
              <a:gd name="T20" fmla="*/ 0 w 59"/>
              <a:gd name="T21" fmla="*/ 2 h 68"/>
              <a:gd name="T22" fmla="*/ 0 w 59"/>
              <a:gd name="T23" fmla="*/ 2 h 68"/>
              <a:gd name="T24" fmla="*/ 10 w 59"/>
              <a:gd name="T25" fmla="*/ 15 h 68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9"/>
              <a:gd name="T40" fmla="*/ 0 h 68"/>
              <a:gd name="T41" fmla="*/ 59 w 59"/>
              <a:gd name="T42" fmla="*/ 68 h 68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9" h="68">
                <a:moveTo>
                  <a:pt x="49" y="66"/>
                </a:moveTo>
                <a:lnTo>
                  <a:pt x="51" y="68"/>
                </a:lnTo>
                <a:lnTo>
                  <a:pt x="55" y="68"/>
                </a:lnTo>
                <a:lnTo>
                  <a:pt x="59" y="65"/>
                </a:lnTo>
                <a:lnTo>
                  <a:pt x="59" y="61"/>
                </a:lnTo>
                <a:lnTo>
                  <a:pt x="57" y="59"/>
                </a:lnTo>
                <a:lnTo>
                  <a:pt x="10" y="2"/>
                </a:lnTo>
                <a:lnTo>
                  <a:pt x="8" y="0"/>
                </a:lnTo>
                <a:lnTo>
                  <a:pt x="4" y="0"/>
                </a:lnTo>
                <a:lnTo>
                  <a:pt x="0" y="4"/>
                </a:lnTo>
                <a:lnTo>
                  <a:pt x="0" y="8"/>
                </a:lnTo>
                <a:lnTo>
                  <a:pt x="2" y="10"/>
                </a:lnTo>
                <a:lnTo>
                  <a:pt x="49" y="66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5" name="Freeform 314"/>
          <xdr:cNvSpPr>
            <a:spLocks/>
          </xdr:cNvSpPr>
        </xdr:nvSpPr>
        <xdr:spPr bwMode="auto">
          <a:xfrm>
            <a:off x="224" y="2329"/>
            <a:ext cx="49" cy="10"/>
          </a:xfrm>
          <a:custGeom>
            <a:avLst/>
            <a:gdLst>
              <a:gd name="T0" fmla="*/ 0 w 232"/>
              <a:gd name="T1" fmla="*/ 0 h 45"/>
              <a:gd name="T2" fmla="*/ 1 w 232"/>
              <a:gd name="T3" fmla="*/ 1 h 45"/>
              <a:gd name="T4" fmla="*/ 4 w 232"/>
              <a:gd name="T5" fmla="*/ 2 h 45"/>
              <a:gd name="T6" fmla="*/ 6 w 232"/>
              <a:gd name="T7" fmla="*/ 3 h 45"/>
              <a:gd name="T8" fmla="*/ 8 w 232"/>
              <a:gd name="T9" fmla="*/ 4 h 45"/>
              <a:gd name="T10" fmla="*/ 10 w 232"/>
              <a:gd name="T11" fmla="*/ 5 h 45"/>
              <a:gd name="T12" fmla="*/ 11 w 232"/>
              <a:gd name="T13" fmla="*/ 5 h 45"/>
              <a:gd name="T14" fmla="*/ 12 w 232"/>
              <a:gd name="T15" fmla="*/ 6 h 45"/>
              <a:gd name="T16" fmla="*/ 14 w 232"/>
              <a:gd name="T17" fmla="*/ 6 h 45"/>
              <a:gd name="T18" fmla="*/ 15 w 232"/>
              <a:gd name="T19" fmla="*/ 7 h 45"/>
              <a:gd name="T20" fmla="*/ 17 w 232"/>
              <a:gd name="T21" fmla="*/ 7 h 45"/>
              <a:gd name="T22" fmla="*/ 19 w 232"/>
              <a:gd name="T23" fmla="*/ 7 h 45"/>
              <a:gd name="T24" fmla="*/ 20 w 232"/>
              <a:gd name="T25" fmla="*/ 8 h 45"/>
              <a:gd name="T26" fmla="*/ 22 w 232"/>
              <a:gd name="T27" fmla="*/ 8 h 45"/>
              <a:gd name="T28" fmla="*/ 24 w 232"/>
              <a:gd name="T29" fmla="*/ 9 h 45"/>
              <a:gd name="T30" fmla="*/ 27 w 232"/>
              <a:gd name="T31" fmla="*/ 9 h 45"/>
              <a:gd name="T32" fmla="*/ 31 w 232"/>
              <a:gd name="T33" fmla="*/ 10 h 45"/>
              <a:gd name="T34" fmla="*/ 39 w 232"/>
              <a:gd name="T35" fmla="*/ 10 h 45"/>
              <a:gd name="T36" fmla="*/ 44 w 232"/>
              <a:gd name="T37" fmla="*/ 10 h 45"/>
              <a:gd name="T38" fmla="*/ 49 w 232"/>
              <a:gd name="T39" fmla="*/ 9 h 45"/>
              <a:gd name="T40" fmla="*/ 44 w 232"/>
              <a:gd name="T41" fmla="*/ 9 h 45"/>
              <a:gd name="T42" fmla="*/ 39 w 232"/>
              <a:gd name="T43" fmla="*/ 9 h 45"/>
              <a:gd name="T44" fmla="*/ 31 w 232"/>
              <a:gd name="T45" fmla="*/ 9 h 45"/>
              <a:gd name="T46" fmla="*/ 27 w 232"/>
              <a:gd name="T47" fmla="*/ 8 h 45"/>
              <a:gd name="T48" fmla="*/ 24 w 232"/>
              <a:gd name="T49" fmla="*/ 8 h 45"/>
              <a:gd name="T50" fmla="*/ 22 w 232"/>
              <a:gd name="T51" fmla="*/ 7 h 45"/>
              <a:gd name="T52" fmla="*/ 20 w 232"/>
              <a:gd name="T53" fmla="*/ 7 h 45"/>
              <a:gd name="T54" fmla="*/ 19 w 232"/>
              <a:gd name="T55" fmla="*/ 7 h 45"/>
              <a:gd name="T56" fmla="*/ 17 w 232"/>
              <a:gd name="T57" fmla="*/ 6 h 45"/>
              <a:gd name="T58" fmla="*/ 15 w 232"/>
              <a:gd name="T59" fmla="*/ 6 h 45"/>
              <a:gd name="T60" fmla="*/ 14 w 232"/>
              <a:gd name="T61" fmla="*/ 5 h 45"/>
              <a:gd name="T62" fmla="*/ 12 w 232"/>
              <a:gd name="T63" fmla="*/ 5 h 45"/>
              <a:gd name="T64" fmla="*/ 11 w 232"/>
              <a:gd name="T65" fmla="*/ 4 h 45"/>
              <a:gd name="T66" fmla="*/ 10 w 232"/>
              <a:gd name="T67" fmla="*/ 4 h 45"/>
              <a:gd name="T68" fmla="*/ 8 w 232"/>
              <a:gd name="T69" fmla="*/ 3 h 45"/>
              <a:gd name="T70" fmla="*/ 6 w 232"/>
              <a:gd name="T71" fmla="*/ 2 h 45"/>
              <a:gd name="T72" fmla="*/ 4 w 232"/>
              <a:gd name="T73" fmla="*/ 1 h 45"/>
              <a:gd name="T74" fmla="*/ 1 w 232"/>
              <a:gd name="T75" fmla="*/ 0 h 4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232"/>
              <a:gd name="T115" fmla="*/ 0 h 45"/>
              <a:gd name="T116" fmla="*/ 232 w 232"/>
              <a:gd name="T117" fmla="*/ 45 h 4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232" h="45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" y="4"/>
                </a:lnTo>
                <a:lnTo>
                  <a:pt x="16" y="10"/>
                </a:lnTo>
                <a:lnTo>
                  <a:pt x="18" y="10"/>
                </a:lnTo>
                <a:lnTo>
                  <a:pt x="26" y="14"/>
                </a:lnTo>
                <a:lnTo>
                  <a:pt x="28" y="14"/>
                </a:lnTo>
                <a:lnTo>
                  <a:pt x="35" y="18"/>
                </a:lnTo>
                <a:lnTo>
                  <a:pt x="39" y="18"/>
                </a:lnTo>
                <a:lnTo>
                  <a:pt x="39" y="20"/>
                </a:lnTo>
                <a:lnTo>
                  <a:pt x="45" y="22"/>
                </a:lnTo>
                <a:lnTo>
                  <a:pt x="49" y="22"/>
                </a:lnTo>
                <a:lnTo>
                  <a:pt x="53" y="24"/>
                </a:lnTo>
                <a:lnTo>
                  <a:pt x="57" y="24"/>
                </a:lnTo>
                <a:lnTo>
                  <a:pt x="59" y="26"/>
                </a:lnTo>
                <a:lnTo>
                  <a:pt x="63" y="26"/>
                </a:lnTo>
                <a:lnTo>
                  <a:pt x="67" y="28"/>
                </a:lnTo>
                <a:lnTo>
                  <a:pt x="71" y="28"/>
                </a:lnTo>
                <a:lnTo>
                  <a:pt x="73" y="30"/>
                </a:lnTo>
                <a:lnTo>
                  <a:pt x="77" y="30"/>
                </a:lnTo>
                <a:lnTo>
                  <a:pt x="81" y="31"/>
                </a:lnTo>
                <a:lnTo>
                  <a:pt x="85" y="31"/>
                </a:lnTo>
                <a:lnTo>
                  <a:pt x="89" y="33"/>
                </a:lnTo>
                <a:lnTo>
                  <a:pt x="93" y="33"/>
                </a:lnTo>
                <a:lnTo>
                  <a:pt x="95" y="35"/>
                </a:lnTo>
                <a:lnTo>
                  <a:pt x="98" y="35"/>
                </a:lnTo>
                <a:lnTo>
                  <a:pt x="102" y="37"/>
                </a:lnTo>
                <a:lnTo>
                  <a:pt x="110" y="37"/>
                </a:lnTo>
                <a:lnTo>
                  <a:pt x="114" y="39"/>
                </a:lnTo>
                <a:lnTo>
                  <a:pt x="128" y="39"/>
                </a:lnTo>
                <a:lnTo>
                  <a:pt x="130" y="41"/>
                </a:lnTo>
                <a:lnTo>
                  <a:pt x="146" y="41"/>
                </a:lnTo>
                <a:lnTo>
                  <a:pt x="148" y="43"/>
                </a:lnTo>
                <a:lnTo>
                  <a:pt x="181" y="43"/>
                </a:lnTo>
                <a:lnTo>
                  <a:pt x="185" y="45"/>
                </a:lnTo>
                <a:lnTo>
                  <a:pt x="205" y="45"/>
                </a:lnTo>
                <a:lnTo>
                  <a:pt x="207" y="43"/>
                </a:lnTo>
                <a:lnTo>
                  <a:pt x="232" y="43"/>
                </a:lnTo>
                <a:lnTo>
                  <a:pt x="232" y="39"/>
                </a:lnTo>
                <a:lnTo>
                  <a:pt x="230" y="39"/>
                </a:lnTo>
                <a:lnTo>
                  <a:pt x="207" y="39"/>
                </a:lnTo>
                <a:lnTo>
                  <a:pt x="205" y="41"/>
                </a:lnTo>
                <a:lnTo>
                  <a:pt x="185" y="41"/>
                </a:lnTo>
                <a:lnTo>
                  <a:pt x="181" y="39"/>
                </a:lnTo>
                <a:lnTo>
                  <a:pt x="148" y="39"/>
                </a:lnTo>
                <a:lnTo>
                  <a:pt x="146" y="37"/>
                </a:lnTo>
                <a:lnTo>
                  <a:pt x="130" y="37"/>
                </a:lnTo>
                <a:lnTo>
                  <a:pt x="128" y="35"/>
                </a:lnTo>
                <a:lnTo>
                  <a:pt x="114" y="35"/>
                </a:lnTo>
                <a:lnTo>
                  <a:pt x="110" y="33"/>
                </a:lnTo>
                <a:lnTo>
                  <a:pt x="102" y="33"/>
                </a:lnTo>
                <a:lnTo>
                  <a:pt x="98" y="31"/>
                </a:lnTo>
                <a:lnTo>
                  <a:pt x="95" y="31"/>
                </a:lnTo>
                <a:lnTo>
                  <a:pt x="93" y="30"/>
                </a:lnTo>
                <a:lnTo>
                  <a:pt x="89" y="30"/>
                </a:lnTo>
                <a:lnTo>
                  <a:pt x="85" y="28"/>
                </a:lnTo>
                <a:lnTo>
                  <a:pt x="81" y="28"/>
                </a:lnTo>
                <a:lnTo>
                  <a:pt x="77" y="26"/>
                </a:lnTo>
                <a:lnTo>
                  <a:pt x="73" y="26"/>
                </a:lnTo>
                <a:lnTo>
                  <a:pt x="71" y="24"/>
                </a:lnTo>
                <a:lnTo>
                  <a:pt x="67" y="24"/>
                </a:lnTo>
                <a:lnTo>
                  <a:pt x="63" y="22"/>
                </a:lnTo>
                <a:lnTo>
                  <a:pt x="59" y="22"/>
                </a:lnTo>
                <a:lnTo>
                  <a:pt x="57" y="20"/>
                </a:lnTo>
                <a:lnTo>
                  <a:pt x="53" y="20"/>
                </a:lnTo>
                <a:lnTo>
                  <a:pt x="49" y="18"/>
                </a:lnTo>
                <a:lnTo>
                  <a:pt x="45" y="18"/>
                </a:lnTo>
                <a:lnTo>
                  <a:pt x="43" y="16"/>
                </a:lnTo>
                <a:lnTo>
                  <a:pt x="39" y="14"/>
                </a:lnTo>
                <a:lnTo>
                  <a:pt x="35" y="14"/>
                </a:lnTo>
                <a:lnTo>
                  <a:pt x="28" y="10"/>
                </a:lnTo>
                <a:lnTo>
                  <a:pt x="26" y="10"/>
                </a:lnTo>
                <a:lnTo>
                  <a:pt x="18" y="6"/>
                </a:lnTo>
                <a:lnTo>
                  <a:pt x="16" y="6"/>
                </a:lnTo>
                <a:lnTo>
                  <a:pt x="4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16" name="Freeform 315"/>
          <xdr:cNvSpPr>
            <a:spLocks/>
          </xdr:cNvSpPr>
        </xdr:nvSpPr>
        <xdr:spPr bwMode="auto">
          <a:xfrm>
            <a:off x="207" y="2261"/>
            <a:ext cx="18" cy="84"/>
          </a:xfrm>
          <a:custGeom>
            <a:avLst/>
            <a:gdLst>
              <a:gd name="T0" fmla="*/ 18 w 87"/>
              <a:gd name="T1" fmla="*/ 71 h 358"/>
              <a:gd name="T2" fmla="*/ 18 w 87"/>
              <a:gd name="T3" fmla="*/ 70 h 358"/>
              <a:gd name="T4" fmla="*/ 18 w 87"/>
              <a:gd name="T5" fmla="*/ 70 h 358"/>
              <a:gd name="T6" fmla="*/ 18 w 87"/>
              <a:gd name="T7" fmla="*/ 70 h 358"/>
              <a:gd name="T8" fmla="*/ 16 w 87"/>
              <a:gd name="T9" fmla="*/ 70 h 358"/>
              <a:gd name="T10" fmla="*/ 16 w 87"/>
              <a:gd name="T11" fmla="*/ 70 h 358"/>
              <a:gd name="T12" fmla="*/ 16 w 87"/>
              <a:gd name="T13" fmla="*/ 70 h 358"/>
              <a:gd name="T14" fmla="*/ 16 w 87"/>
              <a:gd name="T15" fmla="*/ 83 h 358"/>
              <a:gd name="T16" fmla="*/ 17 w 87"/>
              <a:gd name="T17" fmla="*/ 81 h 358"/>
              <a:gd name="T18" fmla="*/ 3 w 87"/>
              <a:gd name="T19" fmla="*/ 81 h 358"/>
              <a:gd name="T20" fmla="*/ 5 w 87"/>
              <a:gd name="T21" fmla="*/ 83 h 358"/>
              <a:gd name="T22" fmla="*/ 5 w 87"/>
              <a:gd name="T23" fmla="*/ 72 h 358"/>
              <a:gd name="T24" fmla="*/ 4 w 87"/>
              <a:gd name="T25" fmla="*/ 72 h 358"/>
              <a:gd name="T26" fmla="*/ 4 w 87"/>
              <a:gd name="T27" fmla="*/ 71 h 358"/>
              <a:gd name="T28" fmla="*/ 1 w 87"/>
              <a:gd name="T29" fmla="*/ 71 h 358"/>
              <a:gd name="T30" fmla="*/ 2 w 87"/>
              <a:gd name="T31" fmla="*/ 73 h 358"/>
              <a:gd name="T32" fmla="*/ 2 w 87"/>
              <a:gd name="T33" fmla="*/ 11 h 358"/>
              <a:gd name="T34" fmla="*/ 1 w 87"/>
              <a:gd name="T35" fmla="*/ 13 h 358"/>
              <a:gd name="T36" fmla="*/ 4 w 87"/>
              <a:gd name="T37" fmla="*/ 13 h 358"/>
              <a:gd name="T38" fmla="*/ 4 w 87"/>
              <a:gd name="T39" fmla="*/ 12 h 358"/>
              <a:gd name="T40" fmla="*/ 5 w 87"/>
              <a:gd name="T41" fmla="*/ 12 h 358"/>
              <a:gd name="T42" fmla="*/ 5 w 87"/>
              <a:gd name="T43" fmla="*/ 1 h 358"/>
              <a:gd name="T44" fmla="*/ 3 w 87"/>
              <a:gd name="T45" fmla="*/ 3 h 358"/>
              <a:gd name="T46" fmla="*/ 17 w 87"/>
              <a:gd name="T47" fmla="*/ 3 h 358"/>
              <a:gd name="T48" fmla="*/ 16 w 87"/>
              <a:gd name="T49" fmla="*/ 1 h 358"/>
              <a:gd name="T50" fmla="*/ 16 w 87"/>
              <a:gd name="T51" fmla="*/ 21 h 358"/>
              <a:gd name="T52" fmla="*/ 16 w 87"/>
              <a:gd name="T53" fmla="*/ 21 h 358"/>
              <a:gd name="T54" fmla="*/ 16 w 87"/>
              <a:gd name="T55" fmla="*/ 21 h 358"/>
              <a:gd name="T56" fmla="*/ 18 w 87"/>
              <a:gd name="T57" fmla="*/ 21 h 358"/>
              <a:gd name="T58" fmla="*/ 18 w 87"/>
              <a:gd name="T59" fmla="*/ 21 h 358"/>
              <a:gd name="T60" fmla="*/ 18 w 87"/>
              <a:gd name="T61" fmla="*/ 21 h 358"/>
              <a:gd name="T62" fmla="*/ 18 w 87"/>
              <a:gd name="T63" fmla="*/ 20 h 358"/>
              <a:gd name="T64" fmla="*/ 18 w 87"/>
              <a:gd name="T65" fmla="*/ 1 h 358"/>
              <a:gd name="T66" fmla="*/ 18 w 87"/>
              <a:gd name="T67" fmla="*/ 0 h 358"/>
              <a:gd name="T68" fmla="*/ 18 w 87"/>
              <a:gd name="T69" fmla="*/ 0 h 358"/>
              <a:gd name="T70" fmla="*/ 18 w 87"/>
              <a:gd name="T71" fmla="*/ 0 h 358"/>
              <a:gd name="T72" fmla="*/ 2 w 87"/>
              <a:gd name="T73" fmla="*/ 0 h 358"/>
              <a:gd name="T74" fmla="*/ 2 w 87"/>
              <a:gd name="T75" fmla="*/ 0 h 358"/>
              <a:gd name="T76" fmla="*/ 2 w 87"/>
              <a:gd name="T77" fmla="*/ 0 h 358"/>
              <a:gd name="T78" fmla="*/ 2 w 87"/>
              <a:gd name="T79" fmla="*/ 11 h 358"/>
              <a:gd name="T80" fmla="*/ 3 w 87"/>
              <a:gd name="T81" fmla="*/ 10 h 358"/>
              <a:gd name="T82" fmla="*/ 0 w 87"/>
              <a:gd name="T83" fmla="*/ 10 h 358"/>
              <a:gd name="T84" fmla="*/ 0 w 87"/>
              <a:gd name="T85" fmla="*/ 11 h 358"/>
              <a:gd name="T86" fmla="*/ 0 w 87"/>
              <a:gd name="T87" fmla="*/ 11 h 358"/>
              <a:gd name="T88" fmla="*/ 0 w 87"/>
              <a:gd name="T89" fmla="*/ 74 h 358"/>
              <a:gd name="T90" fmla="*/ 0 w 87"/>
              <a:gd name="T91" fmla="*/ 74 h 358"/>
              <a:gd name="T92" fmla="*/ 0 w 87"/>
              <a:gd name="T93" fmla="*/ 74 h 358"/>
              <a:gd name="T94" fmla="*/ 3 w 87"/>
              <a:gd name="T95" fmla="*/ 74 h 358"/>
              <a:gd name="T96" fmla="*/ 2 w 87"/>
              <a:gd name="T97" fmla="*/ 73 h 358"/>
              <a:gd name="T98" fmla="*/ 2 w 87"/>
              <a:gd name="T99" fmla="*/ 84 h 358"/>
              <a:gd name="T100" fmla="*/ 2 w 87"/>
              <a:gd name="T101" fmla="*/ 84 h 358"/>
              <a:gd name="T102" fmla="*/ 2 w 87"/>
              <a:gd name="T103" fmla="*/ 84 h 358"/>
              <a:gd name="T104" fmla="*/ 18 w 87"/>
              <a:gd name="T105" fmla="*/ 84 h 358"/>
              <a:gd name="T106" fmla="*/ 18 w 87"/>
              <a:gd name="T107" fmla="*/ 84 h 358"/>
              <a:gd name="T108" fmla="*/ 18 w 87"/>
              <a:gd name="T109" fmla="*/ 84 h 358"/>
              <a:gd name="T110" fmla="*/ 18 w 87"/>
              <a:gd name="T111" fmla="*/ 83 h 358"/>
              <a:gd name="T112" fmla="*/ 18 w 87"/>
              <a:gd name="T113" fmla="*/ 71 h 358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87"/>
              <a:gd name="T172" fmla="*/ 0 h 358"/>
              <a:gd name="T173" fmla="*/ 87 w 87"/>
              <a:gd name="T174" fmla="*/ 358 h 358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87" h="358">
                <a:moveTo>
                  <a:pt x="87" y="304"/>
                </a:moveTo>
                <a:lnTo>
                  <a:pt x="87" y="300"/>
                </a:lnTo>
                <a:lnTo>
                  <a:pt x="85" y="300"/>
                </a:lnTo>
                <a:lnTo>
                  <a:pt x="85" y="298"/>
                </a:lnTo>
                <a:lnTo>
                  <a:pt x="77" y="298"/>
                </a:lnTo>
                <a:lnTo>
                  <a:pt x="77" y="300"/>
                </a:lnTo>
                <a:lnTo>
                  <a:pt x="75" y="300"/>
                </a:lnTo>
                <a:lnTo>
                  <a:pt x="75" y="353"/>
                </a:lnTo>
                <a:lnTo>
                  <a:pt x="81" y="347"/>
                </a:lnTo>
                <a:lnTo>
                  <a:pt x="16" y="347"/>
                </a:lnTo>
                <a:lnTo>
                  <a:pt x="22" y="353"/>
                </a:lnTo>
                <a:lnTo>
                  <a:pt x="22" y="306"/>
                </a:lnTo>
                <a:lnTo>
                  <a:pt x="20" y="306"/>
                </a:lnTo>
                <a:lnTo>
                  <a:pt x="20" y="304"/>
                </a:lnTo>
                <a:lnTo>
                  <a:pt x="6" y="304"/>
                </a:lnTo>
                <a:lnTo>
                  <a:pt x="12" y="310"/>
                </a:lnTo>
                <a:lnTo>
                  <a:pt x="12" y="49"/>
                </a:lnTo>
                <a:lnTo>
                  <a:pt x="6" y="55"/>
                </a:lnTo>
                <a:lnTo>
                  <a:pt x="20" y="55"/>
                </a:lnTo>
                <a:lnTo>
                  <a:pt x="20" y="53"/>
                </a:lnTo>
                <a:lnTo>
                  <a:pt x="22" y="53"/>
                </a:lnTo>
                <a:lnTo>
                  <a:pt x="22" y="6"/>
                </a:lnTo>
                <a:lnTo>
                  <a:pt x="16" y="12"/>
                </a:lnTo>
                <a:lnTo>
                  <a:pt x="81" y="12"/>
                </a:lnTo>
                <a:lnTo>
                  <a:pt x="75" y="6"/>
                </a:lnTo>
                <a:lnTo>
                  <a:pt x="75" y="88"/>
                </a:lnTo>
                <a:lnTo>
                  <a:pt x="77" y="88"/>
                </a:lnTo>
                <a:lnTo>
                  <a:pt x="77" y="90"/>
                </a:lnTo>
                <a:lnTo>
                  <a:pt x="85" y="90"/>
                </a:lnTo>
                <a:lnTo>
                  <a:pt x="85" y="88"/>
                </a:lnTo>
                <a:lnTo>
                  <a:pt x="87" y="88"/>
                </a:lnTo>
                <a:lnTo>
                  <a:pt x="87" y="84"/>
                </a:lnTo>
                <a:lnTo>
                  <a:pt x="87" y="6"/>
                </a:lnTo>
                <a:lnTo>
                  <a:pt x="87" y="2"/>
                </a:lnTo>
                <a:lnTo>
                  <a:pt x="85" y="2"/>
                </a:lnTo>
                <a:lnTo>
                  <a:pt x="85" y="0"/>
                </a:lnTo>
                <a:lnTo>
                  <a:pt x="12" y="0"/>
                </a:lnTo>
                <a:lnTo>
                  <a:pt x="12" y="2"/>
                </a:lnTo>
                <a:lnTo>
                  <a:pt x="10" y="2"/>
                </a:lnTo>
                <a:lnTo>
                  <a:pt x="10" y="49"/>
                </a:lnTo>
                <a:lnTo>
                  <a:pt x="16" y="43"/>
                </a:lnTo>
                <a:lnTo>
                  <a:pt x="2" y="43"/>
                </a:lnTo>
                <a:lnTo>
                  <a:pt x="2" y="45"/>
                </a:lnTo>
                <a:lnTo>
                  <a:pt x="0" y="45"/>
                </a:lnTo>
                <a:lnTo>
                  <a:pt x="0" y="314"/>
                </a:lnTo>
                <a:lnTo>
                  <a:pt x="2" y="314"/>
                </a:lnTo>
                <a:lnTo>
                  <a:pt x="2" y="316"/>
                </a:lnTo>
                <a:lnTo>
                  <a:pt x="16" y="316"/>
                </a:lnTo>
                <a:lnTo>
                  <a:pt x="10" y="310"/>
                </a:lnTo>
                <a:lnTo>
                  <a:pt x="10" y="357"/>
                </a:lnTo>
                <a:lnTo>
                  <a:pt x="12" y="357"/>
                </a:lnTo>
                <a:lnTo>
                  <a:pt x="12" y="358"/>
                </a:lnTo>
                <a:lnTo>
                  <a:pt x="85" y="358"/>
                </a:lnTo>
                <a:lnTo>
                  <a:pt x="85" y="357"/>
                </a:lnTo>
                <a:lnTo>
                  <a:pt x="87" y="357"/>
                </a:lnTo>
                <a:lnTo>
                  <a:pt x="87" y="353"/>
                </a:lnTo>
                <a:lnTo>
                  <a:pt x="87" y="304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7" name="Freeform 316"/>
          <xdr:cNvSpPr>
            <a:spLocks/>
          </xdr:cNvSpPr>
        </xdr:nvSpPr>
        <xdr:spPr bwMode="auto">
          <a:xfrm>
            <a:off x="223" y="2280"/>
            <a:ext cx="15" cy="10"/>
          </a:xfrm>
          <a:custGeom>
            <a:avLst/>
            <a:gdLst>
              <a:gd name="T0" fmla="*/ 0 w 73"/>
              <a:gd name="T1" fmla="*/ 0 h 41"/>
              <a:gd name="T2" fmla="*/ 1 w 73"/>
              <a:gd name="T3" fmla="*/ 1 h 41"/>
              <a:gd name="T4" fmla="*/ 2 w 73"/>
              <a:gd name="T5" fmla="*/ 1 h 41"/>
              <a:gd name="T6" fmla="*/ 3 w 73"/>
              <a:gd name="T7" fmla="*/ 2 h 41"/>
              <a:gd name="T8" fmla="*/ 4 w 73"/>
              <a:gd name="T9" fmla="*/ 2 h 41"/>
              <a:gd name="T10" fmla="*/ 5 w 73"/>
              <a:gd name="T11" fmla="*/ 3 h 41"/>
              <a:gd name="T12" fmla="*/ 6 w 73"/>
              <a:gd name="T13" fmla="*/ 3 h 41"/>
              <a:gd name="T14" fmla="*/ 7 w 73"/>
              <a:gd name="T15" fmla="*/ 4 h 41"/>
              <a:gd name="T16" fmla="*/ 7 w 73"/>
              <a:gd name="T17" fmla="*/ 4 h 41"/>
              <a:gd name="T18" fmla="*/ 8 w 73"/>
              <a:gd name="T19" fmla="*/ 5 h 41"/>
              <a:gd name="T20" fmla="*/ 9 w 73"/>
              <a:gd name="T21" fmla="*/ 5 h 41"/>
              <a:gd name="T22" fmla="*/ 10 w 73"/>
              <a:gd name="T23" fmla="*/ 6 h 41"/>
              <a:gd name="T24" fmla="*/ 10 w 73"/>
              <a:gd name="T25" fmla="*/ 7 h 41"/>
              <a:gd name="T26" fmla="*/ 11 w 73"/>
              <a:gd name="T27" fmla="*/ 7 h 41"/>
              <a:gd name="T28" fmla="*/ 11 w 73"/>
              <a:gd name="T29" fmla="*/ 8 h 41"/>
              <a:gd name="T30" fmla="*/ 12 w 73"/>
              <a:gd name="T31" fmla="*/ 8 h 41"/>
              <a:gd name="T32" fmla="*/ 13 w 73"/>
              <a:gd name="T33" fmla="*/ 9 h 41"/>
              <a:gd name="T34" fmla="*/ 13 w 73"/>
              <a:gd name="T35" fmla="*/ 9 h 41"/>
              <a:gd name="T36" fmla="*/ 14 w 73"/>
              <a:gd name="T37" fmla="*/ 10 h 41"/>
              <a:gd name="T38" fmla="*/ 15 w 73"/>
              <a:gd name="T39" fmla="*/ 10 h 41"/>
              <a:gd name="T40" fmla="*/ 15 w 73"/>
              <a:gd name="T41" fmla="*/ 9 h 41"/>
              <a:gd name="T42" fmla="*/ 14 w 73"/>
              <a:gd name="T43" fmla="*/ 9 h 41"/>
              <a:gd name="T44" fmla="*/ 14 w 73"/>
              <a:gd name="T45" fmla="*/ 8 h 41"/>
              <a:gd name="T46" fmla="*/ 13 w 73"/>
              <a:gd name="T47" fmla="*/ 8 h 41"/>
              <a:gd name="T48" fmla="*/ 13 w 73"/>
              <a:gd name="T49" fmla="*/ 7 h 41"/>
              <a:gd name="T50" fmla="*/ 12 w 73"/>
              <a:gd name="T51" fmla="*/ 6 h 41"/>
              <a:gd name="T52" fmla="*/ 12 w 73"/>
              <a:gd name="T53" fmla="*/ 6 h 41"/>
              <a:gd name="T54" fmla="*/ 11 w 73"/>
              <a:gd name="T55" fmla="*/ 5 h 41"/>
              <a:gd name="T56" fmla="*/ 10 w 73"/>
              <a:gd name="T57" fmla="*/ 5 h 41"/>
              <a:gd name="T58" fmla="*/ 10 w 73"/>
              <a:gd name="T59" fmla="*/ 4 h 41"/>
              <a:gd name="T60" fmla="*/ 9 w 73"/>
              <a:gd name="T61" fmla="*/ 4 h 41"/>
              <a:gd name="T62" fmla="*/ 8 w 73"/>
              <a:gd name="T63" fmla="*/ 4 h 41"/>
              <a:gd name="T64" fmla="*/ 7 w 73"/>
              <a:gd name="T65" fmla="*/ 3 h 41"/>
              <a:gd name="T66" fmla="*/ 7 w 73"/>
              <a:gd name="T67" fmla="*/ 2 h 41"/>
              <a:gd name="T68" fmla="*/ 6 w 73"/>
              <a:gd name="T69" fmla="*/ 2 h 41"/>
              <a:gd name="T70" fmla="*/ 4 w 73"/>
              <a:gd name="T71" fmla="*/ 1 h 41"/>
              <a:gd name="T72" fmla="*/ 3 w 73"/>
              <a:gd name="T73" fmla="*/ 1 h 41"/>
              <a:gd name="T74" fmla="*/ 3 w 73"/>
              <a:gd name="T75" fmla="*/ 0 h 41"/>
              <a:gd name="T76" fmla="*/ 1 w 73"/>
              <a:gd name="T77" fmla="*/ 0 h 41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73"/>
              <a:gd name="T118" fmla="*/ 0 h 41"/>
              <a:gd name="T119" fmla="*/ 73 w 73"/>
              <a:gd name="T120" fmla="*/ 41 h 41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73" h="41">
                <a:moveTo>
                  <a:pt x="2" y="0"/>
                </a:moveTo>
                <a:lnTo>
                  <a:pt x="0" y="0"/>
                </a:lnTo>
                <a:lnTo>
                  <a:pt x="0" y="4"/>
                </a:lnTo>
                <a:lnTo>
                  <a:pt x="4" y="4"/>
                </a:lnTo>
                <a:lnTo>
                  <a:pt x="6" y="6"/>
                </a:lnTo>
                <a:lnTo>
                  <a:pt x="10" y="6"/>
                </a:lnTo>
                <a:lnTo>
                  <a:pt x="10" y="8"/>
                </a:lnTo>
                <a:lnTo>
                  <a:pt x="16" y="8"/>
                </a:lnTo>
                <a:lnTo>
                  <a:pt x="18" y="10"/>
                </a:lnTo>
                <a:lnTo>
                  <a:pt x="20" y="10"/>
                </a:lnTo>
                <a:lnTo>
                  <a:pt x="22" y="12"/>
                </a:lnTo>
                <a:lnTo>
                  <a:pt x="24" y="12"/>
                </a:lnTo>
                <a:lnTo>
                  <a:pt x="24" y="14"/>
                </a:lnTo>
                <a:lnTo>
                  <a:pt x="28" y="14"/>
                </a:lnTo>
                <a:lnTo>
                  <a:pt x="28" y="16"/>
                </a:lnTo>
                <a:lnTo>
                  <a:pt x="32" y="16"/>
                </a:lnTo>
                <a:lnTo>
                  <a:pt x="32" y="18"/>
                </a:lnTo>
                <a:lnTo>
                  <a:pt x="36" y="18"/>
                </a:lnTo>
                <a:lnTo>
                  <a:pt x="38" y="19"/>
                </a:lnTo>
                <a:lnTo>
                  <a:pt x="40" y="19"/>
                </a:lnTo>
                <a:lnTo>
                  <a:pt x="40" y="21"/>
                </a:lnTo>
                <a:lnTo>
                  <a:pt x="44" y="21"/>
                </a:lnTo>
                <a:lnTo>
                  <a:pt x="44" y="23"/>
                </a:lnTo>
                <a:lnTo>
                  <a:pt x="49" y="23"/>
                </a:lnTo>
                <a:lnTo>
                  <a:pt x="51" y="25"/>
                </a:lnTo>
                <a:lnTo>
                  <a:pt x="51" y="27"/>
                </a:lnTo>
                <a:lnTo>
                  <a:pt x="53" y="27"/>
                </a:lnTo>
                <a:lnTo>
                  <a:pt x="53" y="29"/>
                </a:lnTo>
                <a:lnTo>
                  <a:pt x="55" y="29"/>
                </a:lnTo>
                <a:lnTo>
                  <a:pt x="55" y="31"/>
                </a:lnTo>
                <a:lnTo>
                  <a:pt x="57" y="31"/>
                </a:lnTo>
                <a:lnTo>
                  <a:pt x="57" y="33"/>
                </a:lnTo>
                <a:lnTo>
                  <a:pt x="61" y="33"/>
                </a:lnTo>
                <a:lnTo>
                  <a:pt x="63" y="35"/>
                </a:lnTo>
                <a:lnTo>
                  <a:pt x="63" y="37"/>
                </a:lnTo>
                <a:lnTo>
                  <a:pt x="65" y="37"/>
                </a:lnTo>
                <a:lnTo>
                  <a:pt x="65" y="39"/>
                </a:lnTo>
                <a:lnTo>
                  <a:pt x="67" y="39"/>
                </a:lnTo>
                <a:lnTo>
                  <a:pt x="67" y="41"/>
                </a:lnTo>
                <a:lnTo>
                  <a:pt x="73" y="41"/>
                </a:lnTo>
                <a:lnTo>
                  <a:pt x="73" y="37"/>
                </a:lnTo>
                <a:lnTo>
                  <a:pt x="71" y="37"/>
                </a:lnTo>
                <a:lnTo>
                  <a:pt x="71" y="35"/>
                </a:lnTo>
                <a:lnTo>
                  <a:pt x="69" y="35"/>
                </a:lnTo>
                <a:lnTo>
                  <a:pt x="69" y="33"/>
                </a:lnTo>
                <a:lnTo>
                  <a:pt x="67" y="33"/>
                </a:lnTo>
                <a:lnTo>
                  <a:pt x="67" y="31"/>
                </a:lnTo>
                <a:lnTo>
                  <a:pt x="63" y="31"/>
                </a:lnTo>
                <a:lnTo>
                  <a:pt x="61" y="29"/>
                </a:lnTo>
                <a:lnTo>
                  <a:pt x="61" y="27"/>
                </a:lnTo>
                <a:lnTo>
                  <a:pt x="59" y="27"/>
                </a:lnTo>
                <a:lnTo>
                  <a:pt x="59" y="25"/>
                </a:lnTo>
                <a:lnTo>
                  <a:pt x="57" y="25"/>
                </a:lnTo>
                <a:lnTo>
                  <a:pt x="57" y="23"/>
                </a:lnTo>
                <a:lnTo>
                  <a:pt x="55" y="23"/>
                </a:lnTo>
                <a:lnTo>
                  <a:pt x="55" y="21"/>
                </a:lnTo>
                <a:lnTo>
                  <a:pt x="51" y="21"/>
                </a:lnTo>
                <a:lnTo>
                  <a:pt x="49" y="19"/>
                </a:lnTo>
                <a:lnTo>
                  <a:pt x="47" y="19"/>
                </a:lnTo>
                <a:lnTo>
                  <a:pt x="47" y="18"/>
                </a:lnTo>
                <a:lnTo>
                  <a:pt x="42" y="18"/>
                </a:lnTo>
                <a:lnTo>
                  <a:pt x="44" y="18"/>
                </a:lnTo>
                <a:lnTo>
                  <a:pt x="40" y="16"/>
                </a:lnTo>
                <a:lnTo>
                  <a:pt x="38" y="16"/>
                </a:lnTo>
                <a:lnTo>
                  <a:pt x="36" y="14"/>
                </a:lnTo>
                <a:lnTo>
                  <a:pt x="36" y="12"/>
                </a:lnTo>
                <a:lnTo>
                  <a:pt x="32" y="12"/>
                </a:lnTo>
                <a:lnTo>
                  <a:pt x="32" y="10"/>
                </a:lnTo>
                <a:lnTo>
                  <a:pt x="28" y="10"/>
                </a:lnTo>
                <a:lnTo>
                  <a:pt x="28" y="8"/>
                </a:lnTo>
                <a:lnTo>
                  <a:pt x="22" y="8"/>
                </a:lnTo>
                <a:lnTo>
                  <a:pt x="20" y="6"/>
                </a:lnTo>
                <a:lnTo>
                  <a:pt x="18" y="6"/>
                </a:lnTo>
                <a:lnTo>
                  <a:pt x="16" y="4"/>
                </a:lnTo>
                <a:lnTo>
                  <a:pt x="14" y="4"/>
                </a:lnTo>
                <a:lnTo>
                  <a:pt x="14" y="2"/>
                </a:lnTo>
                <a:lnTo>
                  <a:pt x="6" y="2"/>
                </a:lnTo>
                <a:lnTo>
                  <a:pt x="4" y="0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18" name="Freeform 317"/>
          <xdr:cNvSpPr>
            <a:spLocks/>
          </xdr:cNvSpPr>
        </xdr:nvSpPr>
        <xdr:spPr bwMode="auto">
          <a:xfrm>
            <a:off x="223" y="2279"/>
            <a:ext cx="11" cy="7"/>
          </a:xfrm>
          <a:custGeom>
            <a:avLst/>
            <a:gdLst>
              <a:gd name="T0" fmla="*/ 9 w 55"/>
              <a:gd name="T1" fmla="*/ 7 h 31"/>
              <a:gd name="T2" fmla="*/ 9 w 55"/>
              <a:gd name="T3" fmla="*/ 7 h 31"/>
              <a:gd name="T4" fmla="*/ 11 w 55"/>
              <a:gd name="T5" fmla="*/ 7 h 31"/>
              <a:gd name="T6" fmla="*/ 11 w 55"/>
              <a:gd name="T7" fmla="*/ 7 h 31"/>
              <a:gd name="T8" fmla="*/ 11 w 55"/>
              <a:gd name="T9" fmla="*/ 7 h 31"/>
              <a:gd name="T10" fmla="*/ 11 w 55"/>
              <a:gd name="T11" fmla="*/ 5 h 31"/>
              <a:gd name="T12" fmla="*/ 11 w 55"/>
              <a:gd name="T13" fmla="*/ 5 h 31"/>
              <a:gd name="T14" fmla="*/ 10 w 55"/>
              <a:gd name="T15" fmla="*/ 4 h 31"/>
              <a:gd name="T16" fmla="*/ 10 w 55"/>
              <a:gd name="T17" fmla="*/ 5 h 31"/>
              <a:gd name="T18" fmla="*/ 10 w 55"/>
              <a:gd name="T19" fmla="*/ 4 h 31"/>
              <a:gd name="T20" fmla="*/ 9 w 55"/>
              <a:gd name="T21" fmla="*/ 4 h 31"/>
              <a:gd name="T22" fmla="*/ 9 w 55"/>
              <a:gd name="T23" fmla="*/ 3 h 31"/>
              <a:gd name="T24" fmla="*/ 8 w 55"/>
              <a:gd name="T25" fmla="*/ 4 h 31"/>
              <a:gd name="T26" fmla="*/ 8 w 55"/>
              <a:gd name="T27" fmla="*/ 3 h 31"/>
              <a:gd name="T28" fmla="*/ 7 w 55"/>
              <a:gd name="T29" fmla="*/ 3 h 31"/>
              <a:gd name="T30" fmla="*/ 7 w 55"/>
              <a:gd name="T31" fmla="*/ 3 h 31"/>
              <a:gd name="T32" fmla="*/ 6 w 55"/>
              <a:gd name="T33" fmla="*/ 2 h 31"/>
              <a:gd name="T34" fmla="*/ 7 w 55"/>
              <a:gd name="T35" fmla="*/ 3 h 31"/>
              <a:gd name="T36" fmla="*/ 6 w 55"/>
              <a:gd name="T37" fmla="*/ 2 h 31"/>
              <a:gd name="T38" fmla="*/ 6 w 55"/>
              <a:gd name="T39" fmla="*/ 2 h 31"/>
              <a:gd name="T40" fmla="*/ 5 w 55"/>
              <a:gd name="T41" fmla="*/ 1 h 31"/>
              <a:gd name="T42" fmla="*/ 5 w 55"/>
              <a:gd name="T43" fmla="*/ 1 h 31"/>
              <a:gd name="T44" fmla="*/ 4 w 55"/>
              <a:gd name="T45" fmla="*/ 1 h 31"/>
              <a:gd name="T46" fmla="*/ 3 w 55"/>
              <a:gd name="T47" fmla="*/ 1 h 31"/>
              <a:gd name="T48" fmla="*/ 3 w 55"/>
              <a:gd name="T49" fmla="*/ 1 h 31"/>
              <a:gd name="T50" fmla="*/ 2 w 55"/>
              <a:gd name="T51" fmla="*/ 1 h 31"/>
              <a:gd name="T52" fmla="*/ 2 w 55"/>
              <a:gd name="T53" fmla="*/ 0 h 31"/>
              <a:gd name="T54" fmla="*/ 1 w 55"/>
              <a:gd name="T55" fmla="*/ 0 h 31"/>
              <a:gd name="T56" fmla="*/ 2 w 55"/>
              <a:gd name="T57" fmla="*/ 0 h 31"/>
              <a:gd name="T58" fmla="*/ 2 w 55"/>
              <a:gd name="T59" fmla="*/ 0 h 31"/>
              <a:gd name="T60" fmla="*/ 0 w 55"/>
              <a:gd name="T61" fmla="*/ 0 h 31"/>
              <a:gd name="T62" fmla="*/ 0 w 55"/>
              <a:gd name="T63" fmla="*/ 0 h 31"/>
              <a:gd name="T64" fmla="*/ 0 w 55"/>
              <a:gd name="T65" fmla="*/ 0 h 31"/>
              <a:gd name="T66" fmla="*/ 0 w 55"/>
              <a:gd name="T67" fmla="*/ 2 h 31"/>
              <a:gd name="T68" fmla="*/ 0 w 55"/>
              <a:gd name="T69" fmla="*/ 2 h 31"/>
              <a:gd name="T70" fmla="*/ 1 w 55"/>
              <a:gd name="T71" fmla="*/ 3 h 31"/>
              <a:gd name="T72" fmla="*/ 1 w 55"/>
              <a:gd name="T73" fmla="*/ 2 h 31"/>
              <a:gd name="T74" fmla="*/ 1 w 55"/>
              <a:gd name="T75" fmla="*/ 3 h 31"/>
              <a:gd name="T76" fmla="*/ 2 w 55"/>
              <a:gd name="T77" fmla="*/ 3 h 31"/>
              <a:gd name="T78" fmla="*/ 2 w 55"/>
              <a:gd name="T79" fmla="*/ 3 h 31"/>
              <a:gd name="T80" fmla="*/ 4 w 55"/>
              <a:gd name="T81" fmla="*/ 4 h 31"/>
              <a:gd name="T82" fmla="*/ 4 w 55"/>
              <a:gd name="T83" fmla="*/ 4 h 31"/>
              <a:gd name="T84" fmla="*/ 4 w 55"/>
              <a:gd name="T85" fmla="*/ 4 h 31"/>
              <a:gd name="T86" fmla="*/ 5 w 55"/>
              <a:gd name="T87" fmla="*/ 5 h 31"/>
              <a:gd name="T88" fmla="*/ 5 w 55"/>
              <a:gd name="T89" fmla="*/ 5 h 31"/>
              <a:gd name="T90" fmla="*/ 6 w 55"/>
              <a:gd name="T91" fmla="*/ 5 h 31"/>
              <a:gd name="T92" fmla="*/ 6 w 55"/>
              <a:gd name="T93" fmla="*/ 5 h 31"/>
              <a:gd name="T94" fmla="*/ 6 w 55"/>
              <a:gd name="T95" fmla="*/ 5 h 31"/>
              <a:gd name="T96" fmla="*/ 6 w 55"/>
              <a:gd name="T97" fmla="*/ 5 h 31"/>
              <a:gd name="T98" fmla="*/ 6 w 55"/>
              <a:gd name="T99" fmla="*/ 5 h 31"/>
              <a:gd name="T100" fmla="*/ 8 w 55"/>
              <a:gd name="T101" fmla="*/ 6 h 31"/>
              <a:gd name="T102" fmla="*/ 8 w 55"/>
              <a:gd name="T103" fmla="*/ 6 h 31"/>
              <a:gd name="T104" fmla="*/ 8 w 55"/>
              <a:gd name="T105" fmla="*/ 6 h 31"/>
              <a:gd name="T106" fmla="*/ 8 w 55"/>
              <a:gd name="T107" fmla="*/ 6 h 31"/>
              <a:gd name="T108" fmla="*/ 9 w 55"/>
              <a:gd name="T109" fmla="*/ 7 h 31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55"/>
              <a:gd name="T166" fmla="*/ 0 h 31"/>
              <a:gd name="T167" fmla="*/ 55 w 55"/>
              <a:gd name="T168" fmla="*/ 31 h 31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55" h="31">
                <a:moveTo>
                  <a:pt x="45" y="29"/>
                </a:moveTo>
                <a:lnTo>
                  <a:pt x="45" y="31"/>
                </a:lnTo>
                <a:lnTo>
                  <a:pt x="53" y="31"/>
                </a:lnTo>
                <a:lnTo>
                  <a:pt x="53" y="29"/>
                </a:lnTo>
                <a:lnTo>
                  <a:pt x="55" y="29"/>
                </a:lnTo>
                <a:lnTo>
                  <a:pt x="55" y="21"/>
                </a:lnTo>
                <a:lnTo>
                  <a:pt x="53" y="21"/>
                </a:lnTo>
                <a:lnTo>
                  <a:pt x="49" y="18"/>
                </a:lnTo>
                <a:lnTo>
                  <a:pt x="49" y="20"/>
                </a:lnTo>
                <a:lnTo>
                  <a:pt x="49" y="18"/>
                </a:lnTo>
                <a:lnTo>
                  <a:pt x="45" y="16"/>
                </a:lnTo>
                <a:lnTo>
                  <a:pt x="44" y="14"/>
                </a:lnTo>
                <a:lnTo>
                  <a:pt x="40" y="16"/>
                </a:lnTo>
                <a:lnTo>
                  <a:pt x="40" y="14"/>
                </a:lnTo>
                <a:lnTo>
                  <a:pt x="36" y="14"/>
                </a:lnTo>
                <a:lnTo>
                  <a:pt x="36" y="12"/>
                </a:lnTo>
                <a:lnTo>
                  <a:pt x="30" y="10"/>
                </a:lnTo>
                <a:lnTo>
                  <a:pt x="34" y="12"/>
                </a:lnTo>
                <a:lnTo>
                  <a:pt x="30" y="8"/>
                </a:lnTo>
                <a:lnTo>
                  <a:pt x="28" y="8"/>
                </a:lnTo>
                <a:lnTo>
                  <a:pt x="26" y="6"/>
                </a:lnTo>
                <a:lnTo>
                  <a:pt x="24" y="6"/>
                </a:lnTo>
                <a:lnTo>
                  <a:pt x="22" y="4"/>
                </a:lnTo>
                <a:lnTo>
                  <a:pt x="16" y="6"/>
                </a:lnTo>
                <a:lnTo>
                  <a:pt x="16" y="4"/>
                </a:lnTo>
                <a:lnTo>
                  <a:pt x="12" y="4"/>
                </a:lnTo>
                <a:lnTo>
                  <a:pt x="12" y="2"/>
                </a:lnTo>
                <a:lnTo>
                  <a:pt x="6" y="0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10"/>
                </a:lnTo>
                <a:lnTo>
                  <a:pt x="2" y="10"/>
                </a:lnTo>
                <a:lnTo>
                  <a:pt x="6" y="12"/>
                </a:lnTo>
                <a:lnTo>
                  <a:pt x="4" y="10"/>
                </a:lnTo>
                <a:lnTo>
                  <a:pt x="4" y="12"/>
                </a:lnTo>
                <a:lnTo>
                  <a:pt x="8" y="12"/>
                </a:lnTo>
                <a:lnTo>
                  <a:pt x="8" y="14"/>
                </a:lnTo>
                <a:lnTo>
                  <a:pt x="18" y="16"/>
                </a:lnTo>
                <a:lnTo>
                  <a:pt x="20" y="18"/>
                </a:lnTo>
                <a:lnTo>
                  <a:pt x="22" y="18"/>
                </a:lnTo>
                <a:lnTo>
                  <a:pt x="24" y="20"/>
                </a:lnTo>
                <a:lnTo>
                  <a:pt x="26" y="20"/>
                </a:lnTo>
                <a:lnTo>
                  <a:pt x="30" y="21"/>
                </a:lnTo>
                <a:lnTo>
                  <a:pt x="28" y="20"/>
                </a:lnTo>
                <a:lnTo>
                  <a:pt x="28" y="21"/>
                </a:lnTo>
                <a:lnTo>
                  <a:pt x="32" y="21"/>
                </a:lnTo>
                <a:lnTo>
                  <a:pt x="32" y="23"/>
                </a:lnTo>
                <a:lnTo>
                  <a:pt x="40" y="25"/>
                </a:lnTo>
                <a:lnTo>
                  <a:pt x="42" y="27"/>
                </a:lnTo>
                <a:lnTo>
                  <a:pt x="42" y="25"/>
                </a:lnTo>
                <a:lnTo>
                  <a:pt x="42" y="27"/>
                </a:lnTo>
                <a:lnTo>
                  <a:pt x="45" y="29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19" name="Freeform 318"/>
          <xdr:cNvSpPr>
            <a:spLocks/>
          </xdr:cNvSpPr>
        </xdr:nvSpPr>
        <xdr:spPr bwMode="auto">
          <a:xfrm>
            <a:off x="240" y="2263"/>
            <a:ext cx="7" cy="13"/>
          </a:xfrm>
          <a:custGeom>
            <a:avLst/>
            <a:gdLst>
              <a:gd name="T0" fmla="*/ 0 w 29"/>
              <a:gd name="T1" fmla="*/ 11 h 51"/>
              <a:gd name="T2" fmla="*/ 0 w 29"/>
              <a:gd name="T3" fmla="*/ 12 h 51"/>
              <a:gd name="T4" fmla="*/ 0 w 29"/>
              <a:gd name="T5" fmla="*/ 12 h 51"/>
              <a:gd name="T6" fmla="*/ 0 w 29"/>
              <a:gd name="T7" fmla="*/ 13 h 51"/>
              <a:gd name="T8" fmla="*/ 2 w 29"/>
              <a:gd name="T9" fmla="*/ 13 h 51"/>
              <a:gd name="T10" fmla="*/ 2 w 29"/>
              <a:gd name="T11" fmla="*/ 12 h 51"/>
              <a:gd name="T12" fmla="*/ 3 w 29"/>
              <a:gd name="T13" fmla="*/ 12 h 51"/>
              <a:gd name="T14" fmla="*/ 3 w 29"/>
              <a:gd name="T15" fmla="*/ 2 h 51"/>
              <a:gd name="T16" fmla="*/ 1 w 29"/>
              <a:gd name="T17" fmla="*/ 3 h 51"/>
              <a:gd name="T18" fmla="*/ 7 w 29"/>
              <a:gd name="T19" fmla="*/ 3 h 51"/>
              <a:gd name="T20" fmla="*/ 7 w 29"/>
              <a:gd name="T21" fmla="*/ 3 h 51"/>
              <a:gd name="T22" fmla="*/ 7 w 29"/>
              <a:gd name="T23" fmla="*/ 3 h 51"/>
              <a:gd name="T24" fmla="*/ 7 w 29"/>
              <a:gd name="T25" fmla="*/ 1 h 51"/>
              <a:gd name="T26" fmla="*/ 7 w 29"/>
              <a:gd name="T27" fmla="*/ 1 h 51"/>
              <a:gd name="T28" fmla="*/ 7 w 29"/>
              <a:gd name="T29" fmla="*/ 0 h 51"/>
              <a:gd name="T30" fmla="*/ 6 w 29"/>
              <a:gd name="T31" fmla="*/ 0 h 51"/>
              <a:gd name="T32" fmla="*/ 1 w 29"/>
              <a:gd name="T33" fmla="*/ 0 h 51"/>
              <a:gd name="T34" fmla="*/ 0 w 29"/>
              <a:gd name="T35" fmla="*/ 0 h 51"/>
              <a:gd name="T36" fmla="*/ 0 w 29"/>
              <a:gd name="T37" fmla="*/ 1 h 51"/>
              <a:gd name="T38" fmla="*/ 0 w 29"/>
              <a:gd name="T39" fmla="*/ 1 h 51"/>
              <a:gd name="T40" fmla="*/ 0 w 29"/>
              <a:gd name="T41" fmla="*/ 2 h 51"/>
              <a:gd name="T42" fmla="*/ 0 w 29"/>
              <a:gd name="T43" fmla="*/ 11 h 51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29"/>
              <a:gd name="T67" fmla="*/ 0 h 51"/>
              <a:gd name="T68" fmla="*/ 29 w 29"/>
              <a:gd name="T69" fmla="*/ 51 h 51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29" h="51">
                <a:moveTo>
                  <a:pt x="0" y="45"/>
                </a:moveTo>
                <a:lnTo>
                  <a:pt x="0" y="49"/>
                </a:lnTo>
                <a:lnTo>
                  <a:pt x="2" y="49"/>
                </a:lnTo>
                <a:lnTo>
                  <a:pt x="2" y="51"/>
                </a:lnTo>
                <a:lnTo>
                  <a:pt x="10" y="51"/>
                </a:lnTo>
                <a:lnTo>
                  <a:pt x="10" y="49"/>
                </a:lnTo>
                <a:lnTo>
                  <a:pt x="12" y="49"/>
                </a:lnTo>
                <a:lnTo>
                  <a:pt x="12" y="6"/>
                </a:lnTo>
                <a:lnTo>
                  <a:pt x="6" y="12"/>
                </a:lnTo>
                <a:lnTo>
                  <a:pt x="27" y="12"/>
                </a:lnTo>
                <a:lnTo>
                  <a:pt x="27" y="10"/>
                </a:lnTo>
                <a:lnTo>
                  <a:pt x="29" y="10"/>
                </a:lnTo>
                <a:lnTo>
                  <a:pt x="29" y="2"/>
                </a:lnTo>
                <a:lnTo>
                  <a:pt x="27" y="2"/>
                </a:lnTo>
                <a:lnTo>
                  <a:pt x="27" y="0"/>
                </a:lnTo>
                <a:lnTo>
                  <a:pt x="23" y="0"/>
                </a:lnTo>
                <a:lnTo>
                  <a:pt x="6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6"/>
                </a:lnTo>
                <a:lnTo>
                  <a:pt x="0" y="45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0" name="Freeform 319"/>
          <xdr:cNvSpPr>
            <a:spLocks/>
          </xdr:cNvSpPr>
        </xdr:nvSpPr>
        <xdr:spPr bwMode="auto">
          <a:xfrm>
            <a:off x="245" y="2258"/>
            <a:ext cx="14" cy="3"/>
          </a:xfrm>
          <a:custGeom>
            <a:avLst/>
            <a:gdLst>
              <a:gd name="T0" fmla="*/ 1 w 66"/>
              <a:gd name="T1" fmla="*/ 0 h 11"/>
              <a:gd name="T2" fmla="*/ 0 w 66"/>
              <a:gd name="T3" fmla="*/ 0 h 11"/>
              <a:gd name="T4" fmla="*/ 0 w 66"/>
              <a:gd name="T5" fmla="*/ 1 h 11"/>
              <a:gd name="T6" fmla="*/ 0 w 66"/>
              <a:gd name="T7" fmla="*/ 1 h 11"/>
              <a:gd name="T8" fmla="*/ 0 w 66"/>
              <a:gd name="T9" fmla="*/ 2 h 11"/>
              <a:gd name="T10" fmla="*/ 0 w 66"/>
              <a:gd name="T11" fmla="*/ 2 h 11"/>
              <a:gd name="T12" fmla="*/ 0 w 66"/>
              <a:gd name="T13" fmla="*/ 3 h 11"/>
              <a:gd name="T14" fmla="*/ 14 w 66"/>
              <a:gd name="T15" fmla="*/ 3 h 11"/>
              <a:gd name="T16" fmla="*/ 14 w 66"/>
              <a:gd name="T17" fmla="*/ 2 h 11"/>
              <a:gd name="T18" fmla="*/ 14 w 66"/>
              <a:gd name="T19" fmla="*/ 2 h 11"/>
              <a:gd name="T20" fmla="*/ 14 w 66"/>
              <a:gd name="T21" fmla="*/ 1 h 11"/>
              <a:gd name="T22" fmla="*/ 14 w 66"/>
              <a:gd name="T23" fmla="*/ 1 h 11"/>
              <a:gd name="T24" fmla="*/ 14 w 66"/>
              <a:gd name="T25" fmla="*/ 0 h 11"/>
              <a:gd name="T26" fmla="*/ 13 w 66"/>
              <a:gd name="T27" fmla="*/ 0 h 11"/>
              <a:gd name="T28" fmla="*/ 1 w 66"/>
              <a:gd name="T29" fmla="*/ 0 h 1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66"/>
              <a:gd name="T46" fmla="*/ 0 h 11"/>
              <a:gd name="T47" fmla="*/ 66 w 66"/>
              <a:gd name="T48" fmla="*/ 11 h 1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66" h="11">
                <a:moveTo>
                  <a:pt x="5" y="0"/>
                </a:moveTo>
                <a:lnTo>
                  <a:pt x="1" y="0"/>
                </a:lnTo>
                <a:lnTo>
                  <a:pt x="1" y="2"/>
                </a:lnTo>
                <a:lnTo>
                  <a:pt x="0" y="2"/>
                </a:lnTo>
                <a:lnTo>
                  <a:pt x="0" y="9"/>
                </a:lnTo>
                <a:lnTo>
                  <a:pt x="1" y="9"/>
                </a:lnTo>
                <a:lnTo>
                  <a:pt x="1" y="11"/>
                </a:lnTo>
                <a:lnTo>
                  <a:pt x="65" y="11"/>
                </a:lnTo>
                <a:lnTo>
                  <a:pt x="65" y="9"/>
                </a:lnTo>
                <a:lnTo>
                  <a:pt x="66" y="9"/>
                </a:lnTo>
                <a:lnTo>
                  <a:pt x="66" y="2"/>
                </a:lnTo>
                <a:lnTo>
                  <a:pt x="65" y="2"/>
                </a:lnTo>
                <a:lnTo>
                  <a:pt x="65" y="0"/>
                </a:lnTo>
                <a:lnTo>
                  <a:pt x="61" y="0"/>
                </a:lnTo>
                <a:lnTo>
                  <a:pt x="5" y="0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1" name="Freeform 320"/>
          <xdr:cNvSpPr>
            <a:spLocks/>
          </xdr:cNvSpPr>
        </xdr:nvSpPr>
        <xdr:spPr bwMode="auto">
          <a:xfrm>
            <a:off x="244" y="2252"/>
            <a:ext cx="4" cy="4"/>
          </a:xfrm>
          <a:custGeom>
            <a:avLst/>
            <a:gdLst>
              <a:gd name="T0" fmla="*/ 2 w 17"/>
              <a:gd name="T1" fmla="*/ 4 h 22"/>
              <a:gd name="T2" fmla="*/ 3 w 17"/>
              <a:gd name="T3" fmla="*/ 4 h 22"/>
              <a:gd name="T4" fmla="*/ 4 w 17"/>
              <a:gd name="T5" fmla="*/ 4 h 22"/>
              <a:gd name="T6" fmla="*/ 4 w 17"/>
              <a:gd name="T7" fmla="*/ 4 h 22"/>
              <a:gd name="T8" fmla="*/ 4 w 17"/>
              <a:gd name="T9" fmla="*/ 3 h 22"/>
              <a:gd name="T10" fmla="*/ 4 w 17"/>
              <a:gd name="T11" fmla="*/ 2 h 22"/>
              <a:gd name="T12" fmla="*/ 4 w 17"/>
              <a:gd name="T13" fmla="*/ 2 h 22"/>
              <a:gd name="T14" fmla="*/ 3 w 17"/>
              <a:gd name="T15" fmla="*/ 2 h 22"/>
              <a:gd name="T16" fmla="*/ 3 w 17"/>
              <a:gd name="T17" fmla="*/ 2 h 22"/>
              <a:gd name="T18" fmla="*/ 3 w 17"/>
              <a:gd name="T19" fmla="*/ 2 h 22"/>
              <a:gd name="T20" fmla="*/ 2 w 17"/>
              <a:gd name="T21" fmla="*/ 1 h 22"/>
              <a:gd name="T22" fmla="*/ 2 w 17"/>
              <a:gd name="T23" fmla="*/ 1 h 22"/>
              <a:gd name="T24" fmla="*/ 3 w 17"/>
              <a:gd name="T25" fmla="*/ 3 h 22"/>
              <a:gd name="T26" fmla="*/ 3 w 17"/>
              <a:gd name="T27" fmla="*/ 3 h 22"/>
              <a:gd name="T28" fmla="*/ 3 w 17"/>
              <a:gd name="T29" fmla="*/ 1 h 22"/>
              <a:gd name="T30" fmla="*/ 2 w 17"/>
              <a:gd name="T31" fmla="*/ 1 h 22"/>
              <a:gd name="T32" fmla="*/ 2 w 17"/>
              <a:gd name="T33" fmla="*/ 1 h 22"/>
              <a:gd name="T34" fmla="*/ 2 w 17"/>
              <a:gd name="T35" fmla="*/ 1 h 22"/>
              <a:gd name="T36" fmla="*/ 2 w 17"/>
              <a:gd name="T37" fmla="*/ 2 h 22"/>
              <a:gd name="T38" fmla="*/ 1 w 17"/>
              <a:gd name="T39" fmla="*/ 2 h 22"/>
              <a:gd name="T40" fmla="*/ 2 w 17"/>
              <a:gd name="T41" fmla="*/ 2 h 22"/>
              <a:gd name="T42" fmla="*/ 3 w 17"/>
              <a:gd name="T43" fmla="*/ 2 h 22"/>
              <a:gd name="T44" fmla="*/ 3 w 17"/>
              <a:gd name="T45" fmla="*/ 0 h 22"/>
              <a:gd name="T46" fmla="*/ 2 w 17"/>
              <a:gd name="T47" fmla="*/ 0 h 22"/>
              <a:gd name="T48" fmla="*/ 2 w 17"/>
              <a:gd name="T49" fmla="*/ 0 h 22"/>
              <a:gd name="T50" fmla="*/ 0 w 17"/>
              <a:gd name="T51" fmla="*/ 0 h 22"/>
              <a:gd name="T52" fmla="*/ 0 w 17"/>
              <a:gd name="T53" fmla="*/ 0 h 22"/>
              <a:gd name="T54" fmla="*/ 1 w 17"/>
              <a:gd name="T55" fmla="*/ 0 h 22"/>
              <a:gd name="T56" fmla="*/ 0 w 17"/>
              <a:gd name="T57" fmla="*/ 0 h 22"/>
              <a:gd name="T58" fmla="*/ 0 w 17"/>
              <a:gd name="T59" fmla="*/ 2 h 22"/>
              <a:gd name="T60" fmla="*/ 0 w 17"/>
              <a:gd name="T61" fmla="*/ 2 h 22"/>
              <a:gd name="T62" fmla="*/ 0 w 17"/>
              <a:gd name="T63" fmla="*/ 3 h 22"/>
              <a:gd name="T64" fmla="*/ 1 w 17"/>
              <a:gd name="T65" fmla="*/ 3 h 22"/>
              <a:gd name="T66" fmla="*/ 0 w 17"/>
              <a:gd name="T67" fmla="*/ 3 h 22"/>
              <a:gd name="T68" fmla="*/ 0 w 17"/>
              <a:gd name="T69" fmla="*/ 2 h 22"/>
              <a:gd name="T70" fmla="*/ 0 w 17"/>
              <a:gd name="T71" fmla="*/ 3 h 22"/>
              <a:gd name="T72" fmla="*/ 1 w 17"/>
              <a:gd name="T73" fmla="*/ 3 h 22"/>
              <a:gd name="T74" fmla="*/ 1 w 17"/>
              <a:gd name="T75" fmla="*/ 4 h 22"/>
              <a:gd name="T76" fmla="*/ 2 w 17"/>
              <a:gd name="T77" fmla="*/ 4 h 22"/>
              <a:gd name="T78" fmla="*/ 1 w 17"/>
              <a:gd name="T79" fmla="*/ 3 h 22"/>
              <a:gd name="T80" fmla="*/ 1 w 17"/>
              <a:gd name="T81" fmla="*/ 4 h 22"/>
              <a:gd name="T82" fmla="*/ 3 w 17"/>
              <a:gd name="T83" fmla="*/ 4 h 22"/>
              <a:gd name="T84" fmla="*/ 2 w 17"/>
              <a:gd name="T85" fmla="*/ 4 h 22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7"/>
              <a:gd name="T130" fmla="*/ 0 h 22"/>
              <a:gd name="T131" fmla="*/ 17 w 17"/>
              <a:gd name="T132" fmla="*/ 22 h 22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7" h="22">
                <a:moveTo>
                  <a:pt x="9" y="22"/>
                </a:moveTo>
                <a:lnTo>
                  <a:pt x="13" y="22"/>
                </a:lnTo>
                <a:lnTo>
                  <a:pt x="15" y="20"/>
                </a:lnTo>
                <a:lnTo>
                  <a:pt x="17" y="20"/>
                </a:lnTo>
                <a:lnTo>
                  <a:pt x="17" y="14"/>
                </a:lnTo>
                <a:lnTo>
                  <a:pt x="15" y="12"/>
                </a:lnTo>
                <a:lnTo>
                  <a:pt x="15" y="10"/>
                </a:lnTo>
                <a:lnTo>
                  <a:pt x="11" y="10"/>
                </a:lnTo>
                <a:lnTo>
                  <a:pt x="13" y="12"/>
                </a:lnTo>
                <a:lnTo>
                  <a:pt x="13" y="10"/>
                </a:lnTo>
                <a:lnTo>
                  <a:pt x="8" y="8"/>
                </a:lnTo>
                <a:lnTo>
                  <a:pt x="9" y="8"/>
                </a:lnTo>
                <a:lnTo>
                  <a:pt x="13" y="16"/>
                </a:lnTo>
                <a:lnTo>
                  <a:pt x="13" y="14"/>
                </a:lnTo>
                <a:lnTo>
                  <a:pt x="11" y="6"/>
                </a:lnTo>
                <a:lnTo>
                  <a:pt x="9" y="6"/>
                </a:lnTo>
                <a:lnTo>
                  <a:pt x="9" y="4"/>
                </a:lnTo>
                <a:lnTo>
                  <a:pt x="8" y="4"/>
                </a:lnTo>
                <a:lnTo>
                  <a:pt x="8" y="10"/>
                </a:lnTo>
                <a:lnTo>
                  <a:pt x="6" y="12"/>
                </a:lnTo>
                <a:lnTo>
                  <a:pt x="9" y="10"/>
                </a:lnTo>
                <a:lnTo>
                  <a:pt x="11" y="10"/>
                </a:ln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2" y="0"/>
                </a:lnTo>
                <a:lnTo>
                  <a:pt x="2" y="2"/>
                </a:lnTo>
                <a:lnTo>
                  <a:pt x="6" y="0"/>
                </a:lnTo>
                <a:lnTo>
                  <a:pt x="0" y="2"/>
                </a:lnTo>
                <a:lnTo>
                  <a:pt x="0" y="12"/>
                </a:lnTo>
                <a:lnTo>
                  <a:pt x="2" y="12"/>
                </a:lnTo>
                <a:lnTo>
                  <a:pt x="2" y="14"/>
                </a:lnTo>
                <a:lnTo>
                  <a:pt x="4" y="14"/>
                </a:lnTo>
                <a:lnTo>
                  <a:pt x="2" y="14"/>
                </a:lnTo>
                <a:lnTo>
                  <a:pt x="2" y="12"/>
                </a:lnTo>
                <a:lnTo>
                  <a:pt x="2" y="18"/>
                </a:lnTo>
                <a:lnTo>
                  <a:pt x="4" y="18"/>
                </a:lnTo>
                <a:lnTo>
                  <a:pt x="6" y="20"/>
                </a:lnTo>
                <a:lnTo>
                  <a:pt x="8" y="20"/>
                </a:lnTo>
                <a:lnTo>
                  <a:pt x="6" y="18"/>
                </a:lnTo>
                <a:lnTo>
                  <a:pt x="6" y="20"/>
                </a:lnTo>
                <a:lnTo>
                  <a:pt x="11" y="22"/>
                </a:lnTo>
                <a:lnTo>
                  <a:pt x="9" y="22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2" name="Freeform 321"/>
          <xdr:cNvSpPr>
            <a:spLocks/>
          </xdr:cNvSpPr>
        </xdr:nvSpPr>
        <xdr:spPr bwMode="auto">
          <a:xfrm>
            <a:off x="242" y="2219"/>
            <a:ext cx="7" cy="28"/>
          </a:xfrm>
          <a:custGeom>
            <a:avLst/>
            <a:gdLst>
              <a:gd name="T0" fmla="*/ 6 w 39"/>
              <a:gd name="T1" fmla="*/ 28 h 123"/>
              <a:gd name="T2" fmla="*/ 6 w 39"/>
              <a:gd name="T3" fmla="*/ 28 h 123"/>
              <a:gd name="T4" fmla="*/ 7 w 39"/>
              <a:gd name="T5" fmla="*/ 28 h 123"/>
              <a:gd name="T6" fmla="*/ 7 w 39"/>
              <a:gd name="T7" fmla="*/ 28 h 123"/>
              <a:gd name="T8" fmla="*/ 4 w 39"/>
              <a:gd name="T9" fmla="*/ 9 h 123"/>
              <a:gd name="T10" fmla="*/ 1 w 39"/>
              <a:gd name="T11" fmla="*/ 0 h 123"/>
              <a:gd name="T12" fmla="*/ 1 w 39"/>
              <a:gd name="T13" fmla="*/ 0 h 123"/>
              <a:gd name="T14" fmla="*/ 0 w 39"/>
              <a:gd name="T15" fmla="*/ 0 h 123"/>
              <a:gd name="T16" fmla="*/ 0 w 39"/>
              <a:gd name="T17" fmla="*/ 0 h 123"/>
              <a:gd name="T18" fmla="*/ 4 w 39"/>
              <a:gd name="T19" fmla="*/ 9 h 123"/>
              <a:gd name="T20" fmla="*/ 6 w 39"/>
              <a:gd name="T21" fmla="*/ 28 h 123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9"/>
              <a:gd name="T34" fmla="*/ 0 h 123"/>
              <a:gd name="T35" fmla="*/ 39 w 39"/>
              <a:gd name="T36" fmla="*/ 123 h 123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9" h="123">
                <a:moveTo>
                  <a:pt x="35" y="121"/>
                </a:moveTo>
                <a:lnTo>
                  <a:pt x="35" y="123"/>
                </a:lnTo>
                <a:lnTo>
                  <a:pt x="39" y="123"/>
                </a:lnTo>
                <a:lnTo>
                  <a:pt x="39" y="121"/>
                </a:lnTo>
                <a:lnTo>
                  <a:pt x="23" y="39"/>
                </a:lnTo>
                <a:lnTo>
                  <a:pt x="4" y="2"/>
                </a:lnTo>
                <a:lnTo>
                  <a:pt x="4" y="0"/>
                </a:lnTo>
                <a:lnTo>
                  <a:pt x="0" y="0"/>
                </a:lnTo>
                <a:lnTo>
                  <a:pt x="0" y="2"/>
                </a:lnTo>
                <a:lnTo>
                  <a:pt x="20" y="39"/>
                </a:lnTo>
                <a:lnTo>
                  <a:pt x="35" y="121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23" name="Freeform 322"/>
          <xdr:cNvSpPr>
            <a:spLocks/>
          </xdr:cNvSpPr>
        </xdr:nvSpPr>
        <xdr:spPr bwMode="auto">
          <a:xfrm>
            <a:off x="235" y="2219"/>
            <a:ext cx="9" cy="25"/>
          </a:xfrm>
          <a:custGeom>
            <a:avLst/>
            <a:gdLst>
              <a:gd name="T0" fmla="*/ 2 w 44"/>
              <a:gd name="T1" fmla="*/ 0 h 111"/>
              <a:gd name="T2" fmla="*/ 2 w 44"/>
              <a:gd name="T3" fmla="*/ 0 h 111"/>
              <a:gd name="T4" fmla="*/ 1 w 44"/>
              <a:gd name="T5" fmla="*/ 0 h 111"/>
              <a:gd name="T6" fmla="*/ 0 w 44"/>
              <a:gd name="T7" fmla="*/ 1 h 111"/>
              <a:gd name="T8" fmla="*/ 0 w 44"/>
              <a:gd name="T9" fmla="*/ 2 h 111"/>
              <a:gd name="T10" fmla="*/ 0 w 44"/>
              <a:gd name="T11" fmla="*/ 2 h 111"/>
              <a:gd name="T12" fmla="*/ 6 w 44"/>
              <a:gd name="T13" fmla="*/ 11 h 111"/>
              <a:gd name="T14" fmla="*/ 6 w 44"/>
              <a:gd name="T15" fmla="*/ 10 h 111"/>
              <a:gd name="T16" fmla="*/ 7 w 44"/>
              <a:gd name="T17" fmla="*/ 24 h 111"/>
              <a:gd name="T18" fmla="*/ 7 w 44"/>
              <a:gd name="T19" fmla="*/ 24 h 111"/>
              <a:gd name="T20" fmla="*/ 7 w 44"/>
              <a:gd name="T21" fmla="*/ 25 h 111"/>
              <a:gd name="T22" fmla="*/ 8 w 44"/>
              <a:gd name="T23" fmla="*/ 25 h 111"/>
              <a:gd name="T24" fmla="*/ 9 w 44"/>
              <a:gd name="T25" fmla="*/ 24 h 111"/>
              <a:gd name="T26" fmla="*/ 9 w 44"/>
              <a:gd name="T27" fmla="*/ 24 h 111"/>
              <a:gd name="T28" fmla="*/ 8 w 44"/>
              <a:gd name="T29" fmla="*/ 10 h 111"/>
              <a:gd name="T30" fmla="*/ 8 w 44"/>
              <a:gd name="T31" fmla="*/ 10 h 111"/>
              <a:gd name="T32" fmla="*/ 8 w 44"/>
              <a:gd name="T33" fmla="*/ 9 h 111"/>
              <a:gd name="T34" fmla="*/ 2 w 44"/>
              <a:gd name="T35" fmla="*/ 0 h 111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44"/>
              <a:gd name="T55" fmla="*/ 0 h 111"/>
              <a:gd name="T56" fmla="*/ 44 w 44"/>
              <a:gd name="T57" fmla="*/ 111 h 111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44" h="111">
                <a:moveTo>
                  <a:pt x="10" y="2"/>
                </a:moveTo>
                <a:lnTo>
                  <a:pt x="8" y="0"/>
                </a:lnTo>
                <a:lnTo>
                  <a:pt x="4" y="0"/>
                </a:lnTo>
                <a:lnTo>
                  <a:pt x="0" y="4"/>
                </a:lnTo>
                <a:lnTo>
                  <a:pt x="0" y="8"/>
                </a:lnTo>
                <a:lnTo>
                  <a:pt x="2" y="10"/>
                </a:lnTo>
                <a:lnTo>
                  <a:pt x="30" y="49"/>
                </a:lnTo>
                <a:lnTo>
                  <a:pt x="28" y="45"/>
                </a:lnTo>
                <a:lnTo>
                  <a:pt x="32" y="105"/>
                </a:lnTo>
                <a:lnTo>
                  <a:pt x="32" y="107"/>
                </a:lnTo>
                <a:lnTo>
                  <a:pt x="36" y="111"/>
                </a:lnTo>
                <a:lnTo>
                  <a:pt x="40" y="111"/>
                </a:lnTo>
                <a:lnTo>
                  <a:pt x="44" y="107"/>
                </a:lnTo>
                <a:lnTo>
                  <a:pt x="44" y="105"/>
                </a:lnTo>
                <a:lnTo>
                  <a:pt x="40" y="45"/>
                </a:lnTo>
                <a:lnTo>
                  <a:pt x="40" y="43"/>
                </a:lnTo>
                <a:lnTo>
                  <a:pt x="38" y="41"/>
                </a:lnTo>
                <a:lnTo>
                  <a:pt x="10" y="2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4" name="Freeform 323"/>
          <xdr:cNvSpPr>
            <a:spLocks/>
          </xdr:cNvSpPr>
        </xdr:nvSpPr>
        <xdr:spPr bwMode="auto">
          <a:xfrm>
            <a:off x="235" y="2135"/>
            <a:ext cx="18" cy="81"/>
          </a:xfrm>
          <a:custGeom>
            <a:avLst/>
            <a:gdLst>
              <a:gd name="T0" fmla="*/ 0 w 85"/>
              <a:gd name="T1" fmla="*/ 80 h 343"/>
              <a:gd name="T2" fmla="*/ 0 w 85"/>
              <a:gd name="T3" fmla="*/ 81 h 343"/>
              <a:gd name="T4" fmla="*/ 0 w 85"/>
              <a:gd name="T5" fmla="*/ 81 h 343"/>
              <a:gd name="T6" fmla="*/ 0 w 85"/>
              <a:gd name="T7" fmla="*/ 81 h 343"/>
              <a:gd name="T8" fmla="*/ 2 w 85"/>
              <a:gd name="T9" fmla="*/ 81 h 343"/>
              <a:gd name="T10" fmla="*/ 2 w 85"/>
              <a:gd name="T11" fmla="*/ 81 h 343"/>
              <a:gd name="T12" fmla="*/ 3 w 85"/>
              <a:gd name="T13" fmla="*/ 81 h 343"/>
              <a:gd name="T14" fmla="*/ 3 w 85"/>
              <a:gd name="T15" fmla="*/ 62 h 343"/>
              <a:gd name="T16" fmla="*/ 1 w 85"/>
              <a:gd name="T17" fmla="*/ 63 h 343"/>
              <a:gd name="T18" fmla="*/ 3 w 85"/>
              <a:gd name="T19" fmla="*/ 63 h 343"/>
              <a:gd name="T20" fmla="*/ 3 w 85"/>
              <a:gd name="T21" fmla="*/ 63 h 343"/>
              <a:gd name="T22" fmla="*/ 4 w 85"/>
              <a:gd name="T23" fmla="*/ 63 h 343"/>
              <a:gd name="T24" fmla="*/ 4 w 85"/>
              <a:gd name="T25" fmla="*/ 62 h 343"/>
              <a:gd name="T26" fmla="*/ 18 w 85"/>
              <a:gd name="T27" fmla="*/ 32 h 343"/>
              <a:gd name="T28" fmla="*/ 18 w 85"/>
              <a:gd name="T29" fmla="*/ 5 h 343"/>
              <a:gd name="T30" fmla="*/ 18 w 85"/>
              <a:gd name="T31" fmla="*/ 5 h 343"/>
              <a:gd name="T32" fmla="*/ 14 w 85"/>
              <a:gd name="T33" fmla="*/ 0 h 343"/>
              <a:gd name="T34" fmla="*/ 14 w 85"/>
              <a:gd name="T35" fmla="*/ 0 h 343"/>
              <a:gd name="T36" fmla="*/ 12 w 85"/>
              <a:gd name="T37" fmla="*/ 0 h 343"/>
              <a:gd name="T38" fmla="*/ 12 w 85"/>
              <a:gd name="T39" fmla="*/ 0 h 343"/>
              <a:gd name="T40" fmla="*/ 12 w 85"/>
              <a:gd name="T41" fmla="*/ 0 h 343"/>
              <a:gd name="T42" fmla="*/ 12 w 85"/>
              <a:gd name="T43" fmla="*/ 2 h 343"/>
              <a:gd name="T44" fmla="*/ 12 w 85"/>
              <a:gd name="T45" fmla="*/ 2 h 343"/>
              <a:gd name="T46" fmla="*/ 16 w 85"/>
              <a:gd name="T47" fmla="*/ 7 h 343"/>
              <a:gd name="T48" fmla="*/ 15 w 85"/>
              <a:gd name="T49" fmla="*/ 6 h 343"/>
              <a:gd name="T50" fmla="*/ 15 w 85"/>
              <a:gd name="T51" fmla="*/ 32 h 343"/>
              <a:gd name="T52" fmla="*/ 15 w 85"/>
              <a:gd name="T53" fmla="*/ 31 h 343"/>
              <a:gd name="T54" fmla="*/ 1 w 85"/>
              <a:gd name="T55" fmla="*/ 61 h 343"/>
              <a:gd name="T56" fmla="*/ 3 w 85"/>
              <a:gd name="T57" fmla="*/ 60 h 343"/>
              <a:gd name="T58" fmla="*/ 0 w 85"/>
              <a:gd name="T59" fmla="*/ 60 h 343"/>
              <a:gd name="T60" fmla="*/ 0 w 85"/>
              <a:gd name="T61" fmla="*/ 61 h 343"/>
              <a:gd name="T62" fmla="*/ 0 w 85"/>
              <a:gd name="T63" fmla="*/ 61 h 343"/>
              <a:gd name="T64" fmla="*/ 0 w 85"/>
              <a:gd name="T65" fmla="*/ 62 h 343"/>
              <a:gd name="T66" fmla="*/ 0 w 85"/>
              <a:gd name="T67" fmla="*/ 80 h 343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85"/>
              <a:gd name="T103" fmla="*/ 0 h 343"/>
              <a:gd name="T104" fmla="*/ 85 w 85"/>
              <a:gd name="T105" fmla="*/ 343 h 343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85" h="343">
                <a:moveTo>
                  <a:pt x="0" y="337"/>
                </a:moveTo>
                <a:lnTo>
                  <a:pt x="0" y="341"/>
                </a:lnTo>
                <a:lnTo>
                  <a:pt x="2" y="341"/>
                </a:lnTo>
                <a:lnTo>
                  <a:pt x="2" y="343"/>
                </a:lnTo>
                <a:lnTo>
                  <a:pt x="10" y="343"/>
                </a:lnTo>
                <a:lnTo>
                  <a:pt x="10" y="341"/>
                </a:lnTo>
                <a:lnTo>
                  <a:pt x="12" y="341"/>
                </a:lnTo>
                <a:lnTo>
                  <a:pt x="12" y="261"/>
                </a:lnTo>
                <a:lnTo>
                  <a:pt x="6" y="267"/>
                </a:lnTo>
                <a:lnTo>
                  <a:pt x="16" y="267"/>
                </a:lnTo>
                <a:lnTo>
                  <a:pt x="16" y="265"/>
                </a:lnTo>
                <a:lnTo>
                  <a:pt x="18" y="265"/>
                </a:lnTo>
                <a:lnTo>
                  <a:pt x="18" y="263"/>
                </a:lnTo>
                <a:lnTo>
                  <a:pt x="85" y="136"/>
                </a:lnTo>
                <a:lnTo>
                  <a:pt x="85" y="21"/>
                </a:lnTo>
                <a:lnTo>
                  <a:pt x="83" y="21"/>
                </a:lnTo>
                <a:lnTo>
                  <a:pt x="65" y="2"/>
                </a:lnTo>
                <a:lnTo>
                  <a:pt x="65" y="0"/>
                </a:lnTo>
                <a:lnTo>
                  <a:pt x="59" y="0"/>
                </a:lnTo>
                <a:lnTo>
                  <a:pt x="57" y="2"/>
                </a:lnTo>
                <a:lnTo>
                  <a:pt x="55" y="2"/>
                </a:lnTo>
                <a:lnTo>
                  <a:pt x="55" y="8"/>
                </a:lnTo>
                <a:lnTo>
                  <a:pt x="57" y="10"/>
                </a:lnTo>
                <a:lnTo>
                  <a:pt x="75" y="29"/>
                </a:lnTo>
                <a:lnTo>
                  <a:pt x="73" y="25"/>
                </a:lnTo>
                <a:lnTo>
                  <a:pt x="73" y="134"/>
                </a:lnTo>
                <a:lnTo>
                  <a:pt x="73" y="132"/>
                </a:lnTo>
                <a:lnTo>
                  <a:pt x="6" y="259"/>
                </a:lnTo>
                <a:lnTo>
                  <a:pt x="12" y="255"/>
                </a:lnTo>
                <a:lnTo>
                  <a:pt x="2" y="255"/>
                </a:lnTo>
                <a:lnTo>
                  <a:pt x="2" y="257"/>
                </a:lnTo>
                <a:lnTo>
                  <a:pt x="0" y="257"/>
                </a:lnTo>
                <a:lnTo>
                  <a:pt x="0" y="261"/>
                </a:lnTo>
                <a:lnTo>
                  <a:pt x="0" y="337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5" name="Freeform 324"/>
          <xdr:cNvSpPr>
            <a:spLocks/>
          </xdr:cNvSpPr>
        </xdr:nvSpPr>
        <xdr:spPr bwMode="auto">
          <a:xfrm>
            <a:off x="247" y="2124"/>
            <a:ext cx="2" cy="14"/>
          </a:xfrm>
          <a:custGeom>
            <a:avLst/>
            <a:gdLst>
              <a:gd name="T0" fmla="*/ 0 w 12"/>
              <a:gd name="T1" fmla="*/ 13 h 64"/>
              <a:gd name="T2" fmla="*/ 0 w 12"/>
              <a:gd name="T3" fmla="*/ 14 h 64"/>
              <a:gd name="T4" fmla="*/ 0 w 12"/>
              <a:gd name="T5" fmla="*/ 14 h 64"/>
              <a:gd name="T6" fmla="*/ 0 w 12"/>
              <a:gd name="T7" fmla="*/ 14 h 64"/>
              <a:gd name="T8" fmla="*/ 2 w 12"/>
              <a:gd name="T9" fmla="*/ 14 h 64"/>
              <a:gd name="T10" fmla="*/ 2 w 12"/>
              <a:gd name="T11" fmla="*/ 14 h 64"/>
              <a:gd name="T12" fmla="*/ 2 w 12"/>
              <a:gd name="T13" fmla="*/ 14 h 64"/>
              <a:gd name="T14" fmla="*/ 2 w 12"/>
              <a:gd name="T15" fmla="*/ 0 h 64"/>
              <a:gd name="T16" fmla="*/ 2 w 12"/>
              <a:gd name="T17" fmla="*/ 0 h 64"/>
              <a:gd name="T18" fmla="*/ 2 w 12"/>
              <a:gd name="T19" fmla="*/ 0 h 64"/>
              <a:gd name="T20" fmla="*/ 0 w 12"/>
              <a:gd name="T21" fmla="*/ 0 h 64"/>
              <a:gd name="T22" fmla="*/ 0 w 12"/>
              <a:gd name="T23" fmla="*/ 0 h 64"/>
              <a:gd name="T24" fmla="*/ 0 w 12"/>
              <a:gd name="T25" fmla="*/ 0 h 64"/>
              <a:gd name="T26" fmla="*/ 0 w 12"/>
              <a:gd name="T27" fmla="*/ 1 h 64"/>
              <a:gd name="T28" fmla="*/ 0 w 12"/>
              <a:gd name="T29" fmla="*/ 13 h 6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64"/>
              <a:gd name="T47" fmla="*/ 12 w 12"/>
              <a:gd name="T48" fmla="*/ 64 h 6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64">
                <a:moveTo>
                  <a:pt x="0" y="59"/>
                </a:moveTo>
                <a:lnTo>
                  <a:pt x="0" y="63"/>
                </a:lnTo>
                <a:lnTo>
                  <a:pt x="2" y="63"/>
                </a:lnTo>
                <a:lnTo>
                  <a:pt x="2" y="64"/>
                </a:lnTo>
                <a:lnTo>
                  <a:pt x="10" y="64"/>
                </a:lnTo>
                <a:lnTo>
                  <a:pt x="10" y="63"/>
                </a:lnTo>
                <a:lnTo>
                  <a:pt x="12" y="63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6"/>
                </a:lnTo>
                <a:lnTo>
                  <a:pt x="0" y="59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6" name="Freeform 325"/>
          <xdr:cNvSpPr>
            <a:spLocks/>
          </xdr:cNvSpPr>
        </xdr:nvSpPr>
        <xdr:spPr bwMode="auto">
          <a:xfrm>
            <a:off x="243" y="2007"/>
            <a:ext cx="2" cy="115"/>
          </a:xfrm>
          <a:custGeom>
            <a:avLst/>
            <a:gdLst>
              <a:gd name="T0" fmla="*/ 0 w 12"/>
              <a:gd name="T1" fmla="*/ 114 h 490"/>
              <a:gd name="T2" fmla="*/ 0 w 12"/>
              <a:gd name="T3" fmla="*/ 115 h 490"/>
              <a:gd name="T4" fmla="*/ 0 w 12"/>
              <a:gd name="T5" fmla="*/ 115 h 490"/>
              <a:gd name="T6" fmla="*/ 0 w 12"/>
              <a:gd name="T7" fmla="*/ 115 h 490"/>
              <a:gd name="T8" fmla="*/ 2 w 12"/>
              <a:gd name="T9" fmla="*/ 115 h 490"/>
              <a:gd name="T10" fmla="*/ 2 w 12"/>
              <a:gd name="T11" fmla="*/ 115 h 490"/>
              <a:gd name="T12" fmla="*/ 2 w 12"/>
              <a:gd name="T13" fmla="*/ 115 h 490"/>
              <a:gd name="T14" fmla="*/ 2 w 12"/>
              <a:gd name="T15" fmla="*/ 0 h 490"/>
              <a:gd name="T16" fmla="*/ 2 w 12"/>
              <a:gd name="T17" fmla="*/ 0 h 490"/>
              <a:gd name="T18" fmla="*/ 2 w 12"/>
              <a:gd name="T19" fmla="*/ 0 h 490"/>
              <a:gd name="T20" fmla="*/ 0 w 12"/>
              <a:gd name="T21" fmla="*/ 0 h 490"/>
              <a:gd name="T22" fmla="*/ 0 w 12"/>
              <a:gd name="T23" fmla="*/ 0 h 490"/>
              <a:gd name="T24" fmla="*/ 0 w 12"/>
              <a:gd name="T25" fmla="*/ 0 h 490"/>
              <a:gd name="T26" fmla="*/ 0 w 12"/>
              <a:gd name="T27" fmla="*/ 1 h 490"/>
              <a:gd name="T28" fmla="*/ 0 w 12"/>
              <a:gd name="T29" fmla="*/ 114 h 490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2"/>
              <a:gd name="T46" fmla="*/ 0 h 490"/>
              <a:gd name="T47" fmla="*/ 12 w 12"/>
              <a:gd name="T48" fmla="*/ 490 h 490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2" h="490">
                <a:moveTo>
                  <a:pt x="0" y="485"/>
                </a:moveTo>
                <a:lnTo>
                  <a:pt x="0" y="488"/>
                </a:lnTo>
                <a:lnTo>
                  <a:pt x="2" y="488"/>
                </a:lnTo>
                <a:lnTo>
                  <a:pt x="2" y="490"/>
                </a:lnTo>
                <a:lnTo>
                  <a:pt x="10" y="490"/>
                </a:lnTo>
                <a:lnTo>
                  <a:pt x="10" y="488"/>
                </a:lnTo>
                <a:lnTo>
                  <a:pt x="12" y="488"/>
                </a:lnTo>
                <a:lnTo>
                  <a:pt x="12" y="2"/>
                </a:lnTo>
                <a:lnTo>
                  <a:pt x="10" y="2"/>
                </a:lnTo>
                <a:lnTo>
                  <a:pt x="10" y="0"/>
                </a:lnTo>
                <a:lnTo>
                  <a:pt x="2" y="0"/>
                </a:lnTo>
                <a:lnTo>
                  <a:pt x="2" y="2"/>
                </a:lnTo>
                <a:lnTo>
                  <a:pt x="0" y="2"/>
                </a:lnTo>
                <a:lnTo>
                  <a:pt x="0" y="6"/>
                </a:lnTo>
                <a:lnTo>
                  <a:pt x="0" y="485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7" name="Freeform 326"/>
          <xdr:cNvSpPr>
            <a:spLocks/>
          </xdr:cNvSpPr>
        </xdr:nvSpPr>
        <xdr:spPr bwMode="auto">
          <a:xfrm>
            <a:off x="243" y="2118"/>
            <a:ext cx="5" cy="7"/>
          </a:xfrm>
          <a:custGeom>
            <a:avLst/>
            <a:gdLst>
              <a:gd name="T0" fmla="*/ 2 w 29"/>
              <a:gd name="T1" fmla="*/ 1 h 27"/>
              <a:gd name="T2" fmla="*/ 1 w 29"/>
              <a:gd name="T3" fmla="*/ 0 h 27"/>
              <a:gd name="T4" fmla="*/ 0 w 29"/>
              <a:gd name="T5" fmla="*/ 0 h 27"/>
              <a:gd name="T6" fmla="*/ 0 w 29"/>
              <a:gd name="T7" fmla="*/ 1 h 27"/>
              <a:gd name="T8" fmla="*/ 0 w 29"/>
              <a:gd name="T9" fmla="*/ 1 h 27"/>
              <a:gd name="T10" fmla="*/ 0 w 29"/>
              <a:gd name="T11" fmla="*/ 3 h 27"/>
              <a:gd name="T12" fmla="*/ 0 w 29"/>
              <a:gd name="T13" fmla="*/ 3 h 27"/>
              <a:gd name="T14" fmla="*/ 3 w 29"/>
              <a:gd name="T15" fmla="*/ 6 h 27"/>
              <a:gd name="T16" fmla="*/ 4 w 29"/>
              <a:gd name="T17" fmla="*/ 7 h 27"/>
              <a:gd name="T18" fmla="*/ 5 w 29"/>
              <a:gd name="T19" fmla="*/ 7 h 27"/>
              <a:gd name="T20" fmla="*/ 5 w 29"/>
              <a:gd name="T21" fmla="*/ 6 h 27"/>
              <a:gd name="T22" fmla="*/ 5 w 29"/>
              <a:gd name="T23" fmla="*/ 6 h 27"/>
              <a:gd name="T24" fmla="*/ 5 w 29"/>
              <a:gd name="T25" fmla="*/ 4 h 27"/>
              <a:gd name="T26" fmla="*/ 5 w 29"/>
              <a:gd name="T27" fmla="*/ 4 h 27"/>
              <a:gd name="T28" fmla="*/ 2 w 29"/>
              <a:gd name="T29" fmla="*/ 1 h 2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9"/>
              <a:gd name="T46" fmla="*/ 0 h 27"/>
              <a:gd name="T47" fmla="*/ 29 w 29"/>
              <a:gd name="T48" fmla="*/ 27 h 2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9" h="27">
                <a:moveTo>
                  <a:pt x="10" y="2"/>
                </a:moveTo>
                <a:lnTo>
                  <a:pt x="8" y="0"/>
                </a:lnTo>
                <a:lnTo>
                  <a:pt x="2" y="0"/>
                </a:lnTo>
                <a:lnTo>
                  <a:pt x="2" y="2"/>
                </a:lnTo>
                <a:lnTo>
                  <a:pt x="0" y="4"/>
                </a:lnTo>
                <a:lnTo>
                  <a:pt x="0" y="10"/>
                </a:lnTo>
                <a:lnTo>
                  <a:pt x="2" y="10"/>
                </a:lnTo>
                <a:lnTo>
                  <a:pt x="19" y="25"/>
                </a:lnTo>
                <a:lnTo>
                  <a:pt x="21" y="27"/>
                </a:lnTo>
                <a:lnTo>
                  <a:pt x="27" y="27"/>
                </a:lnTo>
                <a:lnTo>
                  <a:pt x="27" y="25"/>
                </a:lnTo>
                <a:lnTo>
                  <a:pt x="29" y="23"/>
                </a:lnTo>
                <a:lnTo>
                  <a:pt x="29" y="17"/>
                </a:lnTo>
                <a:lnTo>
                  <a:pt x="27" y="17"/>
                </a:lnTo>
                <a:lnTo>
                  <a:pt x="10" y="2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28" name="Freeform 327"/>
          <xdr:cNvSpPr>
            <a:spLocks/>
          </xdr:cNvSpPr>
        </xdr:nvSpPr>
        <xdr:spPr bwMode="auto">
          <a:xfrm>
            <a:off x="339" y="2108"/>
            <a:ext cx="8" cy="6"/>
          </a:xfrm>
          <a:custGeom>
            <a:avLst/>
            <a:gdLst>
              <a:gd name="T0" fmla="*/ 2 w 37"/>
              <a:gd name="T1" fmla="*/ 2 h 29"/>
              <a:gd name="T2" fmla="*/ 2 w 37"/>
              <a:gd name="T3" fmla="*/ 1 h 29"/>
              <a:gd name="T4" fmla="*/ 0 w 37"/>
              <a:gd name="T5" fmla="*/ 1 h 29"/>
              <a:gd name="T6" fmla="*/ 0 w 37"/>
              <a:gd name="T7" fmla="*/ 2 h 29"/>
              <a:gd name="T8" fmla="*/ 0 w 37"/>
              <a:gd name="T9" fmla="*/ 2 h 29"/>
              <a:gd name="T10" fmla="*/ 0 w 37"/>
              <a:gd name="T11" fmla="*/ 3 h 29"/>
              <a:gd name="T12" fmla="*/ 0 w 37"/>
              <a:gd name="T13" fmla="*/ 3 h 29"/>
              <a:gd name="T14" fmla="*/ 3 w 37"/>
              <a:gd name="T15" fmla="*/ 6 h 29"/>
              <a:gd name="T16" fmla="*/ 3 w 37"/>
              <a:gd name="T17" fmla="*/ 6 h 29"/>
              <a:gd name="T18" fmla="*/ 4 w 37"/>
              <a:gd name="T19" fmla="*/ 6 h 29"/>
              <a:gd name="T20" fmla="*/ 7 w 37"/>
              <a:gd name="T21" fmla="*/ 5 h 29"/>
              <a:gd name="T22" fmla="*/ 8 w 37"/>
              <a:gd name="T23" fmla="*/ 4 h 29"/>
              <a:gd name="T24" fmla="*/ 8 w 37"/>
              <a:gd name="T25" fmla="*/ 3 h 29"/>
              <a:gd name="T26" fmla="*/ 7 w 37"/>
              <a:gd name="T27" fmla="*/ 1 h 29"/>
              <a:gd name="T28" fmla="*/ 6 w 37"/>
              <a:gd name="T29" fmla="*/ 0 h 29"/>
              <a:gd name="T30" fmla="*/ 6 w 37"/>
              <a:gd name="T31" fmla="*/ 0 h 29"/>
              <a:gd name="T32" fmla="*/ 5 w 37"/>
              <a:gd name="T33" fmla="*/ 0 h 29"/>
              <a:gd name="T34" fmla="*/ 5 w 37"/>
              <a:gd name="T35" fmla="*/ 0 h 29"/>
              <a:gd name="T36" fmla="*/ 4 w 37"/>
              <a:gd name="T37" fmla="*/ 0 h 29"/>
              <a:gd name="T38" fmla="*/ 4 w 37"/>
              <a:gd name="T39" fmla="*/ 2 h 29"/>
              <a:gd name="T40" fmla="*/ 5 w 37"/>
              <a:gd name="T41" fmla="*/ 4 h 29"/>
              <a:gd name="T42" fmla="*/ 6 w 37"/>
              <a:gd name="T43" fmla="*/ 2 h 29"/>
              <a:gd name="T44" fmla="*/ 3 w 37"/>
              <a:gd name="T45" fmla="*/ 4 h 29"/>
              <a:gd name="T46" fmla="*/ 5 w 37"/>
              <a:gd name="T47" fmla="*/ 4 h 29"/>
              <a:gd name="T48" fmla="*/ 2 w 37"/>
              <a:gd name="T49" fmla="*/ 2 h 29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37"/>
              <a:gd name="T76" fmla="*/ 0 h 29"/>
              <a:gd name="T77" fmla="*/ 37 w 37"/>
              <a:gd name="T78" fmla="*/ 29 h 29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37" h="29">
                <a:moveTo>
                  <a:pt x="9" y="8"/>
                </a:moveTo>
                <a:lnTo>
                  <a:pt x="9" y="6"/>
                </a:lnTo>
                <a:lnTo>
                  <a:pt x="2" y="6"/>
                </a:lnTo>
                <a:lnTo>
                  <a:pt x="2" y="8"/>
                </a:lnTo>
                <a:lnTo>
                  <a:pt x="0" y="8"/>
                </a:lnTo>
                <a:lnTo>
                  <a:pt x="0" y="16"/>
                </a:lnTo>
                <a:lnTo>
                  <a:pt x="2" y="16"/>
                </a:lnTo>
                <a:lnTo>
                  <a:pt x="13" y="27"/>
                </a:lnTo>
                <a:lnTo>
                  <a:pt x="13" y="29"/>
                </a:lnTo>
                <a:lnTo>
                  <a:pt x="19" y="29"/>
                </a:lnTo>
                <a:lnTo>
                  <a:pt x="33" y="23"/>
                </a:lnTo>
                <a:lnTo>
                  <a:pt x="37" y="20"/>
                </a:lnTo>
                <a:lnTo>
                  <a:pt x="37" y="16"/>
                </a:lnTo>
                <a:lnTo>
                  <a:pt x="31" y="4"/>
                </a:lnTo>
                <a:lnTo>
                  <a:pt x="29" y="2"/>
                </a:lnTo>
                <a:lnTo>
                  <a:pt x="29" y="0"/>
                </a:lnTo>
                <a:lnTo>
                  <a:pt x="23" y="0"/>
                </a:lnTo>
                <a:lnTo>
                  <a:pt x="21" y="2"/>
                </a:lnTo>
                <a:lnTo>
                  <a:pt x="19" y="2"/>
                </a:lnTo>
                <a:lnTo>
                  <a:pt x="19" y="8"/>
                </a:lnTo>
                <a:lnTo>
                  <a:pt x="25" y="20"/>
                </a:lnTo>
                <a:lnTo>
                  <a:pt x="29" y="12"/>
                </a:lnTo>
                <a:lnTo>
                  <a:pt x="15" y="18"/>
                </a:lnTo>
                <a:lnTo>
                  <a:pt x="21" y="20"/>
                </a:lnTo>
                <a:lnTo>
                  <a:pt x="9" y="8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29" name="Freeform 328"/>
          <xdr:cNvSpPr>
            <a:spLocks/>
          </xdr:cNvSpPr>
        </xdr:nvSpPr>
        <xdr:spPr bwMode="auto">
          <a:xfrm>
            <a:off x="311" y="2311"/>
            <a:ext cx="21" cy="28"/>
          </a:xfrm>
          <a:custGeom>
            <a:avLst/>
            <a:gdLst>
              <a:gd name="T0" fmla="*/ 8 w 104"/>
              <a:gd name="T1" fmla="*/ 26 h 121"/>
              <a:gd name="T2" fmla="*/ 21 w 104"/>
              <a:gd name="T3" fmla="*/ 7 h 121"/>
              <a:gd name="T4" fmla="*/ 12 w 104"/>
              <a:gd name="T5" fmla="*/ 0 h 121"/>
              <a:gd name="T6" fmla="*/ 3 w 104"/>
              <a:gd name="T7" fmla="*/ 2 h 121"/>
              <a:gd name="T8" fmla="*/ 1 w 104"/>
              <a:gd name="T9" fmla="*/ 8 h 121"/>
              <a:gd name="T10" fmla="*/ 2 w 104"/>
              <a:gd name="T11" fmla="*/ 8 h 121"/>
              <a:gd name="T12" fmla="*/ 2 w 104"/>
              <a:gd name="T13" fmla="*/ 9 h 121"/>
              <a:gd name="T14" fmla="*/ 2 w 104"/>
              <a:gd name="T15" fmla="*/ 8 h 121"/>
              <a:gd name="T16" fmla="*/ 2 w 104"/>
              <a:gd name="T17" fmla="*/ 10 h 121"/>
              <a:gd name="T18" fmla="*/ 2 w 104"/>
              <a:gd name="T19" fmla="*/ 11 h 121"/>
              <a:gd name="T20" fmla="*/ 2 w 104"/>
              <a:gd name="T21" fmla="*/ 10 h 121"/>
              <a:gd name="T22" fmla="*/ 3 w 104"/>
              <a:gd name="T23" fmla="*/ 14 h 121"/>
              <a:gd name="T24" fmla="*/ 3 w 104"/>
              <a:gd name="T25" fmla="*/ 16 h 121"/>
              <a:gd name="T26" fmla="*/ 2 w 104"/>
              <a:gd name="T27" fmla="*/ 19 h 121"/>
              <a:gd name="T28" fmla="*/ 2 w 104"/>
              <a:gd name="T29" fmla="*/ 19 h 121"/>
              <a:gd name="T30" fmla="*/ 2 w 104"/>
              <a:gd name="T31" fmla="*/ 19 h 121"/>
              <a:gd name="T32" fmla="*/ 2 w 104"/>
              <a:gd name="T33" fmla="*/ 20 h 121"/>
              <a:gd name="T34" fmla="*/ 1 w 104"/>
              <a:gd name="T35" fmla="*/ 22 h 121"/>
              <a:gd name="T36" fmla="*/ 1 w 104"/>
              <a:gd name="T37" fmla="*/ 21 h 121"/>
              <a:gd name="T38" fmla="*/ 1 w 104"/>
              <a:gd name="T39" fmla="*/ 21 h 121"/>
              <a:gd name="T40" fmla="*/ 3 w 104"/>
              <a:gd name="T41" fmla="*/ 22 h 121"/>
              <a:gd name="T42" fmla="*/ 2 w 104"/>
              <a:gd name="T43" fmla="*/ 21 h 121"/>
              <a:gd name="T44" fmla="*/ 0 w 104"/>
              <a:gd name="T45" fmla="*/ 22 h 121"/>
              <a:gd name="T46" fmla="*/ 1 w 104"/>
              <a:gd name="T47" fmla="*/ 26 h 121"/>
              <a:gd name="T48" fmla="*/ 1 w 104"/>
              <a:gd name="T49" fmla="*/ 27 h 121"/>
              <a:gd name="T50" fmla="*/ 1 w 104"/>
              <a:gd name="T51" fmla="*/ 26 h 121"/>
              <a:gd name="T52" fmla="*/ 2 w 104"/>
              <a:gd name="T53" fmla="*/ 28 h 121"/>
              <a:gd name="T54" fmla="*/ 8 w 104"/>
              <a:gd name="T55" fmla="*/ 26 h 121"/>
              <a:gd name="T56" fmla="*/ 3 w 104"/>
              <a:gd name="T57" fmla="*/ 26 h 121"/>
              <a:gd name="T58" fmla="*/ 3 w 104"/>
              <a:gd name="T59" fmla="*/ 25 h 121"/>
              <a:gd name="T60" fmla="*/ 2 w 104"/>
              <a:gd name="T61" fmla="*/ 25 h 121"/>
              <a:gd name="T62" fmla="*/ 2 w 104"/>
              <a:gd name="T63" fmla="*/ 25 h 121"/>
              <a:gd name="T64" fmla="*/ 2 w 104"/>
              <a:gd name="T65" fmla="*/ 23 h 121"/>
              <a:gd name="T66" fmla="*/ 2 w 104"/>
              <a:gd name="T67" fmla="*/ 24 h 121"/>
              <a:gd name="T68" fmla="*/ 2 w 104"/>
              <a:gd name="T69" fmla="*/ 21 h 121"/>
              <a:gd name="T70" fmla="*/ 1 w 104"/>
              <a:gd name="T71" fmla="*/ 21 h 121"/>
              <a:gd name="T72" fmla="*/ 1 w 104"/>
              <a:gd name="T73" fmla="*/ 24 h 121"/>
              <a:gd name="T74" fmla="*/ 2 w 104"/>
              <a:gd name="T75" fmla="*/ 24 h 121"/>
              <a:gd name="T76" fmla="*/ 3 w 104"/>
              <a:gd name="T77" fmla="*/ 22 h 121"/>
              <a:gd name="T78" fmla="*/ 3 w 104"/>
              <a:gd name="T79" fmla="*/ 23 h 121"/>
              <a:gd name="T80" fmla="*/ 3 w 104"/>
              <a:gd name="T81" fmla="*/ 22 h 121"/>
              <a:gd name="T82" fmla="*/ 4 w 104"/>
              <a:gd name="T83" fmla="*/ 20 h 121"/>
              <a:gd name="T84" fmla="*/ 4 w 104"/>
              <a:gd name="T85" fmla="*/ 21 h 121"/>
              <a:gd name="T86" fmla="*/ 4 w 104"/>
              <a:gd name="T87" fmla="*/ 20 h 121"/>
              <a:gd name="T88" fmla="*/ 4 w 104"/>
              <a:gd name="T89" fmla="*/ 19 h 121"/>
              <a:gd name="T90" fmla="*/ 5 w 104"/>
              <a:gd name="T91" fmla="*/ 12 h 121"/>
              <a:gd name="T92" fmla="*/ 5 w 104"/>
              <a:gd name="T93" fmla="*/ 12 h 121"/>
              <a:gd name="T94" fmla="*/ 4 w 104"/>
              <a:gd name="T95" fmla="*/ 9 h 121"/>
              <a:gd name="T96" fmla="*/ 4 w 104"/>
              <a:gd name="T97" fmla="*/ 8 h 121"/>
              <a:gd name="T98" fmla="*/ 4 w 104"/>
              <a:gd name="T99" fmla="*/ 9 h 121"/>
              <a:gd name="T100" fmla="*/ 3 w 104"/>
              <a:gd name="T101" fmla="*/ 6 h 121"/>
              <a:gd name="T102" fmla="*/ 3 w 104"/>
              <a:gd name="T103" fmla="*/ 6 h 121"/>
              <a:gd name="T104" fmla="*/ 2 w 104"/>
              <a:gd name="T105" fmla="*/ 6 h 121"/>
              <a:gd name="T106" fmla="*/ 3 w 104"/>
              <a:gd name="T107" fmla="*/ 7 h 121"/>
              <a:gd name="T108" fmla="*/ 7 w 104"/>
              <a:gd name="T109" fmla="*/ 3 h 121"/>
              <a:gd name="T110" fmla="*/ 12 w 104"/>
              <a:gd name="T111" fmla="*/ 3 h 121"/>
              <a:gd name="T112" fmla="*/ 19 w 104"/>
              <a:gd name="T113" fmla="*/ 8 h 121"/>
              <a:gd name="T114" fmla="*/ 7 w 104"/>
              <a:gd name="T115" fmla="*/ 24 h 121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04"/>
              <a:gd name="T175" fmla="*/ 0 h 121"/>
              <a:gd name="T176" fmla="*/ 104 w 104"/>
              <a:gd name="T177" fmla="*/ 121 h 121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04" h="121">
                <a:moveTo>
                  <a:pt x="39" y="113"/>
                </a:moveTo>
                <a:lnTo>
                  <a:pt x="41" y="113"/>
                </a:lnTo>
                <a:lnTo>
                  <a:pt x="41" y="111"/>
                </a:lnTo>
                <a:lnTo>
                  <a:pt x="102" y="35"/>
                </a:lnTo>
                <a:lnTo>
                  <a:pt x="104" y="33"/>
                </a:lnTo>
                <a:lnTo>
                  <a:pt x="104" y="30"/>
                </a:lnTo>
                <a:lnTo>
                  <a:pt x="96" y="10"/>
                </a:lnTo>
                <a:lnTo>
                  <a:pt x="92" y="6"/>
                </a:lnTo>
                <a:lnTo>
                  <a:pt x="61" y="0"/>
                </a:lnTo>
                <a:lnTo>
                  <a:pt x="29" y="0"/>
                </a:lnTo>
                <a:lnTo>
                  <a:pt x="15" y="8"/>
                </a:lnTo>
                <a:lnTo>
                  <a:pt x="13" y="10"/>
                </a:lnTo>
                <a:lnTo>
                  <a:pt x="6" y="22"/>
                </a:lnTo>
                <a:lnTo>
                  <a:pt x="4" y="24"/>
                </a:lnTo>
                <a:lnTo>
                  <a:pt x="4" y="33"/>
                </a:lnTo>
                <a:lnTo>
                  <a:pt x="6" y="33"/>
                </a:lnTo>
                <a:lnTo>
                  <a:pt x="6" y="35"/>
                </a:lnTo>
                <a:lnTo>
                  <a:pt x="12" y="35"/>
                </a:lnTo>
                <a:lnTo>
                  <a:pt x="6" y="30"/>
                </a:lnTo>
                <a:lnTo>
                  <a:pt x="6" y="37"/>
                </a:lnTo>
                <a:lnTo>
                  <a:pt x="8" y="37"/>
                </a:lnTo>
                <a:lnTo>
                  <a:pt x="8" y="39"/>
                </a:lnTo>
                <a:lnTo>
                  <a:pt x="13" y="39"/>
                </a:lnTo>
                <a:lnTo>
                  <a:pt x="8" y="33"/>
                </a:lnTo>
                <a:lnTo>
                  <a:pt x="8" y="41"/>
                </a:lnTo>
                <a:lnTo>
                  <a:pt x="10" y="41"/>
                </a:lnTo>
                <a:lnTo>
                  <a:pt x="12" y="43"/>
                </a:lnTo>
                <a:lnTo>
                  <a:pt x="10" y="39"/>
                </a:lnTo>
                <a:lnTo>
                  <a:pt x="10" y="49"/>
                </a:lnTo>
                <a:lnTo>
                  <a:pt x="12" y="49"/>
                </a:lnTo>
                <a:lnTo>
                  <a:pt x="12" y="51"/>
                </a:lnTo>
                <a:lnTo>
                  <a:pt x="17" y="51"/>
                </a:lnTo>
                <a:lnTo>
                  <a:pt x="12" y="45"/>
                </a:lnTo>
                <a:lnTo>
                  <a:pt x="12" y="57"/>
                </a:lnTo>
                <a:lnTo>
                  <a:pt x="13" y="57"/>
                </a:lnTo>
                <a:lnTo>
                  <a:pt x="15" y="59"/>
                </a:lnTo>
                <a:lnTo>
                  <a:pt x="13" y="55"/>
                </a:lnTo>
                <a:lnTo>
                  <a:pt x="13" y="74"/>
                </a:lnTo>
                <a:lnTo>
                  <a:pt x="15" y="70"/>
                </a:lnTo>
                <a:lnTo>
                  <a:pt x="13" y="72"/>
                </a:lnTo>
                <a:lnTo>
                  <a:pt x="12" y="72"/>
                </a:lnTo>
                <a:lnTo>
                  <a:pt x="12" y="82"/>
                </a:lnTo>
                <a:lnTo>
                  <a:pt x="13" y="78"/>
                </a:lnTo>
                <a:lnTo>
                  <a:pt x="12" y="80"/>
                </a:lnTo>
                <a:lnTo>
                  <a:pt x="10" y="80"/>
                </a:lnTo>
                <a:lnTo>
                  <a:pt x="10" y="86"/>
                </a:lnTo>
                <a:lnTo>
                  <a:pt x="12" y="82"/>
                </a:lnTo>
                <a:lnTo>
                  <a:pt x="10" y="84"/>
                </a:lnTo>
                <a:lnTo>
                  <a:pt x="8" y="84"/>
                </a:lnTo>
                <a:lnTo>
                  <a:pt x="8" y="90"/>
                </a:lnTo>
                <a:lnTo>
                  <a:pt x="10" y="86"/>
                </a:lnTo>
                <a:lnTo>
                  <a:pt x="8" y="88"/>
                </a:lnTo>
                <a:lnTo>
                  <a:pt x="6" y="88"/>
                </a:lnTo>
                <a:lnTo>
                  <a:pt x="6" y="94"/>
                </a:lnTo>
                <a:lnTo>
                  <a:pt x="12" y="88"/>
                </a:lnTo>
                <a:lnTo>
                  <a:pt x="6" y="88"/>
                </a:lnTo>
                <a:lnTo>
                  <a:pt x="6" y="90"/>
                </a:lnTo>
                <a:lnTo>
                  <a:pt x="4" y="90"/>
                </a:lnTo>
                <a:lnTo>
                  <a:pt x="4" y="96"/>
                </a:lnTo>
                <a:lnTo>
                  <a:pt x="6" y="92"/>
                </a:lnTo>
                <a:lnTo>
                  <a:pt x="4" y="94"/>
                </a:lnTo>
                <a:lnTo>
                  <a:pt x="13" y="98"/>
                </a:lnTo>
                <a:lnTo>
                  <a:pt x="13" y="96"/>
                </a:lnTo>
                <a:lnTo>
                  <a:pt x="2" y="96"/>
                </a:lnTo>
                <a:lnTo>
                  <a:pt x="2" y="98"/>
                </a:lnTo>
                <a:lnTo>
                  <a:pt x="8" y="92"/>
                </a:lnTo>
                <a:lnTo>
                  <a:pt x="2" y="92"/>
                </a:lnTo>
                <a:lnTo>
                  <a:pt x="2" y="94"/>
                </a:lnTo>
                <a:lnTo>
                  <a:pt x="0" y="94"/>
                </a:lnTo>
                <a:lnTo>
                  <a:pt x="0" y="111"/>
                </a:lnTo>
                <a:lnTo>
                  <a:pt x="2" y="111"/>
                </a:lnTo>
                <a:lnTo>
                  <a:pt x="4" y="113"/>
                </a:lnTo>
                <a:lnTo>
                  <a:pt x="2" y="109"/>
                </a:lnTo>
                <a:lnTo>
                  <a:pt x="2" y="115"/>
                </a:lnTo>
                <a:lnTo>
                  <a:pt x="4" y="115"/>
                </a:lnTo>
                <a:lnTo>
                  <a:pt x="4" y="117"/>
                </a:lnTo>
                <a:lnTo>
                  <a:pt x="10" y="117"/>
                </a:lnTo>
                <a:lnTo>
                  <a:pt x="4" y="111"/>
                </a:lnTo>
                <a:lnTo>
                  <a:pt x="4" y="117"/>
                </a:lnTo>
                <a:lnTo>
                  <a:pt x="6" y="117"/>
                </a:lnTo>
                <a:lnTo>
                  <a:pt x="8" y="119"/>
                </a:lnTo>
                <a:lnTo>
                  <a:pt x="8" y="121"/>
                </a:lnTo>
                <a:lnTo>
                  <a:pt x="13" y="121"/>
                </a:lnTo>
                <a:lnTo>
                  <a:pt x="39" y="113"/>
                </a:lnTo>
                <a:lnTo>
                  <a:pt x="35" y="102"/>
                </a:lnTo>
                <a:lnTo>
                  <a:pt x="10" y="109"/>
                </a:lnTo>
                <a:lnTo>
                  <a:pt x="15" y="111"/>
                </a:lnTo>
                <a:lnTo>
                  <a:pt x="13" y="109"/>
                </a:lnTo>
                <a:lnTo>
                  <a:pt x="15" y="113"/>
                </a:lnTo>
                <a:lnTo>
                  <a:pt x="15" y="107"/>
                </a:lnTo>
                <a:lnTo>
                  <a:pt x="13" y="107"/>
                </a:lnTo>
                <a:lnTo>
                  <a:pt x="13" y="106"/>
                </a:lnTo>
                <a:lnTo>
                  <a:pt x="8" y="106"/>
                </a:lnTo>
                <a:lnTo>
                  <a:pt x="13" y="111"/>
                </a:lnTo>
                <a:lnTo>
                  <a:pt x="13" y="106"/>
                </a:lnTo>
                <a:lnTo>
                  <a:pt x="12" y="106"/>
                </a:lnTo>
                <a:lnTo>
                  <a:pt x="10" y="104"/>
                </a:lnTo>
                <a:lnTo>
                  <a:pt x="12" y="107"/>
                </a:lnTo>
                <a:lnTo>
                  <a:pt x="12" y="98"/>
                </a:lnTo>
                <a:lnTo>
                  <a:pt x="6" y="104"/>
                </a:lnTo>
                <a:lnTo>
                  <a:pt x="12" y="104"/>
                </a:lnTo>
                <a:lnTo>
                  <a:pt x="12" y="102"/>
                </a:lnTo>
                <a:lnTo>
                  <a:pt x="13" y="102"/>
                </a:lnTo>
                <a:lnTo>
                  <a:pt x="13" y="92"/>
                </a:lnTo>
                <a:lnTo>
                  <a:pt x="12" y="92"/>
                </a:lnTo>
                <a:lnTo>
                  <a:pt x="12" y="90"/>
                </a:lnTo>
                <a:lnTo>
                  <a:pt x="4" y="90"/>
                </a:lnTo>
                <a:lnTo>
                  <a:pt x="4" y="92"/>
                </a:lnTo>
                <a:lnTo>
                  <a:pt x="2" y="92"/>
                </a:lnTo>
                <a:lnTo>
                  <a:pt x="2" y="102"/>
                </a:lnTo>
                <a:lnTo>
                  <a:pt x="4" y="102"/>
                </a:lnTo>
                <a:lnTo>
                  <a:pt x="4" y="104"/>
                </a:lnTo>
                <a:lnTo>
                  <a:pt x="12" y="104"/>
                </a:lnTo>
                <a:lnTo>
                  <a:pt x="12" y="102"/>
                </a:lnTo>
                <a:lnTo>
                  <a:pt x="13" y="100"/>
                </a:lnTo>
                <a:lnTo>
                  <a:pt x="15" y="100"/>
                </a:lnTo>
                <a:lnTo>
                  <a:pt x="15" y="94"/>
                </a:lnTo>
                <a:lnTo>
                  <a:pt x="10" y="100"/>
                </a:lnTo>
                <a:lnTo>
                  <a:pt x="15" y="100"/>
                </a:lnTo>
                <a:lnTo>
                  <a:pt x="15" y="98"/>
                </a:lnTo>
                <a:lnTo>
                  <a:pt x="17" y="98"/>
                </a:lnTo>
                <a:lnTo>
                  <a:pt x="17" y="92"/>
                </a:lnTo>
                <a:lnTo>
                  <a:pt x="15" y="96"/>
                </a:lnTo>
                <a:lnTo>
                  <a:pt x="17" y="94"/>
                </a:lnTo>
                <a:lnTo>
                  <a:pt x="19" y="94"/>
                </a:lnTo>
                <a:lnTo>
                  <a:pt x="19" y="88"/>
                </a:lnTo>
                <a:lnTo>
                  <a:pt x="17" y="92"/>
                </a:lnTo>
                <a:lnTo>
                  <a:pt x="19" y="90"/>
                </a:lnTo>
                <a:lnTo>
                  <a:pt x="21" y="90"/>
                </a:lnTo>
                <a:lnTo>
                  <a:pt x="21" y="84"/>
                </a:lnTo>
                <a:lnTo>
                  <a:pt x="19" y="88"/>
                </a:lnTo>
                <a:lnTo>
                  <a:pt x="21" y="86"/>
                </a:lnTo>
                <a:lnTo>
                  <a:pt x="23" y="86"/>
                </a:lnTo>
                <a:lnTo>
                  <a:pt x="23" y="76"/>
                </a:lnTo>
                <a:lnTo>
                  <a:pt x="21" y="80"/>
                </a:lnTo>
                <a:lnTo>
                  <a:pt x="23" y="78"/>
                </a:lnTo>
                <a:lnTo>
                  <a:pt x="25" y="78"/>
                </a:lnTo>
                <a:lnTo>
                  <a:pt x="25" y="51"/>
                </a:lnTo>
                <a:lnTo>
                  <a:pt x="23" y="51"/>
                </a:lnTo>
                <a:lnTo>
                  <a:pt x="21" y="49"/>
                </a:lnTo>
                <a:lnTo>
                  <a:pt x="23" y="53"/>
                </a:lnTo>
                <a:lnTo>
                  <a:pt x="23" y="41"/>
                </a:lnTo>
                <a:lnTo>
                  <a:pt x="21" y="41"/>
                </a:lnTo>
                <a:lnTo>
                  <a:pt x="21" y="39"/>
                </a:lnTo>
                <a:lnTo>
                  <a:pt x="15" y="39"/>
                </a:lnTo>
                <a:lnTo>
                  <a:pt x="21" y="45"/>
                </a:lnTo>
                <a:lnTo>
                  <a:pt x="21" y="35"/>
                </a:lnTo>
                <a:lnTo>
                  <a:pt x="19" y="35"/>
                </a:lnTo>
                <a:lnTo>
                  <a:pt x="17" y="33"/>
                </a:lnTo>
                <a:lnTo>
                  <a:pt x="19" y="37"/>
                </a:lnTo>
                <a:lnTo>
                  <a:pt x="19" y="30"/>
                </a:lnTo>
                <a:lnTo>
                  <a:pt x="17" y="30"/>
                </a:lnTo>
                <a:lnTo>
                  <a:pt x="17" y="28"/>
                </a:lnTo>
                <a:lnTo>
                  <a:pt x="12" y="28"/>
                </a:lnTo>
                <a:lnTo>
                  <a:pt x="17" y="33"/>
                </a:lnTo>
                <a:lnTo>
                  <a:pt x="17" y="26"/>
                </a:lnTo>
                <a:lnTo>
                  <a:pt x="15" y="26"/>
                </a:lnTo>
                <a:lnTo>
                  <a:pt x="15" y="24"/>
                </a:lnTo>
                <a:lnTo>
                  <a:pt x="10" y="24"/>
                </a:lnTo>
                <a:lnTo>
                  <a:pt x="15" y="30"/>
                </a:lnTo>
                <a:lnTo>
                  <a:pt x="15" y="26"/>
                </a:lnTo>
                <a:lnTo>
                  <a:pt x="13" y="30"/>
                </a:lnTo>
                <a:lnTo>
                  <a:pt x="21" y="18"/>
                </a:lnTo>
                <a:lnTo>
                  <a:pt x="19" y="20"/>
                </a:lnTo>
                <a:lnTo>
                  <a:pt x="33" y="12"/>
                </a:lnTo>
                <a:lnTo>
                  <a:pt x="31" y="12"/>
                </a:lnTo>
                <a:lnTo>
                  <a:pt x="59" y="12"/>
                </a:lnTo>
                <a:lnTo>
                  <a:pt x="57" y="12"/>
                </a:lnTo>
                <a:lnTo>
                  <a:pt x="88" y="18"/>
                </a:lnTo>
                <a:lnTo>
                  <a:pt x="84" y="14"/>
                </a:lnTo>
                <a:lnTo>
                  <a:pt x="92" y="33"/>
                </a:lnTo>
                <a:lnTo>
                  <a:pt x="94" y="28"/>
                </a:lnTo>
                <a:lnTo>
                  <a:pt x="33" y="104"/>
                </a:lnTo>
                <a:lnTo>
                  <a:pt x="35" y="102"/>
                </a:lnTo>
                <a:lnTo>
                  <a:pt x="39" y="113"/>
                </a:lnTo>
                <a:close/>
              </a:path>
            </a:pathLst>
          </a:custGeom>
          <a:solidFill>
            <a:srgbClr val="FF6600"/>
          </a:solidFill>
          <a:ln w="3175" cmpd="sng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30" name="Freeform 329"/>
          <xdr:cNvSpPr>
            <a:spLocks/>
          </xdr:cNvSpPr>
        </xdr:nvSpPr>
        <xdr:spPr bwMode="auto">
          <a:xfrm>
            <a:off x="256" y="2157"/>
            <a:ext cx="8" cy="6"/>
          </a:xfrm>
          <a:custGeom>
            <a:avLst/>
            <a:gdLst>
              <a:gd name="T0" fmla="*/ 0 w 35"/>
              <a:gd name="T1" fmla="*/ 0 h 24"/>
              <a:gd name="T2" fmla="*/ 0 w 35"/>
              <a:gd name="T3" fmla="*/ 0 h 24"/>
              <a:gd name="T4" fmla="*/ 0 w 35"/>
              <a:gd name="T5" fmla="*/ 6 h 24"/>
              <a:gd name="T6" fmla="*/ 8 w 35"/>
              <a:gd name="T7" fmla="*/ 6 h 24"/>
              <a:gd name="T8" fmla="*/ 8 w 35"/>
              <a:gd name="T9" fmla="*/ 0 h 24"/>
              <a:gd name="T10" fmla="*/ 8 w 35"/>
              <a:gd name="T11" fmla="*/ 0 h 24"/>
              <a:gd name="T12" fmla="*/ 0 w 35"/>
              <a:gd name="T13" fmla="*/ 0 h 24"/>
              <a:gd name="T14" fmla="*/ 0 w 35"/>
              <a:gd name="T15" fmla="*/ 1 h 24"/>
              <a:gd name="T16" fmla="*/ 8 w 35"/>
              <a:gd name="T17" fmla="*/ 1 h 24"/>
              <a:gd name="T18" fmla="*/ 7 w 35"/>
              <a:gd name="T19" fmla="*/ 1 h 24"/>
              <a:gd name="T20" fmla="*/ 7 w 35"/>
              <a:gd name="T21" fmla="*/ 6 h 24"/>
              <a:gd name="T22" fmla="*/ 8 w 35"/>
              <a:gd name="T23" fmla="*/ 5 h 24"/>
              <a:gd name="T24" fmla="*/ 0 w 35"/>
              <a:gd name="T25" fmla="*/ 5 h 24"/>
              <a:gd name="T26" fmla="*/ 1 w 35"/>
              <a:gd name="T27" fmla="*/ 6 h 24"/>
              <a:gd name="T28" fmla="*/ 1 w 35"/>
              <a:gd name="T29" fmla="*/ 1 h 24"/>
              <a:gd name="T30" fmla="*/ 0 w 35"/>
              <a:gd name="T31" fmla="*/ 1 h 24"/>
              <a:gd name="T32" fmla="*/ 0 w 35"/>
              <a:gd name="T33" fmla="*/ 0 h 2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35"/>
              <a:gd name="T52" fmla="*/ 0 h 24"/>
              <a:gd name="T53" fmla="*/ 35 w 35"/>
              <a:gd name="T54" fmla="*/ 24 h 2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35" h="24">
                <a:moveTo>
                  <a:pt x="2" y="0"/>
                </a:moveTo>
                <a:lnTo>
                  <a:pt x="0" y="0"/>
                </a:lnTo>
                <a:lnTo>
                  <a:pt x="0" y="24"/>
                </a:lnTo>
                <a:lnTo>
                  <a:pt x="35" y="24"/>
                </a:lnTo>
                <a:lnTo>
                  <a:pt x="35" y="0"/>
                </a:lnTo>
                <a:lnTo>
                  <a:pt x="33" y="0"/>
                </a:lnTo>
                <a:lnTo>
                  <a:pt x="2" y="0"/>
                </a:lnTo>
                <a:lnTo>
                  <a:pt x="2" y="4"/>
                </a:lnTo>
                <a:lnTo>
                  <a:pt x="33" y="4"/>
                </a:lnTo>
                <a:lnTo>
                  <a:pt x="31" y="2"/>
                </a:lnTo>
                <a:lnTo>
                  <a:pt x="31" y="22"/>
                </a:lnTo>
                <a:lnTo>
                  <a:pt x="33" y="20"/>
                </a:lnTo>
                <a:lnTo>
                  <a:pt x="2" y="20"/>
                </a:lnTo>
                <a:lnTo>
                  <a:pt x="4" y="22"/>
                </a:lnTo>
                <a:lnTo>
                  <a:pt x="4" y="2"/>
                </a:lnTo>
                <a:lnTo>
                  <a:pt x="2" y="4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1" name="Freeform 330"/>
          <xdr:cNvSpPr>
            <a:spLocks/>
          </xdr:cNvSpPr>
        </xdr:nvSpPr>
        <xdr:spPr bwMode="auto">
          <a:xfrm>
            <a:off x="258" y="2152"/>
            <a:ext cx="1" cy="7"/>
          </a:xfrm>
          <a:custGeom>
            <a:avLst/>
            <a:gdLst>
              <a:gd name="T0" fmla="*/ 1 w 4"/>
              <a:gd name="T1" fmla="*/ 1 h 25"/>
              <a:gd name="T2" fmla="*/ 1 w 4"/>
              <a:gd name="T3" fmla="*/ 0 h 25"/>
              <a:gd name="T4" fmla="*/ 0 w 4"/>
              <a:gd name="T5" fmla="*/ 0 h 25"/>
              <a:gd name="T6" fmla="*/ 0 w 4"/>
              <a:gd name="T7" fmla="*/ 7 h 25"/>
              <a:gd name="T8" fmla="*/ 1 w 4"/>
              <a:gd name="T9" fmla="*/ 7 h 25"/>
              <a:gd name="T10" fmla="*/ 1 w 4"/>
              <a:gd name="T11" fmla="*/ 6 h 25"/>
              <a:gd name="T12" fmla="*/ 1 w 4"/>
              <a:gd name="T13" fmla="*/ 1 h 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5"/>
              <a:gd name="T23" fmla="*/ 4 w 4"/>
              <a:gd name="T24" fmla="*/ 25 h 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5"/>
                </a:lnTo>
                <a:lnTo>
                  <a:pt x="4" y="25"/>
                </a:lnTo>
                <a:lnTo>
                  <a:pt x="4" y="23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2" name="Freeform 331"/>
          <xdr:cNvSpPr>
            <a:spLocks/>
          </xdr:cNvSpPr>
        </xdr:nvSpPr>
        <xdr:spPr bwMode="auto">
          <a:xfrm>
            <a:off x="260" y="2152"/>
            <a:ext cx="1" cy="7"/>
          </a:xfrm>
          <a:custGeom>
            <a:avLst/>
            <a:gdLst>
              <a:gd name="T0" fmla="*/ 1 w 4"/>
              <a:gd name="T1" fmla="*/ 1 h 27"/>
              <a:gd name="T2" fmla="*/ 1 w 4"/>
              <a:gd name="T3" fmla="*/ 0 h 27"/>
              <a:gd name="T4" fmla="*/ 0 w 4"/>
              <a:gd name="T5" fmla="*/ 0 h 27"/>
              <a:gd name="T6" fmla="*/ 0 w 4"/>
              <a:gd name="T7" fmla="*/ 7 h 27"/>
              <a:gd name="T8" fmla="*/ 1 w 4"/>
              <a:gd name="T9" fmla="*/ 7 h 27"/>
              <a:gd name="T10" fmla="*/ 1 w 4"/>
              <a:gd name="T11" fmla="*/ 6 h 27"/>
              <a:gd name="T12" fmla="*/ 1 w 4"/>
              <a:gd name="T13" fmla="*/ 1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7"/>
              <a:gd name="T23" fmla="*/ 4 w 4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7"/>
                </a:lnTo>
                <a:lnTo>
                  <a:pt x="4" y="27"/>
                </a:lnTo>
                <a:lnTo>
                  <a:pt x="4" y="2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3" name="Freeform 332"/>
          <xdr:cNvSpPr>
            <a:spLocks/>
          </xdr:cNvSpPr>
        </xdr:nvSpPr>
        <xdr:spPr bwMode="auto">
          <a:xfrm>
            <a:off x="310" y="2159"/>
            <a:ext cx="7" cy="5"/>
          </a:xfrm>
          <a:custGeom>
            <a:avLst/>
            <a:gdLst>
              <a:gd name="T0" fmla="*/ 0 w 33"/>
              <a:gd name="T1" fmla="*/ 0 h 24"/>
              <a:gd name="T2" fmla="*/ 0 w 33"/>
              <a:gd name="T3" fmla="*/ 0 h 24"/>
              <a:gd name="T4" fmla="*/ 0 w 33"/>
              <a:gd name="T5" fmla="*/ 5 h 24"/>
              <a:gd name="T6" fmla="*/ 7 w 33"/>
              <a:gd name="T7" fmla="*/ 5 h 24"/>
              <a:gd name="T8" fmla="*/ 7 w 33"/>
              <a:gd name="T9" fmla="*/ 0 h 24"/>
              <a:gd name="T10" fmla="*/ 7 w 33"/>
              <a:gd name="T11" fmla="*/ 0 h 24"/>
              <a:gd name="T12" fmla="*/ 0 w 33"/>
              <a:gd name="T13" fmla="*/ 0 h 24"/>
              <a:gd name="T14" fmla="*/ 0 w 33"/>
              <a:gd name="T15" fmla="*/ 1 h 24"/>
              <a:gd name="T16" fmla="*/ 7 w 33"/>
              <a:gd name="T17" fmla="*/ 1 h 24"/>
              <a:gd name="T18" fmla="*/ 6 w 33"/>
              <a:gd name="T19" fmla="*/ 0 h 24"/>
              <a:gd name="T20" fmla="*/ 6 w 33"/>
              <a:gd name="T21" fmla="*/ 5 h 24"/>
              <a:gd name="T22" fmla="*/ 7 w 33"/>
              <a:gd name="T23" fmla="*/ 4 h 24"/>
              <a:gd name="T24" fmla="*/ 0 w 33"/>
              <a:gd name="T25" fmla="*/ 4 h 24"/>
              <a:gd name="T26" fmla="*/ 1 w 33"/>
              <a:gd name="T27" fmla="*/ 5 h 24"/>
              <a:gd name="T28" fmla="*/ 1 w 33"/>
              <a:gd name="T29" fmla="*/ 0 h 24"/>
              <a:gd name="T30" fmla="*/ 0 w 33"/>
              <a:gd name="T31" fmla="*/ 1 h 24"/>
              <a:gd name="T32" fmla="*/ 0 w 33"/>
              <a:gd name="T33" fmla="*/ 0 h 2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33"/>
              <a:gd name="T52" fmla="*/ 0 h 24"/>
              <a:gd name="T53" fmla="*/ 33 w 33"/>
              <a:gd name="T54" fmla="*/ 24 h 2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33" h="24">
                <a:moveTo>
                  <a:pt x="2" y="0"/>
                </a:moveTo>
                <a:lnTo>
                  <a:pt x="0" y="0"/>
                </a:lnTo>
                <a:lnTo>
                  <a:pt x="0" y="24"/>
                </a:lnTo>
                <a:lnTo>
                  <a:pt x="33" y="24"/>
                </a:lnTo>
                <a:lnTo>
                  <a:pt x="33" y="0"/>
                </a:lnTo>
                <a:lnTo>
                  <a:pt x="31" y="0"/>
                </a:lnTo>
                <a:lnTo>
                  <a:pt x="2" y="0"/>
                </a:lnTo>
                <a:lnTo>
                  <a:pt x="2" y="4"/>
                </a:lnTo>
                <a:lnTo>
                  <a:pt x="31" y="4"/>
                </a:lnTo>
                <a:lnTo>
                  <a:pt x="29" y="2"/>
                </a:lnTo>
                <a:lnTo>
                  <a:pt x="29" y="22"/>
                </a:lnTo>
                <a:lnTo>
                  <a:pt x="31" y="20"/>
                </a:lnTo>
                <a:lnTo>
                  <a:pt x="2" y="20"/>
                </a:lnTo>
                <a:lnTo>
                  <a:pt x="4" y="22"/>
                </a:lnTo>
                <a:lnTo>
                  <a:pt x="4" y="2"/>
                </a:lnTo>
                <a:lnTo>
                  <a:pt x="2" y="4"/>
                </a:lnTo>
                <a:lnTo>
                  <a:pt x="2" y="0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4" name="Freeform 333"/>
          <xdr:cNvSpPr>
            <a:spLocks/>
          </xdr:cNvSpPr>
        </xdr:nvSpPr>
        <xdr:spPr bwMode="auto">
          <a:xfrm>
            <a:off x="311" y="2153"/>
            <a:ext cx="1" cy="6"/>
          </a:xfrm>
          <a:custGeom>
            <a:avLst/>
            <a:gdLst>
              <a:gd name="T0" fmla="*/ 1 w 4"/>
              <a:gd name="T1" fmla="*/ 0 h 25"/>
              <a:gd name="T2" fmla="*/ 1 w 4"/>
              <a:gd name="T3" fmla="*/ 0 h 25"/>
              <a:gd name="T4" fmla="*/ 0 w 4"/>
              <a:gd name="T5" fmla="*/ 0 h 25"/>
              <a:gd name="T6" fmla="*/ 0 w 4"/>
              <a:gd name="T7" fmla="*/ 6 h 25"/>
              <a:gd name="T8" fmla="*/ 1 w 4"/>
              <a:gd name="T9" fmla="*/ 6 h 25"/>
              <a:gd name="T10" fmla="*/ 1 w 4"/>
              <a:gd name="T11" fmla="*/ 6 h 25"/>
              <a:gd name="T12" fmla="*/ 1 w 4"/>
              <a:gd name="T13" fmla="*/ 0 h 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5"/>
              <a:gd name="T23" fmla="*/ 4 w 4"/>
              <a:gd name="T24" fmla="*/ 25 h 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5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5"/>
                </a:lnTo>
                <a:lnTo>
                  <a:pt x="4" y="25"/>
                </a:lnTo>
                <a:lnTo>
                  <a:pt x="4" y="23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5" name="Freeform 334"/>
          <xdr:cNvSpPr>
            <a:spLocks/>
          </xdr:cNvSpPr>
        </xdr:nvSpPr>
        <xdr:spPr bwMode="auto">
          <a:xfrm>
            <a:off x="315" y="2153"/>
            <a:ext cx="0" cy="6"/>
          </a:xfrm>
          <a:custGeom>
            <a:avLst/>
            <a:gdLst>
              <a:gd name="T0" fmla="*/ 0 w 4"/>
              <a:gd name="T1" fmla="*/ 0 h 27"/>
              <a:gd name="T2" fmla="*/ 0 w 4"/>
              <a:gd name="T3" fmla="*/ 0 h 27"/>
              <a:gd name="T4" fmla="*/ 0 w 4"/>
              <a:gd name="T5" fmla="*/ 0 h 27"/>
              <a:gd name="T6" fmla="*/ 0 w 4"/>
              <a:gd name="T7" fmla="*/ 6 h 27"/>
              <a:gd name="T8" fmla="*/ 0 w 4"/>
              <a:gd name="T9" fmla="*/ 6 h 27"/>
              <a:gd name="T10" fmla="*/ 0 w 4"/>
              <a:gd name="T11" fmla="*/ 6 h 27"/>
              <a:gd name="T12" fmla="*/ 0 w 4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"/>
              <a:gd name="T22" fmla="*/ 0 h 27"/>
              <a:gd name="T23" fmla="*/ 0 w 4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" h="27">
                <a:moveTo>
                  <a:pt x="4" y="2"/>
                </a:moveTo>
                <a:lnTo>
                  <a:pt x="4" y="0"/>
                </a:lnTo>
                <a:lnTo>
                  <a:pt x="0" y="0"/>
                </a:lnTo>
                <a:lnTo>
                  <a:pt x="0" y="27"/>
                </a:lnTo>
                <a:lnTo>
                  <a:pt x="4" y="27"/>
                </a:lnTo>
                <a:lnTo>
                  <a:pt x="4" y="25"/>
                </a:lnTo>
                <a:lnTo>
                  <a:pt x="4" y="2"/>
                </a:lnTo>
                <a:close/>
              </a:path>
            </a:pathLst>
          </a:custGeom>
          <a:solidFill>
            <a:srgbClr val="FFCC66"/>
          </a:solidFill>
          <a:ln w="9525">
            <a:solidFill>
              <a:srgbClr val="0238C0"/>
            </a:solidFill>
            <a:round/>
            <a:headEnd/>
            <a:tailEnd/>
          </a:ln>
        </xdr:spPr>
      </xdr:sp>
      <xdr:sp macro="" textlink="">
        <xdr:nvSpPr>
          <xdr:cNvPr id="336" name="Freeform 335"/>
          <xdr:cNvSpPr>
            <a:spLocks/>
          </xdr:cNvSpPr>
        </xdr:nvSpPr>
        <xdr:spPr bwMode="auto">
          <a:xfrm>
            <a:off x="243" y="1992"/>
            <a:ext cx="86" cy="17"/>
          </a:xfrm>
          <a:custGeom>
            <a:avLst/>
            <a:gdLst>
              <a:gd name="T0" fmla="*/ 2 w 419"/>
              <a:gd name="T1" fmla="*/ 17 h 72"/>
              <a:gd name="T2" fmla="*/ 22 w 419"/>
              <a:gd name="T3" fmla="*/ 3 h 72"/>
              <a:gd name="T4" fmla="*/ 21 w 419"/>
              <a:gd name="T5" fmla="*/ 4 h 72"/>
              <a:gd name="T6" fmla="*/ 66 w 419"/>
              <a:gd name="T7" fmla="*/ 4 h 72"/>
              <a:gd name="T8" fmla="*/ 65 w 419"/>
              <a:gd name="T9" fmla="*/ 3 h 72"/>
              <a:gd name="T10" fmla="*/ 84 w 419"/>
              <a:gd name="T11" fmla="*/ 17 h 72"/>
              <a:gd name="T12" fmla="*/ 86 w 419"/>
              <a:gd name="T13" fmla="*/ 14 h 72"/>
              <a:gd name="T14" fmla="*/ 67 w 419"/>
              <a:gd name="T15" fmla="*/ 0 h 72"/>
              <a:gd name="T16" fmla="*/ 21 w 419"/>
              <a:gd name="T17" fmla="*/ 0 h 72"/>
              <a:gd name="T18" fmla="*/ 0 w 419"/>
              <a:gd name="T19" fmla="*/ 14 h 72"/>
              <a:gd name="T20" fmla="*/ 2 w 419"/>
              <a:gd name="T21" fmla="*/ 17 h 7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419"/>
              <a:gd name="T34" fmla="*/ 0 h 72"/>
              <a:gd name="T35" fmla="*/ 419 w 419"/>
              <a:gd name="T36" fmla="*/ 72 h 7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419" h="72">
                <a:moveTo>
                  <a:pt x="8" y="72"/>
                </a:moveTo>
                <a:lnTo>
                  <a:pt x="106" y="14"/>
                </a:lnTo>
                <a:lnTo>
                  <a:pt x="102" y="16"/>
                </a:lnTo>
                <a:lnTo>
                  <a:pt x="323" y="16"/>
                </a:lnTo>
                <a:lnTo>
                  <a:pt x="319" y="14"/>
                </a:lnTo>
                <a:lnTo>
                  <a:pt x="411" y="72"/>
                </a:lnTo>
                <a:lnTo>
                  <a:pt x="419" y="61"/>
                </a:lnTo>
                <a:lnTo>
                  <a:pt x="325" y="0"/>
                </a:lnTo>
                <a:lnTo>
                  <a:pt x="100" y="0"/>
                </a:lnTo>
                <a:lnTo>
                  <a:pt x="0" y="61"/>
                </a:lnTo>
                <a:lnTo>
                  <a:pt x="8" y="72"/>
                </a:lnTo>
                <a:close/>
              </a:path>
            </a:pathLst>
          </a:custGeom>
          <a:solidFill>
            <a:srgbClr val="FF6600"/>
          </a:solidFill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337" name="Rectangle 336"/>
          <xdr:cNvSpPr>
            <a:spLocks noChangeArrowheads="1"/>
          </xdr:cNvSpPr>
        </xdr:nvSpPr>
        <xdr:spPr bwMode="auto">
          <a:xfrm>
            <a:off x="364" y="2278"/>
            <a:ext cx="534" cy="48"/>
          </a:xfrm>
          <a:prstGeom prst="rect">
            <a:avLst/>
          </a:prstGeom>
          <a:gradFill rotWithShape="0">
            <a:gsLst>
              <a:gs pos="0">
                <a:srgbClr val="5C2500"/>
              </a:gs>
              <a:gs pos="100000">
                <a:srgbClr val="FF6600"/>
              </a:gs>
            </a:gsLst>
            <a:lin ang="0" scaled="1"/>
          </a:gradFill>
          <a:ln w="0">
            <a:noFill/>
            <a:miter lim="800000"/>
            <a:headEnd/>
            <a:tailEnd/>
          </a:ln>
        </xdr:spPr>
      </xdr:sp>
      <xdr:sp macro="" textlink="">
        <xdr:nvSpPr>
          <xdr:cNvPr id="338" name="Rectangle 337"/>
          <xdr:cNvSpPr>
            <a:spLocks noChangeArrowheads="1"/>
          </xdr:cNvSpPr>
        </xdr:nvSpPr>
        <xdr:spPr bwMode="auto">
          <a:xfrm>
            <a:off x="475" y="2278"/>
            <a:ext cx="318" cy="5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FFFFFF"/>
                </a:solidFill>
                <a:latin typeface="Korinna"/>
              </a:rPr>
              <a:t>Sundyne Corporation</a:t>
            </a:r>
            <a:endParaRPr lang="en-US" sz="2400" b="1" i="0" u="none" strike="noStrike" baseline="0">
              <a:solidFill>
                <a:srgbClr val="FFFFFF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2400" b="1" i="0" u="none" strike="noStrike" baseline="0">
              <a:solidFill>
                <a:srgbClr val="FFFFFF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oneCellAnchor>
    <xdr:from>
      <xdr:col>10</xdr:col>
      <xdr:colOff>85725</xdr:colOff>
      <xdr:row>50</xdr:row>
      <xdr:rowOff>174625</xdr:rowOff>
    </xdr:from>
    <xdr:ext cx="1244600" cy="1177925"/>
    <xdr:pic>
      <xdr:nvPicPr>
        <xdr:cNvPr id="339" name="Picture 33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81725" y="8261350"/>
          <a:ext cx="1244600" cy="1177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238124</xdr:colOff>
      <xdr:row>54</xdr:row>
      <xdr:rowOff>123825</xdr:rowOff>
    </xdr:from>
    <xdr:to>
      <xdr:col>10</xdr:col>
      <xdr:colOff>706754</xdr:colOff>
      <xdr:row>54</xdr:row>
      <xdr:rowOff>123825</xdr:rowOff>
    </xdr:to>
    <xdr:sp macro="" textlink="">
      <xdr:nvSpPr>
        <xdr:cNvPr id="340" name="Line 340"/>
        <xdr:cNvSpPr>
          <a:spLocks noChangeShapeType="1"/>
        </xdr:cNvSpPr>
      </xdr:nvSpPr>
      <xdr:spPr bwMode="auto">
        <a:xfrm>
          <a:off x="847724" y="8867775"/>
          <a:ext cx="585978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13</xdr:col>
      <xdr:colOff>342900</xdr:colOff>
      <xdr:row>1</xdr:row>
      <xdr:rowOff>0</xdr:rowOff>
    </xdr:from>
    <xdr:ext cx="1263650" cy="1190625"/>
    <xdr:pic>
      <xdr:nvPicPr>
        <xdr:cNvPr id="341" name="Picture 34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67700" y="161925"/>
          <a:ext cx="1263650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21</xdr:col>
      <xdr:colOff>66675</xdr:colOff>
      <xdr:row>1</xdr:row>
      <xdr:rowOff>0</xdr:rowOff>
    </xdr:from>
    <xdr:ext cx="1263650" cy="1209675"/>
    <xdr:pic>
      <xdr:nvPicPr>
        <xdr:cNvPr id="342" name="Picture 34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68275" y="161925"/>
          <a:ext cx="1263650" cy="1209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absoluteAnchor>
    <xdr:pos x="12401550" y="28575"/>
    <xdr:ext cx="2009775" cy="16167100"/>
    <xdr:sp macro="" textlink="">
      <xdr:nvSpPr>
        <xdr:cNvPr id="343" name="Rectangle 342"/>
        <xdr:cNvSpPr>
          <a:spLocks noChangeArrowheads="1"/>
        </xdr:cNvSpPr>
      </xdr:nvSpPr>
      <xdr:spPr bwMode="auto">
        <a:xfrm>
          <a:off x="12401550" y="28575"/>
          <a:ext cx="2009775" cy="16167100"/>
        </a:xfrm>
        <a:prstGeom prst="rect">
          <a:avLst/>
        </a:prstGeom>
        <a:noFill/>
        <a:ln w="76200">
          <a:solidFill>
            <a:srgbClr val="003366"/>
          </a:solidFill>
          <a:miter lim="800000"/>
          <a:headEnd/>
          <a:tailEnd/>
        </a:ln>
      </xdr:spPr>
    </xdr:sp>
    <xdr:clientData/>
  </xdr:absoluteAnchor>
  <xdr:absoluteAnchor>
    <xdr:pos x="15014575" y="28575"/>
    <xdr:ext cx="857250" cy="16167100"/>
    <xdr:sp macro="" textlink="">
      <xdr:nvSpPr>
        <xdr:cNvPr id="344" name="Rectangle 343"/>
        <xdr:cNvSpPr>
          <a:spLocks noChangeArrowheads="1"/>
        </xdr:cNvSpPr>
      </xdr:nvSpPr>
      <xdr:spPr bwMode="auto">
        <a:xfrm>
          <a:off x="15014575" y="28575"/>
          <a:ext cx="857250" cy="16167100"/>
        </a:xfrm>
        <a:prstGeom prst="rect">
          <a:avLst/>
        </a:prstGeom>
        <a:noFill/>
        <a:ln w="57150">
          <a:solidFill>
            <a:srgbClr val="003366"/>
          </a:solidFill>
          <a:miter lim="800000"/>
          <a:headEnd/>
          <a:tailEnd/>
        </a:ln>
      </xdr:spPr>
    </xdr:sp>
    <xdr:clientData/>
  </xdr:absoluteAnchor>
  <xdr:absoluteAnchor>
    <xdr:pos x="16459200" y="28575"/>
    <xdr:ext cx="1450975" cy="16167100"/>
    <xdr:sp macro="" textlink="">
      <xdr:nvSpPr>
        <xdr:cNvPr id="345" name="Rectangle 344"/>
        <xdr:cNvSpPr>
          <a:spLocks noChangeArrowheads="1"/>
        </xdr:cNvSpPr>
      </xdr:nvSpPr>
      <xdr:spPr bwMode="auto">
        <a:xfrm>
          <a:off x="16459200" y="28575"/>
          <a:ext cx="1450975" cy="16167100"/>
        </a:xfrm>
        <a:prstGeom prst="rect">
          <a:avLst/>
        </a:prstGeom>
        <a:noFill/>
        <a:ln w="57150">
          <a:solidFill>
            <a:srgbClr val="003366"/>
          </a:solidFill>
          <a:miter lim="800000"/>
          <a:headEnd/>
          <a:tailEnd/>
        </a:ln>
      </xdr:spPr>
    </xdr:sp>
    <xdr:clientData/>
  </xdr:absoluteAnchor>
  <xdr:twoCellAnchor>
    <xdr:from>
      <xdr:col>0</xdr:col>
      <xdr:colOff>698500</xdr:colOff>
      <xdr:row>51</xdr:row>
      <xdr:rowOff>222250</xdr:rowOff>
    </xdr:from>
    <xdr:to>
      <xdr:col>1</xdr:col>
      <xdr:colOff>742950</xdr:colOff>
      <xdr:row>54</xdr:row>
      <xdr:rowOff>123825</xdr:rowOff>
    </xdr:to>
    <xdr:pic>
      <xdr:nvPicPr>
        <xdr:cNvPr id="346" name="Picture 682" descr="LloydISOx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12775" y="8423275"/>
          <a:ext cx="606425" cy="44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zoomScaleNormal="100" workbookViewId="0">
      <selection activeCell="D8" sqref="D8"/>
    </sheetView>
  </sheetViews>
  <sheetFormatPr defaultRowHeight="12.75" x14ac:dyDescent="0.2"/>
  <cols>
    <col min="1" max="1" width="6.140625" style="66" customWidth="1"/>
    <col min="2" max="2" width="12" style="68" bestFit="1" customWidth="1"/>
    <col min="3" max="3" width="7" style="66" bestFit="1" customWidth="1"/>
    <col min="4" max="4" width="112.140625" style="67" customWidth="1"/>
    <col min="5" max="16384" width="9.140625" style="66"/>
  </cols>
  <sheetData>
    <row r="1" spans="1:4" s="75" customFormat="1" x14ac:dyDescent="0.2">
      <c r="A1" s="77" t="s">
        <v>56</v>
      </c>
      <c r="B1" s="78" t="s">
        <v>55</v>
      </c>
      <c r="C1" s="77" t="s">
        <v>54</v>
      </c>
      <c r="D1" s="76" t="s">
        <v>53</v>
      </c>
    </row>
    <row r="2" spans="1:4" s="75" customFormat="1" x14ac:dyDescent="0.2">
      <c r="A2" s="77"/>
      <c r="B2" s="78"/>
      <c r="C2" s="77"/>
      <c r="D2" s="76"/>
    </row>
    <row r="3" spans="1:4" s="72" customFormat="1" ht="12.75" customHeight="1" x14ac:dyDescent="0.2">
      <c r="A3" s="73" t="s">
        <v>52</v>
      </c>
      <c r="B3" s="74">
        <v>42563</v>
      </c>
      <c r="C3" s="72" t="s">
        <v>224</v>
      </c>
      <c r="D3" s="71" t="s">
        <v>225</v>
      </c>
    </row>
    <row r="4" spans="1:4" x14ac:dyDescent="0.2">
      <c r="A4" s="73"/>
      <c r="C4" s="72"/>
      <c r="D4" s="71"/>
    </row>
    <row r="5" spans="1:4" x14ac:dyDescent="0.2">
      <c r="A5" s="73"/>
      <c r="C5" s="72"/>
      <c r="D5" s="71"/>
    </row>
    <row r="6" spans="1:4" x14ac:dyDescent="0.2">
      <c r="A6" s="73"/>
      <c r="C6" s="72"/>
      <c r="D6" s="71"/>
    </row>
    <row r="7" spans="1:4" x14ac:dyDescent="0.2">
      <c r="A7" s="73"/>
      <c r="C7" s="72"/>
      <c r="D7" s="71"/>
    </row>
    <row r="8" spans="1:4" x14ac:dyDescent="0.2">
      <c r="A8" s="73"/>
      <c r="C8" s="72"/>
      <c r="D8" s="71"/>
    </row>
    <row r="9" spans="1:4" x14ac:dyDescent="0.2">
      <c r="A9" s="69"/>
    </row>
    <row r="10" spans="1:4" x14ac:dyDescent="0.2">
      <c r="A10" s="69"/>
    </row>
    <row r="11" spans="1:4" x14ac:dyDescent="0.2">
      <c r="A11" s="69"/>
      <c r="B11" s="70"/>
    </row>
    <row r="12" spans="1:4" x14ac:dyDescent="0.2">
      <c r="A12" s="69"/>
    </row>
    <row r="13" spans="1:4" x14ac:dyDescent="0.2">
      <c r="A13" s="69"/>
    </row>
    <row r="14" spans="1:4" x14ac:dyDescent="0.2">
      <c r="A14" s="69"/>
    </row>
    <row r="17" spans="1:3" x14ac:dyDescent="0.2">
      <c r="A17" s="186" t="s">
        <v>51</v>
      </c>
      <c r="B17" s="186"/>
      <c r="C17" s="186"/>
    </row>
  </sheetData>
  <mergeCells count="1">
    <mergeCell ref="A17:C17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M115"/>
  <sheetViews>
    <sheetView workbookViewId="0">
      <selection activeCell="C9" sqref="C9:C16"/>
    </sheetView>
  </sheetViews>
  <sheetFormatPr defaultRowHeight="12.75" x14ac:dyDescent="0.2"/>
  <cols>
    <col min="1" max="1" width="0.5703125" style="228" customWidth="1"/>
    <col min="2" max="2" width="4.7109375" style="237" customWidth="1"/>
    <col min="3" max="3" width="78.140625" style="227" customWidth="1"/>
    <col min="4" max="16384" width="9.140625" style="228"/>
  </cols>
  <sheetData>
    <row r="2" spans="2:3" ht="33.75" x14ac:dyDescent="0.65">
      <c r="B2" s="235" t="s">
        <v>212</v>
      </c>
      <c r="C2" s="228"/>
    </row>
    <row r="3" spans="2:3" ht="23.25" x14ac:dyDescent="0.35">
      <c r="B3" s="236" t="s">
        <v>211</v>
      </c>
      <c r="C3" s="228"/>
    </row>
    <row r="4" spans="2:3" x14ac:dyDescent="0.2">
      <c r="B4" s="237" t="s">
        <v>213</v>
      </c>
      <c r="C4" s="227" t="s">
        <v>165</v>
      </c>
    </row>
    <row r="5" spans="2:3" x14ac:dyDescent="0.2">
      <c r="C5" s="227" t="s">
        <v>166</v>
      </c>
    </row>
    <row r="7" spans="2:3" x14ac:dyDescent="0.2">
      <c r="B7" s="237" t="s">
        <v>214</v>
      </c>
      <c r="C7" s="228" t="s">
        <v>167</v>
      </c>
    </row>
    <row r="9" spans="2:3" x14ac:dyDescent="0.2">
      <c r="B9" s="237" t="s">
        <v>215</v>
      </c>
      <c r="C9" s="227" t="s">
        <v>175</v>
      </c>
    </row>
    <row r="10" spans="2:3" x14ac:dyDescent="0.2">
      <c r="C10" s="229" t="s">
        <v>168</v>
      </c>
    </row>
    <row r="11" spans="2:3" x14ac:dyDescent="0.2">
      <c r="C11" s="229" t="s">
        <v>169</v>
      </c>
    </row>
    <row r="12" spans="2:3" x14ac:dyDescent="0.2">
      <c r="C12" s="229" t="s">
        <v>170</v>
      </c>
    </row>
    <row r="13" spans="2:3" x14ac:dyDescent="0.2">
      <c r="C13" s="229" t="s">
        <v>171</v>
      </c>
    </row>
    <row r="14" spans="2:3" x14ac:dyDescent="0.2">
      <c r="C14" s="229" t="s">
        <v>172</v>
      </c>
    </row>
    <row r="15" spans="2:3" x14ac:dyDescent="0.2">
      <c r="C15" s="229" t="s">
        <v>174</v>
      </c>
    </row>
    <row r="16" spans="2:3" x14ac:dyDescent="0.2">
      <c r="C16" s="229" t="s">
        <v>173</v>
      </c>
    </row>
    <row r="18" spans="2:7" x14ac:dyDescent="0.2">
      <c r="C18" s="227" t="s">
        <v>223</v>
      </c>
    </row>
    <row r="24" spans="2:7" ht="7.5" customHeight="1" x14ac:dyDescent="0.2"/>
    <row r="25" spans="2:7" s="231" customFormat="1" ht="25.5" customHeight="1" x14ac:dyDescent="0.25">
      <c r="B25" s="237"/>
      <c r="C25" s="230"/>
      <c r="G25" s="231" t="s">
        <v>177</v>
      </c>
    </row>
    <row r="26" spans="2:7" x14ac:dyDescent="0.2">
      <c r="B26" s="237" t="s">
        <v>216</v>
      </c>
      <c r="C26" s="227" t="s">
        <v>176</v>
      </c>
    </row>
    <row r="27" spans="2:7" x14ac:dyDescent="0.2">
      <c r="C27" s="232" t="s">
        <v>178</v>
      </c>
    </row>
    <row r="28" spans="2:7" x14ac:dyDescent="0.2">
      <c r="C28" s="232" t="s">
        <v>179</v>
      </c>
    </row>
    <row r="30" spans="2:7" x14ac:dyDescent="0.2">
      <c r="C30" s="232" t="s">
        <v>180</v>
      </c>
    </row>
    <row r="32" spans="2:7" x14ac:dyDescent="0.2">
      <c r="C32" s="232" t="s">
        <v>183</v>
      </c>
    </row>
    <row r="33" spans="2:7" x14ac:dyDescent="0.2">
      <c r="C33" s="232" t="s">
        <v>182</v>
      </c>
    </row>
    <row r="42" spans="2:7" x14ac:dyDescent="0.2">
      <c r="G42" s="228" t="s">
        <v>181</v>
      </c>
    </row>
    <row r="45" spans="2:7" x14ac:dyDescent="0.2">
      <c r="B45" s="237" t="s">
        <v>217</v>
      </c>
      <c r="C45" s="227" t="s">
        <v>184</v>
      </c>
    </row>
    <row r="46" spans="2:7" x14ac:dyDescent="0.2">
      <c r="C46" s="232" t="s">
        <v>187</v>
      </c>
    </row>
    <row r="47" spans="2:7" x14ac:dyDescent="0.2">
      <c r="C47" s="232" t="s">
        <v>185</v>
      </c>
    </row>
    <row r="48" spans="2:7" x14ac:dyDescent="0.2">
      <c r="C48" s="232" t="s">
        <v>186</v>
      </c>
    </row>
    <row r="50" spans="2:13" ht="36" x14ac:dyDescent="0.55000000000000004">
      <c r="C50" s="232" t="s">
        <v>188</v>
      </c>
      <c r="L50" s="233" t="s">
        <v>189</v>
      </c>
    </row>
    <row r="51" spans="2:13" ht="25.5" x14ac:dyDescent="0.2">
      <c r="C51" s="232" t="s">
        <v>192</v>
      </c>
    </row>
    <row r="52" spans="2:13" x14ac:dyDescent="0.2">
      <c r="C52" s="232" t="s">
        <v>193</v>
      </c>
    </row>
    <row r="57" spans="2:13" x14ac:dyDescent="0.2">
      <c r="D57" s="228" t="s">
        <v>190</v>
      </c>
      <c r="M57" s="228" t="s">
        <v>191</v>
      </c>
    </row>
    <row r="58" spans="2:13" ht="5.25" customHeight="1" x14ac:dyDescent="0.2"/>
    <row r="62" spans="2:13" x14ac:dyDescent="0.2">
      <c r="B62" s="237" t="s">
        <v>218</v>
      </c>
      <c r="C62" s="227" t="s">
        <v>194</v>
      </c>
    </row>
    <row r="63" spans="2:13" x14ac:dyDescent="0.2">
      <c r="C63" s="227" t="s">
        <v>221</v>
      </c>
    </row>
    <row r="65" spans="2:6" x14ac:dyDescent="0.2">
      <c r="C65" s="227" t="s">
        <v>222</v>
      </c>
    </row>
    <row r="67" spans="2:6" x14ac:dyDescent="0.2">
      <c r="C67" s="227" t="s">
        <v>195</v>
      </c>
    </row>
    <row r="74" spans="2:6" x14ac:dyDescent="0.2">
      <c r="F74" s="228" t="s">
        <v>196</v>
      </c>
    </row>
    <row r="77" spans="2:6" x14ac:dyDescent="0.2">
      <c r="B77" s="237" t="s">
        <v>219</v>
      </c>
      <c r="C77" s="227" t="s">
        <v>197</v>
      </c>
    </row>
    <row r="78" spans="2:6" x14ac:dyDescent="0.2">
      <c r="C78" s="232" t="s">
        <v>198</v>
      </c>
    </row>
    <row r="79" spans="2:6" x14ac:dyDescent="0.2">
      <c r="C79" s="232" t="s">
        <v>199</v>
      </c>
    </row>
    <row r="81" spans="2:6" x14ac:dyDescent="0.2">
      <c r="C81" s="232" t="s">
        <v>200</v>
      </c>
    </row>
    <row r="83" spans="2:6" x14ac:dyDescent="0.2">
      <c r="C83" s="232" t="s">
        <v>202</v>
      </c>
    </row>
    <row r="84" spans="2:6" x14ac:dyDescent="0.2">
      <c r="C84" s="227" t="s">
        <v>201</v>
      </c>
    </row>
    <row r="93" spans="2:6" x14ac:dyDescent="0.2">
      <c r="F93" s="228" t="s">
        <v>204</v>
      </c>
    </row>
    <row r="95" spans="2:6" x14ac:dyDescent="0.2">
      <c r="F95" s="228" t="s">
        <v>203</v>
      </c>
    </row>
    <row r="96" spans="2:6" x14ac:dyDescent="0.2">
      <c r="B96" s="237" t="s">
        <v>220</v>
      </c>
      <c r="C96" s="234" t="s">
        <v>205</v>
      </c>
    </row>
    <row r="97" spans="3:3" x14ac:dyDescent="0.2">
      <c r="C97" s="232" t="s">
        <v>207</v>
      </c>
    </row>
    <row r="98" spans="3:3" x14ac:dyDescent="0.2">
      <c r="C98" s="232" t="s">
        <v>208</v>
      </c>
    </row>
    <row r="99" spans="3:3" x14ac:dyDescent="0.2">
      <c r="C99" s="232"/>
    </row>
    <row r="100" spans="3:3" x14ac:dyDescent="0.2">
      <c r="C100" s="232" t="s">
        <v>210</v>
      </c>
    </row>
    <row r="102" spans="3:3" x14ac:dyDescent="0.2">
      <c r="C102" s="232" t="s">
        <v>206</v>
      </c>
    </row>
    <row r="115" spans="4:4" x14ac:dyDescent="0.2">
      <c r="D115" s="228" t="s">
        <v>209</v>
      </c>
    </row>
  </sheetData>
  <pageMargins left="0.7" right="0.7" top="0.75" bottom="0.75" header="0.3" footer="0.3"/>
  <ignoredErrors>
    <ignoredError sqref="B4 B7 B9 B26 B45 B62 B77 B9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G84"/>
  <sheetViews>
    <sheetView zoomScale="115" zoomScaleNormal="115" workbookViewId="0">
      <selection activeCell="C3" sqref="C3"/>
    </sheetView>
  </sheetViews>
  <sheetFormatPr defaultRowHeight="12.75" x14ac:dyDescent="0.25"/>
  <cols>
    <col min="1" max="1" width="1.42578125" style="79" customWidth="1"/>
    <col min="2" max="2" width="42.7109375" style="81" customWidth="1"/>
    <col min="3" max="3" width="30.7109375" style="80" customWidth="1"/>
    <col min="4" max="4" width="30.7109375" style="79" customWidth="1"/>
    <col min="5" max="5" width="9.140625" style="79"/>
    <col min="6" max="6" width="19.5703125" style="79" customWidth="1"/>
    <col min="7" max="7" width="15.42578125" style="79" customWidth="1"/>
    <col min="8" max="16384" width="9.140625" style="79"/>
  </cols>
  <sheetData>
    <row r="1" spans="2:7" ht="6" customHeight="1" thickBot="1" x14ac:dyDescent="0.3"/>
    <row r="2" spans="2:7" s="80" customFormat="1" ht="13.5" thickBot="1" x14ac:dyDescent="0.3">
      <c r="B2" s="110" t="s">
        <v>38</v>
      </c>
      <c r="C2" s="109" t="s">
        <v>106</v>
      </c>
      <c r="D2" s="107" t="s">
        <v>105</v>
      </c>
      <c r="F2" s="108" t="s">
        <v>104</v>
      </c>
      <c r="G2" s="107" t="s">
        <v>103</v>
      </c>
    </row>
    <row r="3" spans="2:7" ht="15" customHeight="1" x14ac:dyDescent="0.25">
      <c r="B3" s="100" t="s">
        <v>102</v>
      </c>
      <c r="C3" s="91" t="s">
        <v>58</v>
      </c>
      <c r="D3" s="97"/>
      <c r="F3" s="106" t="s">
        <v>101</v>
      </c>
      <c r="G3" s="105" t="s">
        <v>100</v>
      </c>
    </row>
    <row r="4" spans="2:7" ht="15" customHeight="1" x14ac:dyDescent="0.25">
      <c r="B4" s="100" t="s">
        <v>99</v>
      </c>
      <c r="C4" s="91" t="s">
        <v>58</v>
      </c>
      <c r="D4" s="97"/>
      <c r="F4" s="106"/>
      <c r="G4" s="105"/>
    </row>
    <row r="5" spans="2:7" ht="15" customHeight="1" x14ac:dyDescent="0.25">
      <c r="B5" s="100" t="s">
        <v>98</v>
      </c>
      <c r="C5" s="91" t="s">
        <v>58</v>
      </c>
      <c r="D5" s="97"/>
      <c r="F5" s="106"/>
      <c r="G5" s="105"/>
    </row>
    <row r="6" spans="2:7" x14ac:dyDescent="0.25">
      <c r="B6" s="100" t="s">
        <v>97</v>
      </c>
      <c r="C6" s="91" t="s">
        <v>58</v>
      </c>
      <c r="D6" s="97"/>
      <c r="F6" s="104"/>
      <c r="G6" s="103"/>
    </row>
    <row r="7" spans="2:7" ht="15" customHeight="1" x14ac:dyDescent="0.25">
      <c r="B7" s="100" t="s">
        <v>96</v>
      </c>
      <c r="C7" s="91" t="s">
        <v>58</v>
      </c>
      <c r="D7" s="97"/>
      <c r="F7" s="104"/>
      <c r="G7" s="103"/>
    </row>
    <row r="8" spans="2:7" ht="15" customHeight="1" thickBot="1" x14ac:dyDescent="0.3">
      <c r="B8" s="95" t="s">
        <v>95</v>
      </c>
      <c r="C8" s="91" t="s">
        <v>58</v>
      </c>
      <c r="D8" s="97"/>
      <c r="F8" s="102"/>
      <c r="G8" s="101"/>
    </row>
    <row r="9" spans="2:7" ht="15" customHeight="1" x14ac:dyDescent="0.25">
      <c r="B9" s="100" t="s">
        <v>94</v>
      </c>
      <c r="C9" s="91" t="s">
        <v>58</v>
      </c>
      <c r="D9" s="97"/>
    </row>
    <row r="10" spans="2:7" ht="15" customHeight="1" x14ac:dyDescent="0.25">
      <c r="B10" s="100" t="s">
        <v>93</v>
      </c>
      <c r="C10" s="91" t="s">
        <v>58</v>
      </c>
      <c r="D10" s="98"/>
      <c r="E10" s="99"/>
    </row>
    <row r="11" spans="2:7" ht="15" customHeight="1" x14ac:dyDescent="0.25">
      <c r="B11" s="95" t="s">
        <v>92</v>
      </c>
      <c r="C11" s="91" t="s">
        <v>58</v>
      </c>
      <c r="D11" s="97"/>
    </row>
    <row r="12" spans="2:7" x14ac:dyDescent="0.25">
      <c r="B12" s="100" t="s">
        <v>91</v>
      </c>
      <c r="C12" s="91" t="s">
        <v>58</v>
      </c>
      <c r="D12" s="97"/>
      <c r="F12" s="79" t="s">
        <v>90</v>
      </c>
    </row>
    <row r="13" spans="2:7" x14ac:dyDescent="0.25">
      <c r="B13" s="100" t="s">
        <v>89</v>
      </c>
      <c r="C13" s="91" t="s">
        <v>58</v>
      </c>
      <c r="D13" s="97"/>
      <c r="F13" s="79" t="s">
        <v>88</v>
      </c>
    </row>
    <row r="14" spans="2:7" x14ac:dyDescent="0.25">
      <c r="B14" s="100" t="s">
        <v>87</v>
      </c>
      <c r="C14" s="91" t="s">
        <v>58</v>
      </c>
      <c r="D14" s="97"/>
      <c r="F14" s="99" t="s">
        <v>86</v>
      </c>
    </row>
    <row r="15" spans="2:7" x14ac:dyDescent="0.25">
      <c r="B15" s="95" t="s">
        <v>85</v>
      </c>
      <c r="C15" s="91" t="s">
        <v>58</v>
      </c>
      <c r="D15" s="97"/>
    </row>
    <row r="16" spans="2:7" x14ac:dyDescent="0.25">
      <c r="B16" s="95" t="s">
        <v>84</v>
      </c>
      <c r="C16" s="91" t="s">
        <v>58</v>
      </c>
      <c r="D16" s="97"/>
    </row>
    <row r="17" spans="2:4" x14ac:dyDescent="0.25">
      <c r="B17" s="95" t="s">
        <v>83</v>
      </c>
      <c r="C17" s="91" t="s">
        <v>58</v>
      </c>
      <c r="D17" s="97"/>
    </row>
    <row r="18" spans="2:4" x14ac:dyDescent="0.25">
      <c r="B18" s="95" t="s">
        <v>82</v>
      </c>
      <c r="C18" s="91" t="s">
        <v>58</v>
      </c>
      <c r="D18" s="97"/>
    </row>
    <row r="19" spans="2:4" x14ac:dyDescent="0.25">
      <c r="B19" s="95" t="s">
        <v>81</v>
      </c>
      <c r="C19" s="91" t="s">
        <v>58</v>
      </c>
      <c r="D19" s="97"/>
    </row>
    <row r="20" spans="2:4" x14ac:dyDescent="0.25">
      <c r="B20" s="95" t="s">
        <v>80</v>
      </c>
      <c r="C20" s="91" t="s">
        <v>58</v>
      </c>
      <c r="D20" s="97"/>
    </row>
    <row r="21" spans="2:4" x14ac:dyDescent="0.25">
      <c r="B21" s="95" t="s">
        <v>79</v>
      </c>
      <c r="C21" s="91" t="s">
        <v>58</v>
      </c>
      <c r="D21" s="97"/>
    </row>
    <row r="22" spans="2:4" x14ac:dyDescent="0.25">
      <c r="B22" s="95" t="s">
        <v>78</v>
      </c>
      <c r="C22" s="91" t="s">
        <v>58</v>
      </c>
      <c r="D22" s="97"/>
    </row>
    <row r="23" spans="2:4" x14ac:dyDescent="0.25">
      <c r="B23" s="95" t="s">
        <v>77</v>
      </c>
      <c r="C23" s="91" t="s">
        <v>58</v>
      </c>
      <c r="D23" s="98"/>
    </row>
    <row r="24" spans="2:4" x14ac:dyDescent="0.25">
      <c r="B24" s="95" t="s">
        <v>76</v>
      </c>
      <c r="C24" s="91" t="s">
        <v>58</v>
      </c>
      <c r="D24" s="97"/>
    </row>
    <row r="25" spans="2:4" x14ac:dyDescent="0.25">
      <c r="B25" s="95" t="s">
        <v>75</v>
      </c>
      <c r="C25" s="91" t="s">
        <v>58</v>
      </c>
      <c r="D25" s="97"/>
    </row>
    <row r="26" spans="2:4" x14ac:dyDescent="0.25">
      <c r="B26" s="95" t="s">
        <v>74</v>
      </c>
      <c r="C26" s="91" t="s">
        <v>58</v>
      </c>
      <c r="D26" s="97"/>
    </row>
    <row r="27" spans="2:4" x14ac:dyDescent="0.25">
      <c r="B27" s="95" t="s">
        <v>73</v>
      </c>
      <c r="C27" s="91" t="s">
        <v>58</v>
      </c>
      <c r="D27" s="97"/>
    </row>
    <row r="28" spans="2:4" x14ac:dyDescent="0.25">
      <c r="B28" s="95" t="s">
        <v>72</v>
      </c>
      <c r="C28" s="91" t="s">
        <v>58</v>
      </c>
      <c r="D28" s="97"/>
    </row>
    <row r="29" spans="2:4" x14ac:dyDescent="0.25">
      <c r="B29" s="96" t="s">
        <v>71</v>
      </c>
      <c r="C29" s="91" t="s">
        <v>58</v>
      </c>
      <c r="D29" s="90" t="s">
        <v>69</v>
      </c>
    </row>
    <row r="30" spans="2:4" x14ac:dyDescent="0.25">
      <c r="B30" s="95" t="s">
        <v>70</v>
      </c>
      <c r="C30" s="94" t="s">
        <v>58</v>
      </c>
      <c r="D30" s="90" t="s">
        <v>69</v>
      </c>
    </row>
    <row r="31" spans="2:4" x14ac:dyDescent="0.25">
      <c r="B31" s="92" t="s">
        <v>68</v>
      </c>
      <c r="C31" s="91" t="s">
        <v>58</v>
      </c>
      <c r="D31" s="90" t="s">
        <v>57</v>
      </c>
    </row>
    <row r="32" spans="2:4" x14ac:dyDescent="0.25">
      <c r="B32" s="93" t="s">
        <v>67</v>
      </c>
      <c r="C32" s="91" t="s">
        <v>58</v>
      </c>
      <c r="D32" s="90" t="s">
        <v>57</v>
      </c>
    </row>
    <row r="33" spans="2:4" x14ac:dyDescent="0.25">
      <c r="B33" s="92" t="s">
        <v>66</v>
      </c>
      <c r="C33" s="91" t="s">
        <v>58</v>
      </c>
      <c r="D33" s="90" t="s">
        <v>57</v>
      </c>
    </row>
    <row r="34" spans="2:4" x14ac:dyDescent="0.25">
      <c r="B34" s="93" t="s">
        <v>65</v>
      </c>
      <c r="C34" s="91" t="s">
        <v>58</v>
      </c>
      <c r="D34" s="90" t="s">
        <v>57</v>
      </c>
    </row>
    <row r="35" spans="2:4" x14ac:dyDescent="0.25">
      <c r="B35" s="92" t="s">
        <v>64</v>
      </c>
      <c r="C35" s="91" t="s">
        <v>58</v>
      </c>
      <c r="D35" s="90" t="s">
        <v>57</v>
      </c>
    </row>
    <row r="36" spans="2:4" x14ac:dyDescent="0.25">
      <c r="B36" s="93" t="s">
        <v>63</v>
      </c>
      <c r="C36" s="91" t="s">
        <v>58</v>
      </c>
      <c r="D36" s="90" t="s">
        <v>57</v>
      </c>
    </row>
    <row r="37" spans="2:4" x14ac:dyDescent="0.25">
      <c r="B37" s="92" t="s">
        <v>62</v>
      </c>
      <c r="C37" s="91" t="s">
        <v>58</v>
      </c>
      <c r="D37" s="90" t="s">
        <v>57</v>
      </c>
    </row>
    <row r="38" spans="2:4" x14ac:dyDescent="0.25">
      <c r="B38" s="93" t="s">
        <v>61</v>
      </c>
      <c r="C38" s="91" t="s">
        <v>58</v>
      </c>
      <c r="D38" s="90" t="s">
        <v>57</v>
      </c>
    </row>
    <row r="39" spans="2:4" x14ac:dyDescent="0.25">
      <c r="B39" s="92" t="s">
        <v>60</v>
      </c>
      <c r="C39" s="91" t="s">
        <v>58</v>
      </c>
      <c r="D39" s="90" t="s">
        <v>57</v>
      </c>
    </row>
    <row r="40" spans="2:4" ht="13.5" thickBot="1" x14ac:dyDescent="0.3">
      <c r="B40" s="89" t="s">
        <v>59</v>
      </c>
      <c r="C40" s="88" t="s">
        <v>58</v>
      </c>
      <c r="D40" s="87" t="s">
        <v>57</v>
      </c>
    </row>
    <row r="42" spans="2:4" x14ac:dyDescent="0.25">
      <c r="B42" s="79"/>
      <c r="C42" s="79"/>
      <c r="D42" s="86"/>
    </row>
    <row r="43" spans="2:4" x14ac:dyDescent="0.2">
      <c r="B43" s="82"/>
      <c r="C43" s="82"/>
      <c r="D43" s="85"/>
    </row>
    <row r="44" spans="2:4" x14ac:dyDescent="0.25">
      <c r="B44" s="82"/>
      <c r="C44" s="82"/>
      <c r="D44" s="82"/>
    </row>
    <row r="45" spans="2:4" x14ac:dyDescent="0.25">
      <c r="B45" s="82"/>
      <c r="C45" s="82"/>
      <c r="D45" s="82"/>
    </row>
    <row r="46" spans="2:4" x14ac:dyDescent="0.25">
      <c r="B46" s="82"/>
      <c r="C46" s="82"/>
      <c r="D46" s="82"/>
    </row>
    <row r="47" spans="2:4" x14ac:dyDescent="0.25">
      <c r="B47" s="82"/>
      <c r="C47" s="82"/>
      <c r="D47" s="82"/>
    </row>
    <row r="48" spans="2:4" x14ac:dyDescent="0.25">
      <c r="B48" s="82"/>
      <c r="C48" s="82"/>
      <c r="D48" s="82"/>
    </row>
    <row r="49" spans="2:5" x14ac:dyDescent="0.25">
      <c r="B49" s="82"/>
      <c r="C49" s="82"/>
      <c r="D49" s="82"/>
    </row>
    <row r="50" spans="2:5" x14ac:dyDescent="0.25">
      <c r="B50" s="82"/>
      <c r="C50" s="82"/>
      <c r="D50" s="82"/>
    </row>
    <row r="51" spans="2:5" x14ac:dyDescent="0.25">
      <c r="B51" s="82"/>
      <c r="C51" s="82"/>
      <c r="D51" s="82"/>
    </row>
    <row r="52" spans="2:5" x14ac:dyDescent="0.25">
      <c r="B52" s="82"/>
      <c r="C52" s="82"/>
      <c r="D52" s="82"/>
    </row>
    <row r="53" spans="2:5" x14ac:dyDescent="0.25">
      <c r="B53" s="82"/>
      <c r="C53" s="82"/>
      <c r="D53" s="82"/>
    </row>
    <row r="54" spans="2:5" x14ac:dyDescent="0.25">
      <c r="B54" s="82"/>
      <c r="C54" s="82"/>
      <c r="D54" s="82"/>
    </row>
    <row r="55" spans="2:5" x14ac:dyDescent="0.25">
      <c r="B55" s="82"/>
      <c r="C55" s="82"/>
      <c r="D55" s="82"/>
    </row>
    <row r="56" spans="2:5" s="82" customFormat="1" x14ac:dyDescent="0.2">
      <c r="E56" s="85"/>
    </row>
    <row r="57" spans="2:5" s="82" customFormat="1" x14ac:dyDescent="0.25"/>
    <row r="58" spans="2:5" s="82" customFormat="1" x14ac:dyDescent="0.25"/>
    <row r="59" spans="2:5" s="82" customFormat="1" x14ac:dyDescent="0.25"/>
    <row r="60" spans="2:5" s="82" customFormat="1" x14ac:dyDescent="0.25"/>
    <row r="61" spans="2:5" s="82" customFormat="1" x14ac:dyDescent="0.25"/>
    <row r="62" spans="2:5" s="82" customFormat="1" x14ac:dyDescent="0.25"/>
    <row r="63" spans="2:5" s="82" customFormat="1" x14ac:dyDescent="0.25"/>
    <row r="64" spans="2:5" s="82" customFormat="1" x14ac:dyDescent="0.25"/>
    <row r="65" spans="2:4" s="82" customFormat="1" x14ac:dyDescent="0.25"/>
    <row r="66" spans="2:4" s="82" customFormat="1" x14ac:dyDescent="0.25"/>
    <row r="67" spans="2:4" s="82" customFormat="1" x14ac:dyDescent="0.25"/>
    <row r="68" spans="2:4" s="82" customFormat="1" x14ac:dyDescent="0.25"/>
    <row r="69" spans="2:4" s="82" customFormat="1" x14ac:dyDescent="0.25"/>
    <row r="70" spans="2:4" s="82" customFormat="1" x14ac:dyDescent="0.25">
      <c r="B70" s="84"/>
      <c r="C70" s="83"/>
    </row>
    <row r="71" spans="2:4" s="82" customFormat="1" x14ac:dyDescent="0.25">
      <c r="B71" s="84"/>
      <c r="C71" s="83"/>
    </row>
    <row r="72" spans="2:4" s="82" customFormat="1" x14ac:dyDescent="0.25">
      <c r="B72" s="81"/>
      <c r="C72" s="80"/>
      <c r="D72" s="79"/>
    </row>
    <row r="73" spans="2:4" s="82" customFormat="1" x14ac:dyDescent="0.25">
      <c r="B73" s="81"/>
      <c r="C73" s="80"/>
      <c r="D73" s="79"/>
    </row>
    <row r="74" spans="2:4" s="82" customFormat="1" x14ac:dyDescent="0.25">
      <c r="B74" s="81"/>
      <c r="C74" s="80"/>
      <c r="D74" s="79"/>
    </row>
    <row r="75" spans="2:4" s="82" customFormat="1" x14ac:dyDescent="0.25">
      <c r="B75" s="81"/>
      <c r="C75" s="80"/>
      <c r="D75" s="79"/>
    </row>
    <row r="76" spans="2:4" s="82" customFormat="1" x14ac:dyDescent="0.25">
      <c r="B76" s="81"/>
      <c r="C76" s="80"/>
      <c r="D76" s="79"/>
    </row>
    <row r="77" spans="2:4" s="82" customFormat="1" x14ac:dyDescent="0.25">
      <c r="B77" s="81"/>
      <c r="C77" s="80"/>
      <c r="D77" s="79"/>
    </row>
    <row r="78" spans="2:4" s="82" customFormat="1" x14ac:dyDescent="0.25">
      <c r="B78" s="81"/>
      <c r="C78" s="80"/>
      <c r="D78" s="79"/>
    </row>
    <row r="79" spans="2:4" s="82" customFormat="1" x14ac:dyDescent="0.25">
      <c r="B79" s="81"/>
      <c r="C79" s="80"/>
      <c r="D79" s="79"/>
    </row>
    <row r="80" spans="2:4" s="82" customFormat="1" x14ac:dyDescent="0.25">
      <c r="B80" s="81"/>
      <c r="C80" s="80"/>
      <c r="D80" s="79"/>
    </row>
    <row r="81" spans="2:4" s="82" customFormat="1" x14ac:dyDescent="0.25">
      <c r="B81" s="81"/>
      <c r="C81" s="80"/>
      <c r="D81" s="79"/>
    </row>
    <row r="82" spans="2:4" s="82" customFormat="1" x14ac:dyDescent="0.25">
      <c r="B82" s="81"/>
      <c r="C82" s="80"/>
      <c r="D82" s="79"/>
    </row>
    <row r="83" spans="2:4" s="82" customFormat="1" x14ac:dyDescent="0.25">
      <c r="B83" s="81"/>
      <c r="C83" s="80"/>
      <c r="D83" s="79"/>
    </row>
    <row r="84" spans="2:4" s="82" customFormat="1" x14ac:dyDescent="0.25">
      <c r="B84" s="81"/>
      <c r="C84" s="80"/>
      <c r="D84" s="79"/>
    </row>
  </sheetData>
  <sheetProtection selectLockedCells="1"/>
  <conditionalFormatting sqref="C24:C40 C3:C22">
    <cfRule type="cellIs" dxfId="24" priority="2" stopIfTrue="1" operator="equal">
      <formula>"Enter Data on Input Sheet"</formula>
    </cfRule>
  </conditionalFormatting>
  <conditionalFormatting sqref="C23">
    <cfRule type="cellIs" dxfId="23" priority="1" stopIfTrue="1" operator="equal">
      <formula>"Enter Data on Input Sheet"</formula>
    </cfRule>
  </conditionalFormatting>
  <pageMargins left="0.75" right="0.75" top="1" bottom="1" header="0.5" footer="0.5"/>
  <pageSetup scale="5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5:L37"/>
  <sheetViews>
    <sheetView zoomScaleNormal="100" workbookViewId="0">
      <selection activeCell="C37" sqref="C37"/>
    </sheetView>
  </sheetViews>
  <sheetFormatPr defaultRowHeight="12.75" x14ac:dyDescent="0.2"/>
  <cols>
    <col min="1" max="1" width="12.7109375" style="66" customWidth="1"/>
    <col min="2" max="7" width="9.140625" style="66"/>
    <col min="8" max="8" width="12.28515625" style="66" bestFit="1" customWidth="1"/>
    <col min="9" max="12" width="9.140625" style="66"/>
    <col min="13" max="13" width="12.7109375" style="66" customWidth="1"/>
    <col min="14" max="16384" width="9.140625" style="66"/>
  </cols>
  <sheetData>
    <row r="5" spans="2:12" ht="23.25" x14ac:dyDescent="0.35">
      <c r="B5" s="194" t="s">
        <v>108</v>
      </c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2:12" ht="13.5" thickBot="1" x14ac:dyDescent="0.25">
      <c r="I6" s="113" t="s">
        <v>98</v>
      </c>
      <c r="J6" s="193" t="str">
        <f t="shared" ref="J6:J11" si="0">VLOOKUP(I6,_TAB01,2,)</f>
        <v>Enter Data on Input Sheet</v>
      </c>
      <c r="K6" s="193"/>
      <c r="L6" s="193"/>
    </row>
    <row r="7" spans="2:12" ht="13.5" thickBot="1" x14ac:dyDescent="0.25">
      <c r="D7" s="115"/>
      <c r="I7" s="113" t="s">
        <v>97</v>
      </c>
      <c r="J7" s="189" t="str">
        <f t="shared" si="0"/>
        <v>Enter Data on Input Sheet</v>
      </c>
      <c r="K7" s="189"/>
      <c r="L7" s="189"/>
    </row>
    <row r="8" spans="2:12" ht="13.5" thickBot="1" x14ac:dyDescent="0.25">
      <c r="D8" s="114"/>
      <c r="I8" s="113" t="s">
        <v>96</v>
      </c>
      <c r="J8" s="189" t="str">
        <f t="shared" si="0"/>
        <v>Enter Data on Input Sheet</v>
      </c>
      <c r="K8" s="189"/>
      <c r="L8" s="189"/>
    </row>
    <row r="9" spans="2:12" ht="13.5" thickBot="1" x14ac:dyDescent="0.25">
      <c r="I9" s="113" t="s">
        <v>94</v>
      </c>
      <c r="J9" s="189" t="str">
        <f t="shared" si="0"/>
        <v>Enter Data on Input Sheet</v>
      </c>
      <c r="K9" s="189"/>
      <c r="L9" s="189"/>
    </row>
    <row r="10" spans="2:12" ht="13.5" thickBot="1" x14ac:dyDescent="0.25">
      <c r="B10" s="113" t="s">
        <v>102</v>
      </c>
      <c r="C10" s="193" t="str">
        <f>VLOOKUP(B10,_TAB01,2,)</f>
        <v>Enter Data on Input Sheet</v>
      </c>
      <c r="D10" s="193"/>
      <c r="E10" s="193"/>
      <c r="I10" s="113" t="s">
        <v>93</v>
      </c>
      <c r="J10" s="189" t="str">
        <f t="shared" si="0"/>
        <v>Enter Data on Input Sheet</v>
      </c>
      <c r="K10" s="189"/>
      <c r="L10" s="189"/>
    </row>
    <row r="11" spans="2:12" ht="13.5" thickBot="1" x14ac:dyDescent="0.25">
      <c r="B11" s="113" t="s">
        <v>95</v>
      </c>
      <c r="C11" s="189" t="str">
        <f>VLOOKUP(B11,_TAB01,2,)</f>
        <v>Enter Data on Input Sheet</v>
      </c>
      <c r="D11" s="189"/>
      <c r="E11" s="189"/>
      <c r="I11" s="113" t="s">
        <v>91</v>
      </c>
      <c r="J11" s="189" t="str">
        <f t="shared" si="0"/>
        <v>Enter Data on Input Sheet</v>
      </c>
      <c r="K11" s="189"/>
      <c r="L11" s="189"/>
    </row>
    <row r="17" spans="2:12" ht="13.5" thickBot="1" x14ac:dyDescent="0.25"/>
    <row r="18" spans="2:12" ht="21" thickBot="1" x14ac:dyDescent="0.25">
      <c r="B18" s="190" t="s">
        <v>107</v>
      </c>
      <c r="C18" s="191"/>
      <c r="D18" s="191"/>
      <c r="E18" s="191"/>
      <c r="F18" s="191"/>
      <c r="G18" s="191"/>
      <c r="H18" s="191"/>
      <c r="I18" s="191"/>
      <c r="J18" s="191"/>
      <c r="K18" s="191"/>
      <c r="L18" s="192"/>
    </row>
    <row r="20" spans="2:12" ht="18" x14ac:dyDescent="0.25">
      <c r="G20" s="112" t="s">
        <v>102</v>
      </c>
      <c r="H20" s="187" t="str">
        <f t="shared" ref="H20:H37" si="1">VLOOKUP(G20,_TAB01,2,)</f>
        <v>Enter Data on Input Sheet</v>
      </c>
      <c r="I20" s="187"/>
      <c r="J20" s="187"/>
      <c r="K20" s="187"/>
      <c r="L20" s="187"/>
    </row>
    <row r="21" spans="2:12" ht="18" x14ac:dyDescent="0.25">
      <c r="G21" s="112" t="s">
        <v>99</v>
      </c>
      <c r="H21" s="187" t="str">
        <f t="shared" si="1"/>
        <v>Enter Data on Input Sheet</v>
      </c>
      <c r="I21" s="187"/>
      <c r="J21" s="187"/>
      <c r="K21" s="187"/>
      <c r="L21" s="187"/>
    </row>
    <row r="22" spans="2:12" ht="18" x14ac:dyDescent="0.25">
      <c r="G22" s="112" t="s">
        <v>98</v>
      </c>
      <c r="H22" s="187" t="str">
        <f t="shared" si="1"/>
        <v>Enter Data on Input Sheet</v>
      </c>
      <c r="I22" s="187"/>
      <c r="J22" s="187"/>
      <c r="K22" s="187"/>
      <c r="L22" s="187"/>
    </row>
    <row r="23" spans="2:12" ht="18" x14ac:dyDescent="0.25">
      <c r="G23" s="112" t="s">
        <v>97</v>
      </c>
      <c r="H23" s="187" t="str">
        <f t="shared" si="1"/>
        <v>Enter Data on Input Sheet</v>
      </c>
      <c r="I23" s="187"/>
      <c r="J23" s="187"/>
      <c r="K23" s="187"/>
      <c r="L23" s="187"/>
    </row>
    <row r="24" spans="2:12" ht="18" x14ac:dyDescent="0.25">
      <c r="G24" s="112" t="s">
        <v>96</v>
      </c>
      <c r="H24" s="187" t="str">
        <f t="shared" si="1"/>
        <v>Enter Data on Input Sheet</v>
      </c>
      <c r="I24" s="187"/>
      <c r="J24" s="187"/>
      <c r="K24" s="187"/>
      <c r="L24" s="187"/>
    </row>
    <row r="25" spans="2:12" ht="18" x14ac:dyDescent="0.25">
      <c r="G25" s="111" t="s">
        <v>95</v>
      </c>
      <c r="H25" s="187" t="str">
        <f t="shared" si="1"/>
        <v>Enter Data on Input Sheet</v>
      </c>
      <c r="I25" s="187"/>
      <c r="J25" s="187"/>
      <c r="K25" s="187"/>
      <c r="L25" s="187"/>
    </row>
    <row r="26" spans="2:12" ht="18" x14ac:dyDescent="0.25">
      <c r="G26" s="112" t="s">
        <v>94</v>
      </c>
      <c r="H26" s="187" t="str">
        <f t="shared" si="1"/>
        <v>Enter Data on Input Sheet</v>
      </c>
      <c r="I26" s="187"/>
      <c r="J26" s="187"/>
      <c r="K26" s="187"/>
      <c r="L26" s="187"/>
    </row>
    <row r="27" spans="2:12" ht="18" x14ac:dyDescent="0.25">
      <c r="G27" s="112" t="s">
        <v>93</v>
      </c>
      <c r="H27" s="187" t="str">
        <f t="shared" si="1"/>
        <v>Enter Data on Input Sheet</v>
      </c>
      <c r="I27" s="187"/>
      <c r="J27" s="187"/>
      <c r="K27" s="187"/>
      <c r="L27" s="187"/>
    </row>
    <row r="28" spans="2:12" ht="18" x14ac:dyDescent="0.25">
      <c r="G28" s="111" t="s">
        <v>84</v>
      </c>
      <c r="H28" s="187" t="str">
        <f t="shared" si="1"/>
        <v>Enter Data on Input Sheet</v>
      </c>
      <c r="I28" s="187"/>
      <c r="J28" s="187"/>
      <c r="K28" s="187"/>
      <c r="L28" s="187"/>
    </row>
    <row r="29" spans="2:12" ht="18" x14ac:dyDescent="0.25">
      <c r="G29" s="111" t="s">
        <v>83</v>
      </c>
      <c r="H29" s="187" t="str">
        <f t="shared" si="1"/>
        <v>Enter Data on Input Sheet</v>
      </c>
      <c r="I29" s="187"/>
      <c r="J29" s="187"/>
      <c r="K29" s="187"/>
      <c r="L29" s="187"/>
    </row>
    <row r="30" spans="2:12" ht="18" x14ac:dyDescent="0.25">
      <c r="G30" s="111" t="s">
        <v>82</v>
      </c>
      <c r="H30" s="187" t="str">
        <f t="shared" si="1"/>
        <v>Enter Data on Input Sheet</v>
      </c>
      <c r="I30" s="187"/>
      <c r="J30" s="187"/>
      <c r="K30" s="187"/>
      <c r="L30" s="187"/>
    </row>
    <row r="31" spans="2:12" ht="18" x14ac:dyDescent="0.25">
      <c r="G31" s="111" t="s">
        <v>81</v>
      </c>
      <c r="H31" s="187" t="str">
        <f t="shared" si="1"/>
        <v>Enter Data on Input Sheet</v>
      </c>
      <c r="I31" s="187"/>
      <c r="J31" s="187"/>
      <c r="K31" s="187"/>
      <c r="L31" s="187"/>
    </row>
    <row r="32" spans="2:12" ht="18" x14ac:dyDescent="0.25">
      <c r="G32" s="111" t="s">
        <v>80</v>
      </c>
      <c r="H32" s="187" t="str">
        <f t="shared" si="1"/>
        <v>Enter Data on Input Sheet</v>
      </c>
      <c r="I32" s="187"/>
      <c r="J32" s="187"/>
      <c r="K32" s="187"/>
      <c r="L32" s="187"/>
    </row>
    <row r="33" spans="7:12" ht="18" x14ac:dyDescent="0.25">
      <c r="G33" s="111" t="s">
        <v>79</v>
      </c>
      <c r="H33" s="187" t="str">
        <f t="shared" si="1"/>
        <v>Enter Data on Input Sheet</v>
      </c>
      <c r="I33" s="187"/>
      <c r="J33" s="187"/>
      <c r="K33" s="187"/>
      <c r="L33" s="187"/>
    </row>
    <row r="34" spans="7:12" ht="18" x14ac:dyDescent="0.25">
      <c r="G34" s="111" t="s">
        <v>78</v>
      </c>
      <c r="H34" s="187" t="str">
        <f t="shared" si="1"/>
        <v>Enter Data on Input Sheet</v>
      </c>
      <c r="I34" s="187"/>
      <c r="J34" s="187"/>
      <c r="K34" s="187"/>
      <c r="L34" s="187"/>
    </row>
    <row r="35" spans="7:12" ht="18" x14ac:dyDescent="0.25">
      <c r="G35" s="111" t="s">
        <v>76</v>
      </c>
      <c r="H35" s="187" t="str">
        <f t="shared" si="1"/>
        <v>Enter Data on Input Sheet</v>
      </c>
      <c r="I35" s="187"/>
      <c r="J35" s="187"/>
      <c r="K35" s="187"/>
      <c r="L35" s="187"/>
    </row>
    <row r="36" spans="7:12" ht="18" x14ac:dyDescent="0.25">
      <c r="G36" s="111" t="s">
        <v>71</v>
      </c>
      <c r="H36" s="188" t="str">
        <f t="shared" si="1"/>
        <v>Enter Data on Input Sheet</v>
      </c>
      <c r="I36" s="188"/>
      <c r="J36" s="188"/>
      <c r="K36" s="188"/>
      <c r="L36" s="188"/>
    </row>
    <row r="37" spans="7:12" ht="18" x14ac:dyDescent="0.25">
      <c r="G37" s="111" t="s">
        <v>70</v>
      </c>
      <c r="H37" s="188" t="str">
        <f t="shared" si="1"/>
        <v>Enter Data on Input Sheet</v>
      </c>
      <c r="I37" s="188"/>
      <c r="J37" s="188"/>
      <c r="K37" s="188"/>
      <c r="L37" s="188"/>
    </row>
  </sheetData>
  <mergeCells count="28">
    <mergeCell ref="C10:E10"/>
    <mergeCell ref="H21:L21"/>
    <mergeCell ref="B5:L5"/>
    <mergeCell ref="J6:L6"/>
    <mergeCell ref="J7:L7"/>
    <mergeCell ref="J8:L8"/>
    <mergeCell ref="J9:L9"/>
    <mergeCell ref="J10:L10"/>
    <mergeCell ref="H27:L27"/>
    <mergeCell ref="C11:E11"/>
    <mergeCell ref="J11:L11"/>
    <mergeCell ref="B18:L18"/>
    <mergeCell ref="H20:L20"/>
    <mergeCell ref="H22:L22"/>
    <mergeCell ref="H23:L23"/>
    <mergeCell ref="H24:L24"/>
    <mergeCell ref="H25:L25"/>
    <mergeCell ref="H26:L26"/>
    <mergeCell ref="H34:L34"/>
    <mergeCell ref="H37:L37"/>
    <mergeCell ref="H35:L35"/>
    <mergeCell ref="H36:L36"/>
    <mergeCell ref="H28:L28"/>
    <mergeCell ref="H29:L29"/>
    <mergeCell ref="H30:L30"/>
    <mergeCell ref="H31:L31"/>
    <mergeCell ref="H32:L32"/>
    <mergeCell ref="H33:L33"/>
  </mergeCells>
  <printOptions horizontalCentered="1"/>
  <pageMargins left="0.7" right="0.7" top="0.75" bottom="0.75" header="0.3" footer="0.3"/>
  <pageSetup scale="70" fitToHeight="2" orientation="portrait" r:id="rId1"/>
  <rowBreaks count="1" manualBreakCount="1">
    <brk id="16" max="1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K643"/>
  <sheetViews>
    <sheetView zoomScaleNormal="100" workbookViewId="0">
      <selection activeCell="D26" sqref="D25:D26"/>
    </sheetView>
  </sheetViews>
  <sheetFormatPr defaultRowHeight="12.75" x14ac:dyDescent="0.2"/>
  <cols>
    <col min="1" max="1" width="1.42578125" style="66" customWidth="1"/>
    <col min="2" max="2" width="11.5703125" style="66" bestFit="1" customWidth="1"/>
    <col min="3" max="3" width="15.7109375" style="66" customWidth="1"/>
    <col min="4" max="4" width="70.7109375" style="66" customWidth="1"/>
    <col min="5" max="6" width="10.7109375" style="66" customWidth="1"/>
    <col min="7" max="11" width="15.7109375" style="66" customWidth="1"/>
    <col min="12" max="16384" width="9.140625" style="66"/>
  </cols>
  <sheetData>
    <row r="2" spans="2:11" x14ac:dyDescent="0.2">
      <c r="C2" s="72" t="s">
        <v>123</v>
      </c>
    </row>
    <row r="3" spans="2:11" x14ac:dyDescent="0.2">
      <c r="C3" s="72" t="s">
        <v>122</v>
      </c>
    </row>
    <row r="4" spans="2:11" x14ac:dyDescent="0.2">
      <c r="C4" s="72" t="s">
        <v>121</v>
      </c>
    </row>
    <row r="5" spans="2:11" x14ac:dyDescent="0.2">
      <c r="C5" s="72" t="s">
        <v>120</v>
      </c>
    </row>
    <row r="6" spans="2:11" ht="13.5" thickBot="1" x14ac:dyDescent="0.25">
      <c r="C6" s="72"/>
    </row>
    <row r="7" spans="2:11" x14ac:dyDescent="0.2">
      <c r="C7" s="135" t="s">
        <v>119</v>
      </c>
      <c r="D7" s="134" t="s">
        <v>118</v>
      </c>
    </row>
    <row r="8" spans="2:11" x14ac:dyDescent="0.2">
      <c r="C8" s="133">
        <v>1</v>
      </c>
      <c r="D8" s="132"/>
    </row>
    <row r="9" spans="2:11" x14ac:dyDescent="0.2">
      <c r="C9" s="133">
        <v>2</v>
      </c>
      <c r="D9" s="132"/>
    </row>
    <row r="10" spans="2:11" x14ac:dyDescent="0.2">
      <c r="C10" s="133">
        <v>3</v>
      </c>
      <c r="D10" s="132"/>
    </row>
    <row r="11" spans="2:11" x14ac:dyDescent="0.2">
      <c r="C11" s="133">
        <v>4</v>
      </c>
      <c r="D11" s="132"/>
    </row>
    <row r="12" spans="2:11" ht="13.5" thickBot="1" x14ac:dyDescent="0.25">
      <c r="C12" s="131">
        <v>5</v>
      </c>
      <c r="D12" s="130"/>
    </row>
    <row r="13" spans="2:11" ht="13.5" thickBot="1" x14ac:dyDescent="0.25">
      <c r="E13" s="129"/>
      <c r="F13" s="129"/>
      <c r="G13" s="195" t="s">
        <v>117</v>
      </c>
      <c r="H13" s="196"/>
      <c r="I13" s="196"/>
      <c r="J13" s="196"/>
      <c r="K13" s="197"/>
    </row>
    <row r="14" spans="2:11" s="67" customFormat="1" ht="26.25" thickBot="1" x14ac:dyDescent="0.25">
      <c r="B14" s="128" t="s">
        <v>116</v>
      </c>
      <c r="C14" s="127" t="s">
        <v>115</v>
      </c>
      <c r="D14" s="127" t="s">
        <v>114</v>
      </c>
      <c r="E14" s="127" t="s">
        <v>113</v>
      </c>
      <c r="F14" s="127" t="s">
        <v>112</v>
      </c>
      <c r="G14" s="127" t="s">
        <v>6</v>
      </c>
      <c r="H14" s="127" t="s">
        <v>111</v>
      </c>
      <c r="I14" s="127" t="s">
        <v>110</v>
      </c>
      <c r="J14" s="127" t="s">
        <v>109</v>
      </c>
      <c r="K14" s="126" t="s">
        <v>7</v>
      </c>
    </row>
    <row r="15" spans="2:11" s="67" customFormat="1" x14ac:dyDescent="0.2">
      <c r="B15" s="125"/>
      <c r="C15" s="123"/>
      <c r="D15" s="123"/>
      <c r="E15" s="123"/>
      <c r="F15" s="123"/>
      <c r="G15" s="123"/>
      <c r="H15" s="124"/>
      <c r="I15" s="123"/>
      <c r="J15" s="123"/>
      <c r="K15" s="122"/>
    </row>
    <row r="16" spans="2:11" s="67" customFormat="1" x14ac:dyDescent="0.2">
      <c r="B16" s="121"/>
      <c r="C16" s="120"/>
      <c r="D16" s="120"/>
      <c r="E16" s="120"/>
      <c r="F16" s="120"/>
      <c r="G16" s="120"/>
      <c r="H16" s="120"/>
      <c r="I16" s="120"/>
      <c r="J16" s="120"/>
      <c r="K16" s="119"/>
    </row>
    <row r="17" spans="2:11" s="67" customFormat="1" x14ac:dyDescent="0.2">
      <c r="B17" s="121"/>
      <c r="C17" s="120"/>
      <c r="D17" s="120"/>
      <c r="E17" s="120"/>
      <c r="F17" s="120"/>
      <c r="G17" s="120"/>
      <c r="H17" s="120"/>
      <c r="I17" s="120"/>
      <c r="J17" s="120"/>
      <c r="K17" s="119"/>
    </row>
    <row r="18" spans="2:11" s="67" customFormat="1" x14ac:dyDescent="0.2">
      <c r="B18" s="121"/>
      <c r="C18" s="120"/>
      <c r="D18" s="120"/>
      <c r="E18" s="120"/>
      <c r="F18" s="120"/>
      <c r="G18" s="120"/>
      <c r="H18" s="120"/>
      <c r="I18" s="120"/>
      <c r="J18" s="120"/>
      <c r="K18" s="119"/>
    </row>
    <row r="19" spans="2:11" s="67" customFormat="1" x14ac:dyDescent="0.2">
      <c r="B19" s="121"/>
      <c r="C19" s="120"/>
      <c r="D19" s="120"/>
      <c r="E19" s="120"/>
      <c r="F19" s="120"/>
      <c r="G19" s="120"/>
      <c r="H19" s="120"/>
      <c r="I19" s="120"/>
      <c r="J19" s="120"/>
      <c r="K19" s="119"/>
    </row>
    <row r="20" spans="2:11" s="67" customFormat="1" x14ac:dyDescent="0.2">
      <c r="B20" s="121"/>
      <c r="C20" s="120"/>
      <c r="D20" s="120"/>
      <c r="E20" s="120"/>
      <c r="F20" s="120"/>
      <c r="G20" s="120"/>
      <c r="H20" s="120"/>
      <c r="I20" s="120"/>
      <c r="J20" s="120"/>
      <c r="K20" s="119"/>
    </row>
    <row r="21" spans="2:11" s="67" customFormat="1" x14ac:dyDescent="0.2">
      <c r="B21" s="121"/>
      <c r="C21" s="120"/>
      <c r="D21" s="120"/>
      <c r="E21" s="120"/>
      <c r="F21" s="120"/>
      <c r="G21" s="120"/>
      <c r="H21" s="120"/>
      <c r="I21" s="120"/>
      <c r="J21" s="120"/>
      <c r="K21" s="119"/>
    </row>
    <row r="22" spans="2:11" s="67" customFormat="1" x14ac:dyDescent="0.2">
      <c r="B22" s="121"/>
      <c r="C22" s="120"/>
      <c r="D22" s="120"/>
      <c r="E22" s="120"/>
      <c r="F22" s="120"/>
      <c r="G22" s="120"/>
      <c r="H22" s="120"/>
      <c r="I22" s="120"/>
      <c r="J22" s="120"/>
      <c r="K22" s="119"/>
    </row>
    <row r="23" spans="2:11" s="67" customFormat="1" x14ac:dyDescent="0.2">
      <c r="B23" s="121"/>
      <c r="C23" s="120"/>
      <c r="D23" s="120"/>
      <c r="E23" s="120"/>
      <c r="F23" s="120"/>
      <c r="G23" s="120"/>
      <c r="H23" s="120"/>
      <c r="I23" s="120"/>
      <c r="J23" s="120"/>
      <c r="K23" s="119"/>
    </row>
    <row r="24" spans="2:11" s="67" customFormat="1" x14ac:dyDescent="0.2">
      <c r="B24" s="121"/>
      <c r="C24" s="120"/>
      <c r="D24" s="120"/>
      <c r="E24" s="120"/>
      <c r="F24" s="120"/>
      <c r="G24" s="120"/>
      <c r="H24" s="120"/>
      <c r="I24" s="120"/>
      <c r="J24" s="120"/>
      <c r="K24" s="119"/>
    </row>
    <row r="25" spans="2:11" s="67" customFormat="1" x14ac:dyDescent="0.2">
      <c r="B25" s="121"/>
      <c r="C25" s="120"/>
      <c r="D25" s="120"/>
      <c r="E25" s="120"/>
      <c r="F25" s="120"/>
      <c r="G25" s="120"/>
      <c r="H25" s="120"/>
      <c r="I25" s="120"/>
      <c r="J25" s="120"/>
      <c r="K25" s="119"/>
    </row>
    <row r="26" spans="2:11" s="67" customFormat="1" x14ac:dyDescent="0.2">
      <c r="B26" s="121"/>
      <c r="C26" s="120"/>
      <c r="D26" s="120"/>
      <c r="E26" s="120"/>
      <c r="F26" s="120"/>
      <c r="G26" s="120"/>
      <c r="H26" s="120"/>
      <c r="I26" s="120"/>
      <c r="J26" s="120"/>
      <c r="K26" s="119"/>
    </row>
    <row r="27" spans="2:11" s="67" customFormat="1" x14ac:dyDescent="0.2">
      <c r="B27" s="121"/>
      <c r="C27" s="120"/>
      <c r="D27" s="120"/>
      <c r="E27" s="120"/>
      <c r="F27" s="120"/>
      <c r="G27" s="120"/>
      <c r="H27" s="120"/>
      <c r="I27" s="120"/>
      <c r="J27" s="120"/>
      <c r="K27" s="119"/>
    </row>
    <row r="28" spans="2:11" s="67" customFormat="1" x14ac:dyDescent="0.2">
      <c r="B28" s="121"/>
      <c r="C28" s="120"/>
      <c r="D28" s="120"/>
      <c r="E28" s="120"/>
      <c r="F28" s="120"/>
      <c r="G28" s="120"/>
      <c r="H28" s="120"/>
      <c r="I28" s="120"/>
      <c r="J28" s="120"/>
      <c r="K28" s="119"/>
    </row>
    <row r="29" spans="2:11" s="67" customFormat="1" x14ac:dyDescent="0.2">
      <c r="B29" s="121"/>
      <c r="C29" s="120"/>
      <c r="D29" s="120"/>
      <c r="E29" s="120"/>
      <c r="F29" s="120"/>
      <c r="G29" s="120"/>
      <c r="H29" s="120"/>
      <c r="I29" s="120"/>
      <c r="J29" s="120"/>
      <c r="K29" s="119"/>
    </row>
    <row r="30" spans="2:11" s="67" customFormat="1" x14ac:dyDescent="0.2">
      <c r="B30" s="121"/>
      <c r="C30" s="120"/>
      <c r="D30" s="120"/>
      <c r="E30" s="120"/>
      <c r="F30" s="120"/>
      <c r="G30" s="120"/>
      <c r="H30" s="120"/>
      <c r="I30" s="120"/>
      <c r="J30" s="120"/>
      <c r="K30" s="119"/>
    </row>
    <row r="31" spans="2:11" s="67" customFormat="1" x14ac:dyDescent="0.2">
      <c r="B31" s="121"/>
      <c r="C31" s="120"/>
      <c r="D31" s="120"/>
      <c r="E31" s="120"/>
      <c r="F31" s="120"/>
      <c r="G31" s="120"/>
      <c r="H31" s="120"/>
      <c r="I31" s="120"/>
      <c r="J31" s="120"/>
      <c r="K31" s="119"/>
    </row>
    <row r="32" spans="2:11" s="67" customFormat="1" x14ac:dyDescent="0.2">
      <c r="B32" s="121"/>
      <c r="C32" s="120"/>
      <c r="D32" s="120"/>
      <c r="E32" s="120"/>
      <c r="F32" s="120"/>
      <c r="G32" s="120"/>
      <c r="H32" s="120"/>
      <c r="I32" s="120"/>
      <c r="J32" s="120"/>
      <c r="K32" s="119"/>
    </row>
    <row r="33" spans="2:11" s="67" customFormat="1" x14ac:dyDescent="0.2">
      <c r="B33" s="121"/>
      <c r="C33" s="120"/>
      <c r="D33" s="120"/>
      <c r="E33" s="120"/>
      <c r="F33" s="120"/>
      <c r="G33" s="120"/>
      <c r="H33" s="120"/>
      <c r="I33" s="120"/>
      <c r="J33" s="120"/>
      <c r="K33" s="119"/>
    </row>
    <row r="34" spans="2:11" s="67" customFormat="1" x14ac:dyDescent="0.2">
      <c r="B34" s="121"/>
      <c r="C34" s="120"/>
      <c r="D34" s="120"/>
      <c r="E34" s="120"/>
      <c r="F34" s="120"/>
      <c r="G34" s="120"/>
      <c r="H34" s="120"/>
      <c r="I34" s="120"/>
      <c r="J34" s="120"/>
      <c r="K34" s="119"/>
    </row>
    <row r="35" spans="2:11" s="67" customFormat="1" x14ac:dyDescent="0.2">
      <c r="B35" s="121"/>
      <c r="C35" s="120"/>
      <c r="D35" s="120"/>
      <c r="E35" s="120"/>
      <c r="F35" s="120"/>
      <c r="G35" s="120"/>
      <c r="H35" s="120"/>
      <c r="I35" s="120"/>
      <c r="J35" s="120"/>
      <c r="K35" s="119"/>
    </row>
    <row r="36" spans="2:11" s="67" customFormat="1" x14ac:dyDescent="0.2">
      <c r="B36" s="121"/>
      <c r="C36" s="120"/>
      <c r="D36" s="120"/>
      <c r="E36" s="120"/>
      <c r="F36" s="120"/>
      <c r="G36" s="120"/>
      <c r="H36" s="120"/>
      <c r="I36" s="120"/>
      <c r="J36" s="120"/>
      <c r="K36" s="119"/>
    </row>
    <row r="37" spans="2:11" s="67" customFormat="1" x14ac:dyDescent="0.2">
      <c r="B37" s="121"/>
      <c r="C37" s="120"/>
      <c r="D37" s="120"/>
      <c r="E37" s="120"/>
      <c r="F37" s="120"/>
      <c r="G37" s="120"/>
      <c r="H37" s="120"/>
      <c r="I37" s="120"/>
      <c r="J37" s="120"/>
      <c r="K37" s="119"/>
    </row>
    <row r="38" spans="2:11" s="67" customFormat="1" x14ac:dyDescent="0.2">
      <c r="B38" s="121"/>
      <c r="C38" s="120"/>
      <c r="D38" s="120"/>
      <c r="E38" s="120"/>
      <c r="F38" s="120"/>
      <c r="G38" s="120"/>
      <c r="H38" s="120"/>
      <c r="I38" s="120"/>
      <c r="J38" s="120"/>
      <c r="K38" s="119"/>
    </row>
    <row r="39" spans="2:11" s="67" customFormat="1" x14ac:dyDescent="0.2">
      <c r="B39" s="121"/>
      <c r="C39" s="120"/>
      <c r="D39" s="120"/>
      <c r="E39" s="120"/>
      <c r="F39" s="120"/>
      <c r="G39" s="120"/>
      <c r="H39" s="120"/>
      <c r="I39" s="120"/>
      <c r="J39" s="120"/>
      <c r="K39" s="119"/>
    </row>
    <row r="40" spans="2:11" s="67" customFormat="1" x14ac:dyDescent="0.2">
      <c r="B40" s="121"/>
      <c r="C40" s="120"/>
      <c r="D40" s="120"/>
      <c r="E40" s="120"/>
      <c r="F40" s="120"/>
      <c r="G40" s="120"/>
      <c r="H40" s="120"/>
      <c r="I40" s="120"/>
      <c r="J40" s="120"/>
      <c r="K40" s="119"/>
    </row>
    <row r="41" spans="2:11" s="67" customFormat="1" x14ac:dyDescent="0.2">
      <c r="B41" s="121"/>
      <c r="C41" s="120"/>
      <c r="D41" s="120"/>
      <c r="E41" s="120"/>
      <c r="F41" s="120"/>
      <c r="G41" s="120"/>
      <c r="H41" s="120"/>
      <c r="I41" s="120"/>
      <c r="J41" s="120"/>
      <c r="K41" s="119"/>
    </row>
    <row r="42" spans="2:11" s="67" customFormat="1" x14ac:dyDescent="0.2">
      <c r="B42" s="121"/>
      <c r="C42" s="120"/>
      <c r="D42" s="120"/>
      <c r="E42" s="120"/>
      <c r="F42" s="120"/>
      <c r="G42" s="120"/>
      <c r="H42" s="120"/>
      <c r="I42" s="120"/>
      <c r="J42" s="120"/>
      <c r="K42" s="119"/>
    </row>
    <row r="43" spans="2:11" s="67" customFormat="1" x14ac:dyDescent="0.2">
      <c r="B43" s="121"/>
      <c r="C43" s="120"/>
      <c r="D43" s="120"/>
      <c r="E43" s="120"/>
      <c r="F43" s="120"/>
      <c r="G43" s="120"/>
      <c r="H43" s="120"/>
      <c r="I43" s="120"/>
      <c r="J43" s="120"/>
      <c r="K43" s="119"/>
    </row>
    <row r="44" spans="2:11" s="67" customFormat="1" x14ac:dyDescent="0.2">
      <c r="B44" s="121"/>
      <c r="C44" s="120"/>
      <c r="D44" s="120"/>
      <c r="E44" s="120"/>
      <c r="F44" s="120"/>
      <c r="G44" s="120"/>
      <c r="H44" s="120"/>
      <c r="I44" s="120"/>
      <c r="J44" s="120"/>
      <c r="K44" s="119"/>
    </row>
    <row r="45" spans="2:11" s="67" customFormat="1" x14ac:dyDescent="0.2">
      <c r="B45" s="121"/>
      <c r="C45" s="120"/>
      <c r="D45" s="120"/>
      <c r="E45" s="120"/>
      <c r="F45" s="120"/>
      <c r="G45" s="120"/>
      <c r="H45" s="120"/>
      <c r="I45" s="120"/>
      <c r="J45" s="120"/>
      <c r="K45" s="119"/>
    </row>
    <row r="46" spans="2:11" s="67" customFormat="1" ht="13.5" thickBot="1" x14ac:dyDescent="0.25">
      <c r="B46" s="118"/>
      <c r="C46" s="117"/>
      <c r="D46" s="117"/>
      <c r="E46" s="117"/>
      <c r="F46" s="117"/>
      <c r="G46" s="117"/>
      <c r="H46" s="117"/>
      <c r="I46" s="117"/>
      <c r="J46" s="117"/>
      <c r="K46" s="116"/>
    </row>
    <row r="47" spans="2:11" s="67" customFormat="1" x14ac:dyDescent="0.2"/>
    <row r="48" spans="2:11" s="67" customFormat="1" x14ac:dyDescent="0.2"/>
    <row r="49" s="67" customFormat="1" x14ac:dyDescent="0.2"/>
    <row r="50" s="67" customFormat="1" x14ac:dyDescent="0.2"/>
    <row r="51" s="67" customFormat="1" x14ac:dyDescent="0.2"/>
    <row r="52" s="67" customFormat="1" x14ac:dyDescent="0.2"/>
    <row r="53" s="67" customFormat="1" x14ac:dyDescent="0.2"/>
    <row r="54" s="67" customFormat="1" x14ac:dyDescent="0.2"/>
    <row r="55" s="67" customFormat="1" x14ac:dyDescent="0.2"/>
    <row r="56" s="67" customFormat="1" x14ac:dyDescent="0.2"/>
    <row r="57" s="67" customFormat="1" x14ac:dyDescent="0.2"/>
    <row r="58" s="67" customFormat="1" x14ac:dyDescent="0.2"/>
    <row r="59" s="67" customFormat="1" x14ac:dyDescent="0.2"/>
    <row r="60" s="67" customFormat="1" x14ac:dyDescent="0.2"/>
    <row r="61" s="67" customFormat="1" x14ac:dyDescent="0.2"/>
    <row r="62" s="67" customFormat="1" x14ac:dyDescent="0.2"/>
    <row r="63" s="67" customFormat="1" x14ac:dyDescent="0.2"/>
    <row r="64" s="67" customFormat="1" x14ac:dyDescent="0.2"/>
    <row r="65" s="67" customFormat="1" x14ac:dyDescent="0.2"/>
    <row r="66" s="67" customFormat="1" x14ac:dyDescent="0.2"/>
    <row r="67" s="67" customFormat="1" x14ac:dyDescent="0.2"/>
    <row r="68" s="67" customFormat="1" x14ac:dyDescent="0.2"/>
    <row r="69" s="67" customFormat="1" x14ac:dyDescent="0.2"/>
    <row r="70" s="67" customFormat="1" x14ac:dyDescent="0.2"/>
    <row r="71" s="67" customFormat="1" x14ac:dyDescent="0.2"/>
    <row r="72" s="67" customFormat="1" x14ac:dyDescent="0.2"/>
    <row r="73" s="67" customFormat="1" x14ac:dyDescent="0.2"/>
    <row r="74" s="67" customFormat="1" x14ac:dyDescent="0.2"/>
    <row r="75" s="67" customFormat="1" x14ac:dyDescent="0.2"/>
    <row r="76" s="67" customFormat="1" x14ac:dyDescent="0.2"/>
    <row r="77" s="67" customFormat="1" x14ac:dyDescent="0.2"/>
    <row r="78" s="67" customFormat="1" x14ac:dyDescent="0.2"/>
    <row r="79" s="67" customFormat="1" x14ac:dyDescent="0.2"/>
    <row r="80" s="67" customFormat="1" x14ac:dyDescent="0.2"/>
    <row r="81" s="67" customFormat="1" x14ac:dyDescent="0.2"/>
    <row r="82" s="67" customFormat="1" x14ac:dyDescent="0.2"/>
    <row r="83" s="67" customFormat="1" x14ac:dyDescent="0.2"/>
    <row r="84" s="67" customFormat="1" x14ac:dyDescent="0.2"/>
    <row r="85" s="67" customFormat="1" x14ac:dyDescent="0.2"/>
    <row r="86" s="67" customFormat="1" x14ac:dyDescent="0.2"/>
    <row r="87" s="67" customFormat="1" x14ac:dyDescent="0.2"/>
    <row r="88" s="67" customFormat="1" x14ac:dyDescent="0.2"/>
    <row r="89" s="67" customFormat="1" x14ac:dyDescent="0.2"/>
    <row r="90" s="67" customFormat="1" x14ac:dyDescent="0.2"/>
    <row r="91" s="67" customFormat="1" x14ac:dyDescent="0.2"/>
    <row r="92" s="67" customFormat="1" x14ac:dyDescent="0.2"/>
    <row r="93" s="67" customFormat="1" x14ac:dyDescent="0.2"/>
    <row r="94" s="67" customFormat="1" x14ac:dyDescent="0.2"/>
    <row r="95" s="67" customFormat="1" x14ac:dyDescent="0.2"/>
    <row r="96" s="67" customFormat="1" x14ac:dyDescent="0.2"/>
    <row r="97" s="67" customFormat="1" x14ac:dyDescent="0.2"/>
    <row r="98" s="67" customFormat="1" x14ac:dyDescent="0.2"/>
    <row r="99" s="67" customFormat="1" x14ac:dyDescent="0.2"/>
    <row r="100" s="67" customFormat="1" x14ac:dyDescent="0.2"/>
    <row r="101" s="67" customFormat="1" x14ac:dyDescent="0.2"/>
    <row r="102" s="67" customFormat="1" x14ac:dyDescent="0.2"/>
    <row r="103" s="67" customFormat="1" x14ac:dyDescent="0.2"/>
    <row r="104" s="67" customFormat="1" x14ac:dyDescent="0.2"/>
    <row r="105" s="67" customFormat="1" x14ac:dyDescent="0.2"/>
    <row r="106" s="67" customFormat="1" x14ac:dyDescent="0.2"/>
    <row r="107" s="67" customFormat="1" x14ac:dyDescent="0.2"/>
    <row r="108" s="67" customFormat="1" x14ac:dyDescent="0.2"/>
    <row r="109" s="67" customFormat="1" x14ac:dyDescent="0.2"/>
    <row r="110" s="67" customFormat="1" x14ac:dyDescent="0.2"/>
    <row r="111" s="67" customFormat="1" x14ac:dyDescent="0.2"/>
    <row r="112" s="67" customFormat="1" x14ac:dyDescent="0.2"/>
    <row r="113" s="67" customFormat="1" x14ac:dyDescent="0.2"/>
    <row r="114" s="67" customFormat="1" x14ac:dyDescent="0.2"/>
    <row r="115" s="67" customFormat="1" x14ac:dyDescent="0.2"/>
    <row r="116" s="67" customFormat="1" x14ac:dyDescent="0.2"/>
    <row r="117" s="67" customFormat="1" x14ac:dyDescent="0.2"/>
    <row r="118" s="67" customFormat="1" x14ac:dyDescent="0.2"/>
    <row r="119" s="67" customFormat="1" x14ac:dyDescent="0.2"/>
    <row r="120" s="67" customFormat="1" x14ac:dyDescent="0.2"/>
    <row r="121" s="67" customFormat="1" x14ac:dyDescent="0.2"/>
    <row r="122" s="67" customFormat="1" x14ac:dyDescent="0.2"/>
    <row r="123" s="67" customFormat="1" x14ac:dyDescent="0.2"/>
    <row r="124" s="67" customFormat="1" x14ac:dyDescent="0.2"/>
    <row r="125" s="67" customFormat="1" x14ac:dyDescent="0.2"/>
    <row r="126" s="67" customFormat="1" x14ac:dyDescent="0.2"/>
    <row r="127" s="67" customFormat="1" x14ac:dyDescent="0.2"/>
    <row r="128" s="67" customFormat="1" x14ac:dyDescent="0.2"/>
    <row r="129" s="67" customFormat="1" x14ac:dyDescent="0.2"/>
    <row r="130" s="67" customFormat="1" x14ac:dyDescent="0.2"/>
    <row r="131" s="67" customFormat="1" x14ac:dyDescent="0.2"/>
    <row r="132" s="67" customFormat="1" x14ac:dyDescent="0.2"/>
    <row r="133" s="67" customFormat="1" x14ac:dyDescent="0.2"/>
    <row r="134" s="67" customFormat="1" x14ac:dyDescent="0.2"/>
    <row r="135" s="67" customFormat="1" x14ac:dyDescent="0.2"/>
    <row r="136" s="67" customFormat="1" x14ac:dyDescent="0.2"/>
    <row r="137" s="67" customFormat="1" x14ac:dyDescent="0.2"/>
    <row r="138" s="67" customFormat="1" x14ac:dyDescent="0.2"/>
    <row r="139" s="67" customFormat="1" x14ac:dyDescent="0.2"/>
    <row r="140" s="67" customFormat="1" x14ac:dyDescent="0.2"/>
    <row r="141" s="67" customFormat="1" x14ac:dyDescent="0.2"/>
    <row r="142" s="67" customFormat="1" x14ac:dyDescent="0.2"/>
    <row r="143" s="67" customFormat="1" x14ac:dyDescent="0.2"/>
    <row r="144" s="67" customFormat="1" x14ac:dyDescent="0.2"/>
    <row r="145" s="67" customFormat="1" x14ac:dyDescent="0.2"/>
    <row r="146" s="67" customFormat="1" x14ac:dyDescent="0.2"/>
    <row r="147" s="67" customFormat="1" x14ac:dyDescent="0.2"/>
    <row r="148" s="67" customFormat="1" x14ac:dyDescent="0.2"/>
    <row r="149" s="67" customFormat="1" x14ac:dyDescent="0.2"/>
    <row r="150" s="67" customFormat="1" x14ac:dyDescent="0.2"/>
    <row r="151" s="67" customFormat="1" x14ac:dyDescent="0.2"/>
    <row r="152" s="67" customFormat="1" x14ac:dyDescent="0.2"/>
    <row r="153" s="67" customFormat="1" x14ac:dyDescent="0.2"/>
    <row r="154" s="67" customFormat="1" x14ac:dyDescent="0.2"/>
    <row r="155" s="67" customFormat="1" x14ac:dyDescent="0.2"/>
    <row r="156" s="67" customFormat="1" x14ac:dyDescent="0.2"/>
    <row r="157" s="67" customFormat="1" x14ac:dyDescent="0.2"/>
    <row r="158" s="67" customFormat="1" x14ac:dyDescent="0.2"/>
    <row r="159" s="67" customFormat="1" x14ac:dyDescent="0.2"/>
    <row r="160" s="67" customFormat="1" x14ac:dyDescent="0.2"/>
    <row r="161" s="67" customFormat="1" x14ac:dyDescent="0.2"/>
    <row r="162" s="67" customFormat="1" x14ac:dyDescent="0.2"/>
    <row r="163" s="67" customFormat="1" x14ac:dyDescent="0.2"/>
    <row r="164" s="67" customFormat="1" x14ac:dyDescent="0.2"/>
    <row r="165" s="67" customFormat="1" x14ac:dyDescent="0.2"/>
    <row r="166" s="67" customFormat="1" x14ac:dyDescent="0.2"/>
    <row r="167" s="67" customFormat="1" x14ac:dyDescent="0.2"/>
    <row r="168" s="67" customFormat="1" x14ac:dyDescent="0.2"/>
    <row r="169" s="67" customFormat="1" x14ac:dyDescent="0.2"/>
    <row r="170" s="67" customFormat="1" x14ac:dyDescent="0.2"/>
    <row r="171" s="67" customFormat="1" x14ac:dyDescent="0.2"/>
    <row r="172" s="67" customFormat="1" x14ac:dyDescent="0.2"/>
    <row r="173" s="67" customFormat="1" x14ac:dyDescent="0.2"/>
    <row r="174" s="67" customFormat="1" x14ac:dyDescent="0.2"/>
    <row r="175" s="67" customFormat="1" x14ac:dyDescent="0.2"/>
    <row r="176" s="67" customFormat="1" x14ac:dyDescent="0.2"/>
    <row r="177" s="67" customFormat="1" x14ac:dyDescent="0.2"/>
    <row r="178" s="67" customFormat="1" x14ac:dyDescent="0.2"/>
    <row r="179" s="67" customFormat="1" x14ac:dyDescent="0.2"/>
    <row r="180" s="67" customFormat="1" x14ac:dyDescent="0.2"/>
    <row r="181" s="67" customFormat="1" x14ac:dyDescent="0.2"/>
    <row r="182" s="67" customFormat="1" x14ac:dyDescent="0.2"/>
    <row r="183" s="67" customFormat="1" x14ac:dyDescent="0.2"/>
    <row r="184" s="67" customFormat="1" x14ac:dyDescent="0.2"/>
    <row r="185" s="67" customFormat="1" x14ac:dyDescent="0.2"/>
    <row r="186" s="67" customFormat="1" x14ac:dyDescent="0.2"/>
    <row r="187" s="67" customFormat="1" x14ac:dyDescent="0.2"/>
    <row r="188" s="67" customFormat="1" x14ac:dyDescent="0.2"/>
    <row r="189" s="67" customFormat="1" x14ac:dyDescent="0.2"/>
    <row r="190" s="67" customFormat="1" x14ac:dyDescent="0.2"/>
    <row r="191" s="67" customFormat="1" x14ac:dyDescent="0.2"/>
    <row r="192" s="67" customFormat="1" x14ac:dyDescent="0.2"/>
    <row r="193" s="67" customFormat="1" x14ac:dyDescent="0.2"/>
    <row r="194" s="67" customFormat="1" x14ac:dyDescent="0.2"/>
    <row r="195" s="67" customFormat="1" x14ac:dyDescent="0.2"/>
    <row r="196" s="67" customFormat="1" x14ac:dyDescent="0.2"/>
    <row r="197" s="67" customFormat="1" x14ac:dyDescent="0.2"/>
    <row r="198" s="67" customFormat="1" x14ac:dyDescent="0.2"/>
    <row r="199" s="67" customFormat="1" x14ac:dyDescent="0.2"/>
    <row r="200" s="67" customFormat="1" x14ac:dyDescent="0.2"/>
    <row r="201" s="67" customFormat="1" x14ac:dyDescent="0.2"/>
    <row r="202" s="67" customFormat="1" x14ac:dyDescent="0.2"/>
    <row r="203" s="67" customFormat="1" x14ac:dyDescent="0.2"/>
    <row r="204" s="67" customFormat="1" x14ac:dyDescent="0.2"/>
    <row r="205" s="67" customFormat="1" x14ac:dyDescent="0.2"/>
    <row r="206" s="67" customFormat="1" x14ac:dyDescent="0.2"/>
    <row r="207" s="67" customFormat="1" x14ac:dyDescent="0.2"/>
    <row r="208" s="67" customFormat="1" x14ac:dyDescent="0.2"/>
    <row r="209" s="67" customFormat="1" x14ac:dyDescent="0.2"/>
    <row r="210" s="67" customFormat="1" x14ac:dyDescent="0.2"/>
    <row r="211" s="67" customFormat="1" x14ac:dyDescent="0.2"/>
    <row r="212" s="67" customFormat="1" x14ac:dyDescent="0.2"/>
    <row r="213" s="67" customFormat="1" x14ac:dyDescent="0.2"/>
    <row r="214" s="67" customFormat="1" x14ac:dyDescent="0.2"/>
    <row r="215" s="67" customFormat="1" x14ac:dyDescent="0.2"/>
    <row r="216" s="67" customFormat="1" x14ac:dyDescent="0.2"/>
    <row r="217" s="67" customFormat="1" x14ac:dyDescent="0.2"/>
    <row r="218" s="67" customFormat="1" x14ac:dyDescent="0.2"/>
    <row r="219" s="67" customFormat="1" x14ac:dyDescent="0.2"/>
    <row r="220" s="67" customFormat="1" x14ac:dyDescent="0.2"/>
    <row r="221" s="67" customFormat="1" x14ac:dyDescent="0.2"/>
    <row r="222" s="67" customFormat="1" x14ac:dyDescent="0.2"/>
    <row r="223" s="67" customFormat="1" x14ac:dyDescent="0.2"/>
    <row r="224" s="67" customFormat="1" x14ac:dyDescent="0.2"/>
    <row r="225" s="67" customFormat="1" x14ac:dyDescent="0.2"/>
    <row r="226" s="67" customFormat="1" x14ac:dyDescent="0.2"/>
    <row r="227" s="67" customFormat="1" x14ac:dyDescent="0.2"/>
    <row r="228" s="67" customFormat="1" x14ac:dyDescent="0.2"/>
    <row r="229" s="67" customFormat="1" x14ac:dyDescent="0.2"/>
    <row r="230" s="67" customFormat="1" x14ac:dyDescent="0.2"/>
    <row r="231" s="67" customFormat="1" x14ac:dyDescent="0.2"/>
    <row r="232" s="67" customFormat="1" x14ac:dyDescent="0.2"/>
    <row r="233" s="67" customFormat="1" x14ac:dyDescent="0.2"/>
    <row r="234" s="67" customFormat="1" x14ac:dyDescent="0.2"/>
    <row r="235" s="67" customFormat="1" x14ac:dyDescent="0.2"/>
    <row r="236" s="67" customFormat="1" x14ac:dyDescent="0.2"/>
    <row r="237" s="67" customFormat="1" x14ac:dyDescent="0.2"/>
    <row r="238" s="67" customFormat="1" x14ac:dyDescent="0.2"/>
    <row r="239" s="67" customFormat="1" x14ac:dyDescent="0.2"/>
    <row r="240" s="67" customFormat="1" x14ac:dyDescent="0.2"/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  <row r="261" s="67" customFormat="1" x14ac:dyDescent="0.2"/>
    <row r="262" s="67" customFormat="1" x14ac:dyDescent="0.2"/>
    <row r="263" s="67" customFormat="1" x14ac:dyDescent="0.2"/>
    <row r="264" s="67" customFormat="1" x14ac:dyDescent="0.2"/>
    <row r="265" s="67" customFormat="1" x14ac:dyDescent="0.2"/>
    <row r="266" s="67" customFormat="1" x14ac:dyDescent="0.2"/>
    <row r="267" s="67" customFormat="1" x14ac:dyDescent="0.2"/>
    <row r="268" s="67" customFormat="1" x14ac:dyDescent="0.2"/>
    <row r="269" s="67" customFormat="1" x14ac:dyDescent="0.2"/>
    <row r="270" s="67" customFormat="1" x14ac:dyDescent="0.2"/>
    <row r="271" s="67" customFormat="1" x14ac:dyDescent="0.2"/>
    <row r="272" s="67" customFormat="1" x14ac:dyDescent="0.2"/>
    <row r="273" s="67" customFormat="1" x14ac:dyDescent="0.2"/>
    <row r="274" s="67" customFormat="1" x14ac:dyDescent="0.2"/>
    <row r="275" s="67" customFormat="1" x14ac:dyDescent="0.2"/>
    <row r="276" s="67" customFormat="1" x14ac:dyDescent="0.2"/>
    <row r="277" s="67" customFormat="1" x14ac:dyDescent="0.2"/>
    <row r="278" s="67" customFormat="1" x14ac:dyDescent="0.2"/>
    <row r="279" s="67" customFormat="1" x14ac:dyDescent="0.2"/>
    <row r="280" s="67" customFormat="1" x14ac:dyDescent="0.2"/>
    <row r="281" s="67" customFormat="1" x14ac:dyDescent="0.2"/>
    <row r="282" s="67" customFormat="1" x14ac:dyDescent="0.2"/>
    <row r="283" s="67" customFormat="1" x14ac:dyDescent="0.2"/>
    <row r="284" s="67" customFormat="1" x14ac:dyDescent="0.2"/>
    <row r="285" s="67" customFormat="1" x14ac:dyDescent="0.2"/>
    <row r="286" s="67" customFormat="1" x14ac:dyDescent="0.2"/>
    <row r="287" s="67" customFormat="1" x14ac:dyDescent="0.2"/>
    <row r="288" s="67" customFormat="1" x14ac:dyDescent="0.2"/>
    <row r="289" s="67" customFormat="1" x14ac:dyDescent="0.2"/>
    <row r="290" s="67" customFormat="1" x14ac:dyDescent="0.2"/>
    <row r="291" s="67" customFormat="1" x14ac:dyDescent="0.2"/>
    <row r="292" s="67" customFormat="1" x14ac:dyDescent="0.2"/>
    <row r="293" s="67" customFormat="1" x14ac:dyDescent="0.2"/>
    <row r="294" s="67" customFormat="1" x14ac:dyDescent="0.2"/>
    <row r="295" s="67" customFormat="1" x14ac:dyDescent="0.2"/>
    <row r="296" s="67" customFormat="1" x14ac:dyDescent="0.2"/>
    <row r="297" s="67" customFormat="1" x14ac:dyDescent="0.2"/>
    <row r="298" s="67" customFormat="1" x14ac:dyDescent="0.2"/>
    <row r="299" s="67" customFormat="1" x14ac:dyDescent="0.2"/>
    <row r="300" s="67" customFormat="1" x14ac:dyDescent="0.2"/>
    <row r="301" s="67" customFormat="1" x14ac:dyDescent="0.2"/>
    <row r="302" s="67" customFormat="1" x14ac:dyDescent="0.2"/>
    <row r="303" s="67" customFormat="1" x14ac:dyDescent="0.2"/>
    <row r="304" s="67" customFormat="1" x14ac:dyDescent="0.2"/>
    <row r="305" s="67" customFormat="1" x14ac:dyDescent="0.2"/>
    <row r="306" s="67" customFormat="1" x14ac:dyDescent="0.2"/>
    <row r="307" s="67" customFormat="1" x14ac:dyDescent="0.2"/>
    <row r="308" s="67" customFormat="1" x14ac:dyDescent="0.2"/>
    <row r="309" s="67" customFormat="1" x14ac:dyDescent="0.2"/>
    <row r="310" s="67" customFormat="1" x14ac:dyDescent="0.2"/>
    <row r="311" s="67" customFormat="1" x14ac:dyDescent="0.2"/>
    <row r="312" s="67" customFormat="1" x14ac:dyDescent="0.2"/>
    <row r="313" s="67" customFormat="1" x14ac:dyDescent="0.2"/>
    <row r="314" s="67" customFormat="1" x14ac:dyDescent="0.2"/>
    <row r="315" s="67" customFormat="1" x14ac:dyDescent="0.2"/>
    <row r="316" s="67" customFormat="1" x14ac:dyDescent="0.2"/>
    <row r="317" s="67" customFormat="1" x14ac:dyDescent="0.2"/>
    <row r="318" s="67" customFormat="1" x14ac:dyDescent="0.2"/>
    <row r="319" s="67" customFormat="1" x14ac:dyDescent="0.2"/>
    <row r="320" s="67" customFormat="1" x14ac:dyDescent="0.2"/>
    <row r="321" s="67" customFormat="1" x14ac:dyDescent="0.2"/>
    <row r="322" s="67" customFormat="1" x14ac:dyDescent="0.2"/>
    <row r="323" s="67" customFormat="1" x14ac:dyDescent="0.2"/>
    <row r="324" s="67" customFormat="1" x14ac:dyDescent="0.2"/>
    <row r="325" s="67" customFormat="1" x14ac:dyDescent="0.2"/>
    <row r="326" s="67" customFormat="1" x14ac:dyDescent="0.2"/>
    <row r="327" s="67" customFormat="1" x14ac:dyDescent="0.2"/>
    <row r="328" s="67" customFormat="1" x14ac:dyDescent="0.2"/>
    <row r="329" s="67" customFormat="1" x14ac:dyDescent="0.2"/>
    <row r="330" s="67" customFormat="1" x14ac:dyDescent="0.2"/>
    <row r="331" s="67" customFormat="1" x14ac:dyDescent="0.2"/>
    <row r="332" s="67" customFormat="1" x14ac:dyDescent="0.2"/>
    <row r="333" s="67" customFormat="1" x14ac:dyDescent="0.2"/>
    <row r="334" s="67" customFormat="1" x14ac:dyDescent="0.2"/>
    <row r="335" s="67" customFormat="1" x14ac:dyDescent="0.2"/>
    <row r="336" s="67" customFormat="1" x14ac:dyDescent="0.2"/>
    <row r="337" s="67" customFormat="1" x14ac:dyDescent="0.2"/>
    <row r="338" s="67" customFormat="1" x14ac:dyDescent="0.2"/>
    <row r="339" s="67" customFormat="1" x14ac:dyDescent="0.2"/>
    <row r="340" s="67" customFormat="1" x14ac:dyDescent="0.2"/>
    <row r="341" s="67" customFormat="1" x14ac:dyDescent="0.2"/>
    <row r="342" s="67" customFormat="1" x14ac:dyDescent="0.2"/>
    <row r="343" s="67" customFormat="1" x14ac:dyDescent="0.2"/>
    <row r="344" s="67" customFormat="1" x14ac:dyDescent="0.2"/>
    <row r="345" s="67" customFormat="1" x14ac:dyDescent="0.2"/>
    <row r="346" s="67" customFormat="1" x14ac:dyDescent="0.2"/>
    <row r="347" s="67" customFormat="1" x14ac:dyDescent="0.2"/>
    <row r="348" s="67" customFormat="1" x14ac:dyDescent="0.2"/>
    <row r="349" s="67" customFormat="1" x14ac:dyDescent="0.2"/>
    <row r="350" s="67" customFormat="1" x14ac:dyDescent="0.2"/>
    <row r="351" s="67" customFormat="1" x14ac:dyDescent="0.2"/>
    <row r="352" s="67" customFormat="1" x14ac:dyDescent="0.2"/>
    <row r="353" s="67" customFormat="1" x14ac:dyDescent="0.2"/>
    <row r="354" s="67" customFormat="1" x14ac:dyDescent="0.2"/>
    <row r="355" s="67" customFormat="1" x14ac:dyDescent="0.2"/>
    <row r="356" s="67" customFormat="1" x14ac:dyDescent="0.2"/>
    <row r="357" s="67" customFormat="1" x14ac:dyDescent="0.2"/>
    <row r="358" s="67" customFormat="1" x14ac:dyDescent="0.2"/>
    <row r="359" s="67" customFormat="1" x14ac:dyDescent="0.2"/>
    <row r="360" s="67" customFormat="1" x14ac:dyDescent="0.2"/>
    <row r="361" s="67" customFormat="1" x14ac:dyDescent="0.2"/>
    <row r="362" s="67" customFormat="1" x14ac:dyDescent="0.2"/>
    <row r="363" s="67" customFormat="1" x14ac:dyDescent="0.2"/>
    <row r="364" s="67" customFormat="1" x14ac:dyDescent="0.2"/>
    <row r="365" s="67" customFormat="1" x14ac:dyDescent="0.2"/>
    <row r="366" s="67" customFormat="1" x14ac:dyDescent="0.2"/>
    <row r="367" s="67" customFormat="1" x14ac:dyDescent="0.2"/>
    <row r="368" s="67" customFormat="1" x14ac:dyDescent="0.2"/>
    <row r="369" s="67" customFormat="1" x14ac:dyDescent="0.2"/>
    <row r="370" s="67" customFormat="1" x14ac:dyDescent="0.2"/>
    <row r="371" s="67" customFormat="1" x14ac:dyDescent="0.2"/>
    <row r="372" s="67" customFormat="1" x14ac:dyDescent="0.2"/>
    <row r="373" s="67" customFormat="1" x14ac:dyDescent="0.2"/>
    <row r="374" s="67" customFormat="1" x14ac:dyDescent="0.2"/>
    <row r="375" s="67" customFormat="1" x14ac:dyDescent="0.2"/>
    <row r="376" s="67" customFormat="1" x14ac:dyDescent="0.2"/>
    <row r="377" s="67" customFormat="1" x14ac:dyDescent="0.2"/>
    <row r="378" s="67" customFormat="1" x14ac:dyDescent="0.2"/>
    <row r="379" s="67" customFormat="1" x14ac:dyDescent="0.2"/>
    <row r="380" s="67" customFormat="1" x14ac:dyDescent="0.2"/>
    <row r="381" s="67" customFormat="1" x14ac:dyDescent="0.2"/>
    <row r="382" s="67" customFormat="1" x14ac:dyDescent="0.2"/>
    <row r="383" s="67" customFormat="1" x14ac:dyDescent="0.2"/>
    <row r="384" s="67" customFormat="1" x14ac:dyDescent="0.2"/>
    <row r="385" s="67" customFormat="1" x14ac:dyDescent="0.2"/>
    <row r="386" s="67" customFormat="1" x14ac:dyDescent="0.2"/>
    <row r="387" s="67" customFormat="1" x14ac:dyDescent="0.2"/>
    <row r="388" s="67" customFormat="1" x14ac:dyDescent="0.2"/>
    <row r="389" s="67" customFormat="1" x14ac:dyDescent="0.2"/>
    <row r="390" s="67" customFormat="1" x14ac:dyDescent="0.2"/>
    <row r="391" s="67" customFormat="1" x14ac:dyDescent="0.2"/>
    <row r="392" s="67" customFormat="1" x14ac:dyDescent="0.2"/>
    <row r="393" s="67" customFormat="1" x14ac:dyDescent="0.2"/>
    <row r="394" s="67" customFormat="1" x14ac:dyDescent="0.2"/>
    <row r="395" s="67" customFormat="1" x14ac:dyDescent="0.2"/>
    <row r="396" s="67" customFormat="1" x14ac:dyDescent="0.2"/>
    <row r="397" s="67" customFormat="1" x14ac:dyDescent="0.2"/>
    <row r="398" s="67" customFormat="1" x14ac:dyDescent="0.2"/>
    <row r="399" s="67" customFormat="1" x14ac:dyDescent="0.2"/>
    <row r="400" s="67" customFormat="1" x14ac:dyDescent="0.2"/>
    <row r="401" s="67" customFormat="1" x14ac:dyDescent="0.2"/>
    <row r="402" s="67" customFormat="1" x14ac:dyDescent="0.2"/>
    <row r="403" s="67" customFormat="1" x14ac:dyDescent="0.2"/>
    <row r="404" s="67" customFormat="1" x14ac:dyDescent="0.2"/>
    <row r="405" s="67" customFormat="1" x14ac:dyDescent="0.2"/>
    <row r="406" s="67" customFormat="1" x14ac:dyDescent="0.2"/>
    <row r="407" s="67" customFormat="1" x14ac:dyDescent="0.2"/>
    <row r="408" s="67" customFormat="1" x14ac:dyDescent="0.2"/>
    <row r="409" s="67" customFormat="1" x14ac:dyDescent="0.2"/>
    <row r="410" s="67" customFormat="1" x14ac:dyDescent="0.2"/>
    <row r="411" s="67" customFormat="1" x14ac:dyDescent="0.2"/>
    <row r="412" s="67" customFormat="1" x14ac:dyDescent="0.2"/>
    <row r="413" s="67" customFormat="1" x14ac:dyDescent="0.2"/>
    <row r="414" s="67" customFormat="1" x14ac:dyDescent="0.2"/>
    <row r="415" s="67" customFormat="1" x14ac:dyDescent="0.2"/>
    <row r="416" s="67" customFormat="1" x14ac:dyDescent="0.2"/>
    <row r="417" s="67" customFormat="1" x14ac:dyDescent="0.2"/>
    <row r="418" s="67" customFormat="1" x14ac:dyDescent="0.2"/>
    <row r="419" s="67" customFormat="1" x14ac:dyDescent="0.2"/>
    <row r="420" s="67" customFormat="1" x14ac:dyDescent="0.2"/>
    <row r="421" s="67" customFormat="1" x14ac:dyDescent="0.2"/>
    <row r="422" s="67" customFormat="1" x14ac:dyDescent="0.2"/>
    <row r="423" s="67" customFormat="1" x14ac:dyDescent="0.2"/>
    <row r="424" s="67" customFormat="1" x14ac:dyDescent="0.2"/>
    <row r="425" s="67" customFormat="1" x14ac:dyDescent="0.2"/>
    <row r="426" s="67" customFormat="1" x14ac:dyDescent="0.2"/>
    <row r="427" s="67" customFormat="1" x14ac:dyDescent="0.2"/>
    <row r="428" s="67" customFormat="1" x14ac:dyDescent="0.2"/>
    <row r="429" s="67" customFormat="1" x14ac:dyDescent="0.2"/>
    <row r="430" s="67" customFormat="1" x14ac:dyDescent="0.2"/>
    <row r="431" s="67" customFormat="1" x14ac:dyDescent="0.2"/>
    <row r="432" s="67" customFormat="1" x14ac:dyDescent="0.2"/>
    <row r="433" s="67" customFormat="1" x14ac:dyDescent="0.2"/>
    <row r="434" s="67" customFormat="1" x14ac:dyDescent="0.2"/>
    <row r="435" s="67" customFormat="1" x14ac:dyDescent="0.2"/>
    <row r="436" s="67" customFormat="1" x14ac:dyDescent="0.2"/>
    <row r="437" s="67" customFormat="1" x14ac:dyDescent="0.2"/>
    <row r="438" s="67" customFormat="1" x14ac:dyDescent="0.2"/>
    <row r="439" s="67" customFormat="1" x14ac:dyDescent="0.2"/>
    <row r="440" s="67" customFormat="1" x14ac:dyDescent="0.2"/>
    <row r="441" s="67" customFormat="1" x14ac:dyDescent="0.2"/>
    <row r="442" s="67" customFormat="1" x14ac:dyDescent="0.2"/>
    <row r="443" s="67" customFormat="1" x14ac:dyDescent="0.2"/>
    <row r="444" s="67" customFormat="1" x14ac:dyDescent="0.2"/>
    <row r="445" s="67" customFormat="1" x14ac:dyDescent="0.2"/>
    <row r="446" s="67" customFormat="1" x14ac:dyDescent="0.2"/>
    <row r="447" s="67" customFormat="1" x14ac:dyDescent="0.2"/>
    <row r="448" s="67" customFormat="1" x14ac:dyDescent="0.2"/>
    <row r="449" s="67" customFormat="1" x14ac:dyDescent="0.2"/>
    <row r="450" s="67" customFormat="1" x14ac:dyDescent="0.2"/>
    <row r="451" s="67" customFormat="1" x14ac:dyDescent="0.2"/>
    <row r="452" s="67" customFormat="1" x14ac:dyDescent="0.2"/>
    <row r="453" s="67" customFormat="1" x14ac:dyDescent="0.2"/>
    <row r="454" s="67" customFormat="1" x14ac:dyDescent="0.2"/>
    <row r="455" s="67" customFormat="1" x14ac:dyDescent="0.2"/>
    <row r="456" s="67" customFormat="1" x14ac:dyDescent="0.2"/>
    <row r="457" s="67" customFormat="1" x14ac:dyDescent="0.2"/>
    <row r="458" s="67" customFormat="1" x14ac:dyDescent="0.2"/>
    <row r="459" s="67" customFormat="1" x14ac:dyDescent="0.2"/>
    <row r="460" s="67" customFormat="1" x14ac:dyDescent="0.2"/>
    <row r="461" s="67" customFormat="1" x14ac:dyDescent="0.2"/>
    <row r="462" s="67" customFormat="1" x14ac:dyDescent="0.2"/>
    <row r="463" s="67" customFormat="1" x14ac:dyDescent="0.2"/>
    <row r="464" s="67" customFormat="1" x14ac:dyDescent="0.2"/>
    <row r="465" s="67" customFormat="1" x14ac:dyDescent="0.2"/>
    <row r="466" s="67" customFormat="1" x14ac:dyDescent="0.2"/>
    <row r="467" s="67" customFormat="1" x14ac:dyDescent="0.2"/>
    <row r="468" s="67" customFormat="1" x14ac:dyDescent="0.2"/>
    <row r="469" s="67" customFormat="1" x14ac:dyDescent="0.2"/>
    <row r="470" s="67" customFormat="1" x14ac:dyDescent="0.2"/>
    <row r="471" s="67" customFormat="1" x14ac:dyDescent="0.2"/>
    <row r="472" s="67" customFormat="1" x14ac:dyDescent="0.2"/>
    <row r="473" s="67" customFormat="1" x14ac:dyDescent="0.2"/>
    <row r="474" s="67" customFormat="1" x14ac:dyDescent="0.2"/>
    <row r="475" s="67" customFormat="1" x14ac:dyDescent="0.2"/>
    <row r="476" s="67" customFormat="1" x14ac:dyDescent="0.2"/>
    <row r="477" s="67" customFormat="1" x14ac:dyDescent="0.2"/>
    <row r="478" s="67" customFormat="1" x14ac:dyDescent="0.2"/>
    <row r="479" s="67" customFormat="1" x14ac:dyDescent="0.2"/>
    <row r="480" s="67" customFormat="1" x14ac:dyDescent="0.2"/>
    <row r="481" s="67" customFormat="1" x14ac:dyDescent="0.2"/>
    <row r="482" s="67" customFormat="1" x14ac:dyDescent="0.2"/>
    <row r="483" s="67" customFormat="1" x14ac:dyDescent="0.2"/>
    <row r="484" s="67" customFormat="1" x14ac:dyDescent="0.2"/>
    <row r="485" s="67" customFormat="1" x14ac:dyDescent="0.2"/>
    <row r="486" s="67" customFormat="1" x14ac:dyDescent="0.2"/>
    <row r="487" s="67" customFormat="1" x14ac:dyDescent="0.2"/>
    <row r="488" s="67" customFormat="1" x14ac:dyDescent="0.2"/>
    <row r="489" s="67" customFormat="1" x14ac:dyDescent="0.2"/>
    <row r="490" s="67" customFormat="1" x14ac:dyDescent="0.2"/>
    <row r="491" s="67" customFormat="1" x14ac:dyDescent="0.2"/>
    <row r="492" s="67" customFormat="1" x14ac:dyDescent="0.2"/>
    <row r="493" s="67" customFormat="1" x14ac:dyDescent="0.2"/>
    <row r="494" s="67" customFormat="1" x14ac:dyDescent="0.2"/>
    <row r="495" s="67" customFormat="1" x14ac:dyDescent="0.2"/>
    <row r="496" s="67" customFormat="1" x14ac:dyDescent="0.2"/>
    <row r="497" s="67" customFormat="1" x14ac:dyDescent="0.2"/>
    <row r="498" s="67" customFormat="1" x14ac:dyDescent="0.2"/>
    <row r="499" s="67" customFormat="1" x14ac:dyDescent="0.2"/>
    <row r="500" s="67" customFormat="1" x14ac:dyDescent="0.2"/>
    <row r="501" s="67" customFormat="1" x14ac:dyDescent="0.2"/>
    <row r="502" s="67" customFormat="1" x14ac:dyDescent="0.2"/>
    <row r="503" s="67" customFormat="1" x14ac:dyDescent="0.2"/>
    <row r="504" s="67" customFormat="1" x14ac:dyDescent="0.2"/>
    <row r="505" s="67" customFormat="1" x14ac:dyDescent="0.2"/>
    <row r="506" s="67" customFormat="1" x14ac:dyDescent="0.2"/>
    <row r="507" s="67" customFormat="1" x14ac:dyDescent="0.2"/>
    <row r="508" s="67" customFormat="1" x14ac:dyDescent="0.2"/>
    <row r="509" s="67" customFormat="1" x14ac:dyDescent="0.2"/>
    <row r="510" s="67" customFormat="1" x14ac:dyDescent="0.2"/>
    <row r="511" s="67" customFormat="1" x14ac:dyDescent="0.2"/>
    <row r="512" s="67" customFormat="1" x14ac:dyDescent="0.2"/>
    <row r="513" s="67" customFormat="1" x14ac:dyDescent="0.2"/>
    <row r="514" s="67" customFormat="1" x14ac:dyDescent="0.2"/>
    <row r="515" s="67" customFormat="1" x14ac:dyDescent="0.2"/>
    <row r="516" s="67" customFormat="1" x14ac:dyDescent="0.2"/>
    <row r="517" s="67" customFormat="1" x14ac:dyDescent="0.2"/>
    <row r="518" s="67" customFormat="1" x14ac:dyDescent="0.2"/>
    <row r="519" s="67" customFormat="1" x14ac:dyDescent="0.2"/>
    <row r="520" s="67" customFormat="1" x14ac:dyDescent="0.2"/>
    <row r="521" s="67" customFormat="1" x14ac:dyDescent="0.2"/>
    <row r="522" s="67" customFormat="1" x14ac:dyDescent="0.2"/>
    <row r="523" s="67" customFormat="1" x14ac:dyDescent="0.2"/>
    <row r="524" s="67" customFormat="1" x14ac:dyDescent="0.2"/>
    <row r="525" s="67" customFormat="1" x14ac:dyDescent="0.2"/>
    <row r="526" s="67" customFormat="1" x14ac:dyDescent="0.2"/>
    <row r="527" s="67" customFormat="1" x14ac:dyDescent="0.2"/>
    <row r="528" s="67" customFormat="1" x14ac:dyDescent="0.2"/>
    <row r="529" s="67" customFormat="1" x14ac:dyDescent="0.2"/>
    <row r="530" s="67" customFormat="1" x14ac:dyDescent="0.2"/>
    <row r="531" s="67" customFormat="1" x14ac:dyDescent="0.2"/>
    <row r="532" s="67" customFormat="1" x14ac:dyDescent="0.2"/>
    <row r="533" s="67" customFormat="1" x14ac:dyDescent="0.2"/>
    <row r="534" s="67" customFormat="1" x14ac:dyDescent="0.2"/>
    <row r="535" s="67" customFormat="1" x14ac:dyDescent="0.2"/>
    <row r="536" s="67" customFormat="1" x14ac:dyDescent="0.2"/>
    <row r="537" s="67" customFormat="1" x14ac:dyDescent="0.2"/>
    <row r="538" s="67" customFormat="1" x14ac:dyDescent="0.2"/>
    <row r="539" s="67" customFormat="1" x14ac:dyDescent="0.2"/>
    <row r="540" s="67" customFormat="1" x14ac:dyDescent="0.2"/>
    <row r="541" s="67" customFormat="1" x14ac:dyDescent="0.2"/>
    <row r="542" s="67" customFormat="1" x14ac:dyDescent="0.2"/>
    <row r="543" s="67" customFormat="1" x14ac:dyDescent="0.2"/>
    <row r="544" s="67" customFormat="1" x14ac:dyDescent="0.2"/>
    <row r="545" s="67" customFormat="1" x14ac:dyDescent="0.2"/>
    <row r="546" s="67" customFormat="1" x14ac:dyDescent="0.2"/>
    <row r="547" s="67" customFormat="1" x14ac:dyDescent="0.2"/>
    <row r="548" s="67" customFormat="1" x14ac:dyDescent="0.2"/>
    <row r="549" s="67" customFormat="1" x14ac:dyDescent="0.2"/>
    <row r="550" s="67" customFormat="1" x14ac:dyDescent="0.2"/>
    <row r="551" s="67" customFormat="1" x14ac:dyDescent="0.2"/>
    <row r="552" s="67" customFormat="1" x14ac:dyDescent="0.2"/>
    <row r="553" s="67" customFormat="1" x14ac:dyDescent="0.2"/>
    <row r="554" s="67" customFormat="1" x14ac:dyDescent="0.2"/>
    <row r="555" s="67" customFormat="1" x14ac:dyDescent="0.2"/>
    <row r="556" s="67" customFormat="1" x14ac:dyDescent="0.2"/>
    <row r="557" s="67" customFormat="1" x14ac:dyDescent="0.2"/>
    <row r="558" s="67" customFormat="1" x14ac:dyDescent="0.2"/>
    <row r="559" s="67" customFormat="1" x14ac:dyDescent="0.2"/>
    <row r="560" s="67" customFormat="1" x14ac:dyDescent="0.2"/>
    <row r="561" s="67" customFormat="1" x14ac:dyDescent="0.2"/>
    <row r="562" s="67" customFormat="1" x14ac:dyDescent="0.2"/>
    <row r="563" s="67" customFormat="1" x14ac:dyDescent="0.2"/>
    <row r="564" s="67" customFormat="1" x14ac:dyDescent="0.2"/>
    <row r="565" s="67" customFormat="1" x14ac:dyDescent="0.2"/>
    <row r="566" s="67" customFormat="1" x14ac:dyDescent="0.2"/>
    <row r="567" s="67" customFormat="1" x14ac:dyDescent="0.2"/>
    <row r="568" s="67" customFormat="1" x14ac:dyDescent="0.2"/>
    <row r="569" s="67" customFormat="1" x14ac:dyDescent="0.2"/>
    <row r="570" s="67" customFormat="1" x14ac:dyDescent="0.2"/>
    <row r="571" s="67" customFormat="1" x14ac:dyDescent="0.2"/>
    <row r="572" s="67" customFormat="1" x14ac:dyDescent="0.2"/>
    <row r="573" s="67" customFormat="1" x14ac:dyDescent="0.2"/>
    <row r="574" s="67" customFormat="1" x14ac:dyDescent="0.2"/>
    <row r="575" s="67" customFormat="1" x14ac:dyDescent="0.2"/>
    <row r="576" s="67" customFormat="1" x14ac:dyDescent="0.2"/>
    <row r="577" s="67" customFormat="1" x14ac:dyDescent="0.2"/>
    <row r="578" s="67" customFormat="1" x14ac:dyDescent="0.2"/>
    <row r="579" s="67" customFormat="1" x14ac:dyDescent="0.2"/>
    <row r="580" s="67" customFormat="1" x14ac:dyDescent="0.2"/>
    <row r="581" s="67" customFormat="1" x14ac:dyDescent="0.2"/>
    <row r="582" s="67" customFormat="1" x14ac:dyDescent="0.2"/>
    <row r="583" s="67" customFormat="1" x14ac:dyDescent="0.2"/>
    <row r="584" s="67" customFormat="1" x14ac:dyDescent="0.2"/>
    <row r="585" s="67" customFormat="1" x14ac:dyDescent="0.2"/>
    <row r="586" s="67" customFormat="1" x14ac:dyDescent="0.2"/>
    <row r="587" s="67" customFormat="1" x14ac:dyDescent="0.2"/>
    <row r="588" s="67" customFormat="1" x14ac:dyDescent="0.2"/>
    <row r="589" s="67" customFormat="1" x14ac:dyDescent="0.2"/>
    <row r="590" s="67" customFormat="1" x14ac:dyDescent="0.2"/>
    <row r="591" s="67" customFormat="1" x14ac:dyDescent="0.2"/>
    <row r="592" s="67" customFormat="1" x14ac:dyDescent="0.2"/>
    <row r="593" s="67" customFormat="1" x14ac:dyDescent="0.2"/>
    <row r="594" s="67" customFormat="1" x14ac:dyDescent="0.2"/>
    <row r="595" s="67" customFormat="1" x14ac:dyDescent="0.2"/>
    <row r="596" s="67" customFormat="1" x14ac:dyDescent="0.2"/>
    <row r="597" s="67" customFormat="1" x14ac:dyDescent="0.2"/>
    <row r="598" s="67" customFormat="1" x14ac:dyDescent="0.2"/>
    <row r="599" s="67" customFormat="1" x14ac:dyDescent="0.2"/>
    <row r="600" s="67" customFormat="1" x14ac:dyDescent="0.2"/>
    <row r="601" s="67" customFormat="1" x14ac:dyDescent="0.2"/>
    <row r="602" s="67" customFormat="1" x14ac:dyDescent="0.2"/>
    <row r="603" s="67" customFormat="1" x14ac:dyDescent="0.2"/>
    <row r="604" s="67" customFormat="1" x14ac:dyDescent="0.2"/>
    <row r="605" s="67" customFormat="1" x14ac:dyDescent="0.2"/>
    <row r="606" s="67" customFormat="1" x14ac:dyDescent="0.2"/>
    <row r="607" s="67" customFormat="1" x14ac:dyDescent="0.2"/>
    <row r="608" s="67" customFormat="1" x14ac:dyDescent="0.2"/>
    <row r="609" s="67" customFormat="1" x14ac:dyDescent="0.2"/>
    <row r="610" s="67" customFormat="1" x14ac:dyDescent="0.2"/>
    <row r="611" s="67" customFormat="1" x14ac:dyDescent="0.2"/>
    <row r="612" s="67" customFormat="1" x14ac:dyDescent="0.2"/>
    <row r="613" s="67" customFormat="1" x14ac:dyDescent="0.2"/>
    <row r="614" s="67" customFormat="1" x14ac:dyDescent="0.2"/>
    <row r="615" s="67" customFormat="1" x14ac:dyDescent="0.2"/>
    <row r="616" s="67" customFormat="1" x14ac:dyDescent="0.2"/>
    <row r="617" s="67" customFormat="1" x14ac:dyDescent="0.2"/>
    <row r="618" s="67" customFormat="1" x14ac:dyDescent="0.2"/>
    <row r="619" s="67" customFormat="1" x14ac:dyDescent="0.2"/>
    <row r="620" s="67" customFormat="1" x14ac:dyDescent="0.2"/>
    <row r="621" s="67" customFormat="1" x14ac:dyDescent="0.2"/>
    <row r="622" s="67" customFormat="1" x14ac:dyDescent="0.2"/>
    <row r="623" s="67" customFormat="1" x14ac:dyDescent="0.2"/>
    <row r="624" s="67" customFormat="1" x14ac:dyDescent="0.2"/>
    <row r="625" s="67" customFormat="1" x14ac:dyDescent="0.2"/>
    <row r="626" s="67" customFormat="1" x14ac:dyDescent="0.2"/>
    <row r="627" s="67" customFormat="1" x14ac:dyDescent="0.2"/>
    <row r="628" s="67" customFormat="1" x14ac:dyDescent="0.2"/>
    <row r="629" s="67" customFormat="1" x14ac:dyDescent="0.2"/>
    <row r="630" s="67" customFormat="1" x14ac:dyDescent="0.2"/>
    <row r="631" s="67" customFormat="1" x14ac:dyDescent="0.2"/>
    <row r="632" s="67" customFormat="1" x14ac:dyDescent="0.2"/>
    <row r="633" s="67" customFormat="1" x14ac:dyDescent="0.2"/>
    <row r="634" s="67" customFormat="1" x14ac:dyDescent="0.2"/>
    <row r="635" s="67" customFormat="1" x14ac:dyDescent="0.2"/>
    <row r="636" s="67" customFormat="1" x14ac:dyDescent="0.2"/>
    <row r="637" s="67" customFormat="1" x14ac:dyDescent="0.2"/>
    <row r="638" s="67" customFormat="1" x14ac:dyDescent="0.2"/>
    <row r="639" s="67" customFormat="1" x14ac:dyDescent="0.2"/>
    <row r="640" s="67" customFormat="1" x14ac:dyDescent="0.2"/>
    <row r="641" s="67" customFormat="1" x14ac:dyDescent="0.2"/>
    <row r="642" s="67" customFormat="1" x14ac:dyDescent="0.2"/>
    <row r="643" s="67" customFormat="1" x14ac:dyDescent="0.2"/>
  </sheetData>
  <mergeCells count="1">
    <mergeCell ref="G13:K13"/>
  </mergeCells>
  <pageMargins left="0.75" right="0.75" top="1" bottom="1" header="0.5" footer="0.5"/>
  <pageSetup scale="70" fitToHeight="2" orientation="landscape" r:id="rId1"/>
  <headerFooter alignWithMargins="0"/>
  <rowBreaks count="1" manualBreakCount="1">
    <brk id="65" min="1" max="1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  <pageSetUpPr fitToPage="1"/>
  </sheetPr>
  <dimension ref="A1:CB1999"/>
  <sheetViews>
    <sheetView tabSelected="1" zoomScaleNormal="100" workbookViewId="0">
      <pane ySplit="5" topLeftCell="A6" activePane="bottomLeft" state="frozen"/>
      <selection pane="bottomLeft" activeCell="H3" sqref="H3"/>
    </sheetView>
  </sheetViews>
  <sheetFormatPr defaultRowHeight="15" x14ac:dyDescent="0.25"/>
  <cols>
    <col min="1" max="1" width="9" style="183" customWidth="1"/>
    <col min="2" max="2" width="10.5703125" style="2" customWidth="1"/>
    <col min="3" max="3" width="11.42578125" style="2" customWidth="1"/>
    <col min="4" max="4" width="13.28515625" style="9" customWidth="1"/>
    <col min="5" max="5" width="21.140625" style="23" customWidth="1"/>
    <col min="6" max="6" width="11.5703125" style="23" hidden="1" customWidth="1"/>
    <col min="7" max="7" width="8" style="23" hidden="1" customWidth="1"/>
    <col min="8" max="8" width="72" style="1" customWidth="1"/>
    <col min="9" max="9" width="25.42578125" style="1" customWidth="1"/>
    <col min="10" max="10" width="16.85546875" style="1" customWidth="1"/>
    <col min="11" max="11" width="7.7109375" style="23" hidden="1" customWidth="1"/>
    <col min="12" max="12" width="8.140625" style="23" hidden="1" customWidth="1"/>
    <col min="13" max="22" width="2.7109375" style="1" customWidth="1"/>
    <col min="23" max="32" width="2.7109375" style="1" hidden="1" customWidth="1"/>
    <col min="33" max="33" width="12" style="17" customWidth="1"/>
    <col min="34" max="35" width="14.7109375" style="1" customWidth="1"/>
    <col min="36" max="37" width="5.140625" style="1" customWidth="1"/>
    <col min="38" max="38" width="7.5703125" style="1" customWidth="1"/>
    <col min="39" max="39" width="14" style="1" customWidth="1"/>
    <col min="40" max="69" width="9.140625" style="1" customWidth="1"/>
    <col min="70" max="16384" width="9.140625" style="1"/>
  </cols>
  <sheetData>
    <row r="1" spans="1:80" ht="45" customHeight="1" thickTop="1" thickBot="1" x14ac:dyDescent="0.6">
      <c r="A1" s="176" t="s">
        <v>5</v>
      </c>
      <c r="B1" s="202"/>
      <c r="C1" s="202"/>
      <c r="I1" s="203"/>
      <c r="J1" s="204"/>
      <c r="K1" s="204"/>
      <c r="L1" s="204"/>
      <c r="M1" s="198" t="str">
        <f>'Global Input'!C3</f>
        <v>Enter Data on Input Sheet</v>
      </c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200"/>
      <c r="AH1" s="201"/>
      <c r="AI1" s="201"/>
      <c r="AJ1" s="40"/>
      <c r="AK1" s="40"/>
    </row>
    <row r="2" spans="1:80" ht="48" customHeight="1" thickBot="1" x14ac:dyDescent="0.3">
      <c r="A2" s="177" t="s">
        <v>0</v>
      </c>
      <c r="B2" s="12" t="s">
        <v>33</v>
      </c>
      <c r="C2" s="12" t="s">
        <v>34</v>
      </c>
      <c r="D2" s="13" t="s">
        <v>35</v>
      </c>
      <c r="E2" s="20" t="s">
        <v>36</v>
      </c>
      <c r="F2" s="54" t="s">
        <v>50</v>
      </c>
      <c r="G2" s="54" t="s">
        <v>159</v>
      </c>
      <c r="H2" s="13" t="s">
        <v>38</v>
      </c>
      <c r="I2" s="11" t="s">
        <v>39</v>
      </c>
      <c r="J2" s="185" t="s">
        <v>49</v>
      </c>
      <c r="K2" s="55" t="s">
        <v>37</v>
      </c>
      <c r="L2" s="55" t="s">
        <v>160</v>
      </c>
      <c r="M2" s="41" t="s">
        <v>40</v>
      </c>
      <c r="N2" s="41" t="s">
        <v>6</v>
      </c>
      <c r="O2" s="41" t="s">
        <v>41</v>
      </c>
      <c r="P2" s="41" t="s">
        <v>161</v>
      </c>
      <c r="Q2" s="41" t="s">
        <v>162</v>
      </c>
      <c r="R2" s="41" t="s">
        <v>42</v>
      </c>
      <c r="S2" s="41" t="s">
        <v>43</v>
      </c>
      <c r="T2" s="41" t="s">
        <v>44</v>
      </c>
      <c r="U2" s="41" t="s">
        <v>45</v>
      </c>
      <c r="V2" s="41" t="s">
        <v>46</v>
      </c>
      <c r="W2" s="56" t="s">
        <v>47</v>
      </c>
      <c r="X2" s="56" t="s">
        <v>18</v>
      </c>
      <c r="Y2" s="56" t="s">
        <v>19</v>
      </c>
      <c r="Z2" s="56" t="s">
        <v>20</v>
      </c>
      <c r="AA2" s="56" t="s">
        <v>21</v>
      </c>
      <c r="AB2" s="56" t="s">
        <v>22</v>
      </c>
      <c r="AC2" s="56" t="s">
        <v>23</v>
      </c>
      <c r="AD2" s="56" t="s">
        <v>24</v>
      </c>
      <c r="AE2" s="56" t="s">
        <v>163</v>
      </c>
      <c r="AF2" s="56" t="s">
        <v>164</v>
      </c>
      <c r="AG2" s="16" t="s">
        <v>16</v>
      </c>
      <c r="AH2" s="8" t="s">
        <v>1</v>
      </c>
      <c r="AI2" s="7" t="s">
        <v>48</v>
      </c>
      <c r="AJ2" s="25" t="s">
        <v>26</v>
      </c>
      <c r="AK2" s="10" t="s">
        <v>25</v>
      </c>
    </row>
    <row r="3" spans="1:80" ht="37.5" customHeight="1" thickTop="1" thickBot="1" x14ac:dyDescent="0.3">
      <c r="A3" s="174"/>
      <c r="B3" s="175"/>
      <c r="C3" s="44"/>
      <c r="D3" s="45"/>
      <c r="E3" s="46"/>
      <c r="F3" s="47"/>
      <c r="G3" s="47"/>
      <c r="H3" s="184"/>
      <c r="I3" s="50"/>
      <c r="J3" s="48"/>
      <c r="K3" s="49"/>
      <c r="L3" s="49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1"/>
      <c r="AH3" s="50"/>
      <c r="AI3" s="52"/>
      <c r="AJ3" s="53"/>
      <c r="AK3" s="53"/>
    </row>
    <row r="4" spans="1:80" ht="15.75" thickTop="1" x14ac:dyDescent="0.25">
      <c r="A4" s="178"/>
      <c r="B4" s="27"/>
      <c r="C4" s="27"/>
      <c r="D4" s="28"/>
      <c r="E4" s="29"/>
      <c r="F4" s="29"/>
      <c r="G4" s="29"/>
      <c r="H4" s="30"/>
      <c r="I4" s="30"/>
      <c r="J4" s="30"/>
      <c r="K4" s="29"/>
      <c r="L4" s="29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1"/>
      <c r="AH4" s="30"/>
      <c r="AI4" s="27"/>
      <c r="AJ4" s="26"/>
      <c r="AK4" s="32"/>
      <c r="AL4" s="24"/>
    </row>
    <row r="5" spans="1:80" x14ac:dyDescent="0.25">
      <c r="A5" s="179"/>
      <c r="B5" s="57"/>
      <c r="C5" s="57"/>
      <c r="D5" s="58"/>
      <c r="E5" s="59"/>
      <c r="F5" s="59"/>
      <c r="G5" s="59"/>
      <c r="H5" s="60"/>
      <c r="I5" s="60"/>
      <c r="J5" s="60"/>
      <c r="K5" s="59"/>
      <c r="L5" s="59"/>
      <c r="M5" s="61"/>
      <c r="N5" s="61"/>
      <c r="O5" s="61"/>
      <c r="P5" s="61"/>
      <c r="Q5" s="61"/>
      <c r="R5" s="61"/>
      <c r="S5" s="61"/>
      <c r="T5" s="61"/>
      <c r="U5" s="62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3"/>
      <c r="AH5" s="64"/>
      <c r="AI5" s="57"/>
      <c r="AJ5" s="61"/>
      <c r="AK5" s="65"/>
      <c r="AL5" s="24"/>
    </row>
    <row r="6" spans="1:80" x14ac:dyDescent="0.25">
      <c r="A6" s="180"/>
      <c r="B6" s="33"/>
      <c r="C6" s="33"/>
      <c r="D6" s="34"/>
      <c r="E6" s="35"/>
      <c r="F6" s="35"/>
      <c r="G6" s="35"/>
      <c r="H6" s="36"/>
      <c r="I6" s="36"/>
      <c r="J6" s="36"/>
      <c r="K6" s="35"/>
      <c r="L6" s="35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7"/>
      <c r="AH6" s="36"/>
      <c r="AI6" s="36"/>
      <c r="AJ6" s="36"/>
      <c r="AK6" s="38"/>
      <c r="AL6" s="24"/>
    </row>
    <row r="7" spans="1:80" x14ac:dyDescent="0.25">
      <c r="A7" s="181"/>
      <c r="B7" s="4"/>
      <c r="C7" s="4"/>
      <c r="D7" s="14"/>
      <c r="E7" s="21"/>
      <c r="F7" s="21"/>
      <c r="G7" s="21"/>
      <c r="H7" s="3"/>
      <c r="I7" s="4"/>
      <c r="J7" s="4"/>
      <c r="K7" s="21"/>
      <c r="L7" s="21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18"/>
      <c r="AH7" s="4"/>
      <c r="AI7" s="4"/>
      <c r="AJ7" s="4"/>
      <c r="AK7" s="4"/>
      <c r="AL7" s="24"/>
    </row>
    <row r="8" spans="1:80" x14ac:dyDescent="0.25">
      <c r="A8" s="182"/>
      <c r="B8" s="5"/>
      <c r="C8" s="5"/>
      <c r="D8" s="15"/>
      <c r="E8" s="22"/>
      <c r="F8" s="22"/>
      <c r="G8" s="22"/>
      <c r="I8" s="5"/>
      <c r="J8" s="5"/>
      <c r="K8" s="22"/>
      <c r="L8" s="22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19"/>
      <c r="AH8" s="5"/>
      <c r="AI8" s="5"/>
      <c r="AJ8" s="5"/>
      <c r="AK8" s="5"/>
      <c r="AL8" s="24"/>
    </row>
    <row r="9" spans="1:80" x14ac:dyDescent="0.25">
      <c r="A9" s="182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</row>
    <row r="10" spans="1:80" x14ac:dyDescent="0.25">
      <c r="A10" s="182"/>
      <c r="B10" s="6"/>
      <c r="C10" s="5"/>
      <c r="D10" s="15"/>
      <c r="E10" s="22"/>
      <c r="F10" s="22"/>
      <c r="G10" s="22"/>
      <c r="H10" s="39"/>
      <c r="I10" s="5"/>
      <c r="J10" s="5"/>
      <c r="K10" s="22"/>
      <c r="L10" s="22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19"/>
      <c r="AH10" s="5"/>
      <c r="AI10" s="5"/>
      <c r="AJ10" s="5"/>
      <c r="AK10" s="5"/>
    </row>
    <row r="11" spans="1:80" x14ac:dyDescent="0.25">
      <c r="A11" s="182"/>
      <c r="B11" s="5"/>
      <c r="C11" s="5"/>
      <c r="D11" s="15"/>
      <c r="E11" s="22"/>
      <c r="F11" s="22"/>
      <c r="G11" s="22"/>
      <c r="I11" s="5"/>
      <c r="J11" s="5"/>
      <c r="K11" s="22"/>
      <c r="L11" s="22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19"/>
      <c r="AH11" s="5"/>
      <c r="AI11" s="5"/>
      <c r="AJ11" s="5"/>
      <c r="AK11" s="5"/>
    </row>
    <row r="12" spans="1:80" x14ac:dyDescent="0.25">
      <c r="A12" s="182"/>
      <c r="B12" s="5"/>
      <c r="C12" s="5"/>
      <c r="D12" s="15"/>
      <c r="E12" s="22"/>
      <c r="F12" s="22"/>
      <c r="G12" s="22"/>
      <c r="I12" s="5"/>
      <c r="J12" s="5"/>
      <c r="K12" s="22"/>
      <c r="L12" s="22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19"/>
      <c r="AH12" s="5"/>
      <c r="AI12" s="5"/>
      <c r="AJ12" s="5"/>
      <c r="AK12" s="5"/>
    </row>
    <row r="13" spans="1:80" x14ac:dyDescent="0.25">
      <c r="A13" s="182"/>
      <c r="B13" s="5"/>
      <c r="C13" s="5"/>
      <c r="D13" s="15"/>
      <c r="E13" s="22"/>
      <c r="F13" s="22"/>
      <c r="G13" s="22"/>
      <c r="I13" s="5"/>
      <c r="J13" s="5"/>
      <c r="K13" s="22"/>
      <c r="L13" s="22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19"/>
      <c r="AH13" s="5"/>
      <c r="AI13" s="5"/>
      <c r="AJ13" s="5"/>
      <c r="AK13" s="5"/>
    </row>
    <row r="14" spans="1:80" x14ac:dyDescent="0.25">
      <c r="A14" s="182"/>
      <c r="B14" s="5"/>
      <c r="C14" s="5"/>
      <c r="D14" s="15"/>
      <c r="E14" s="22"/>
      <c r="F14" s="22"/>
      <c r="G14" s="22"/>
      <c r="I14" s="5"/>
      <c r="J14" s="5"/>
      <c r="K14" s="22"/>
      <c r="L14" s="22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19"/>
      <c r="AH14" s="5"/>
      <c r="AI14" s="5"/>
      <c r="AJ14" s="5"/>
      <c r="AK14" s="5"/>
    </row>
    <row r="15" spans="1:80" x14ac:dyDescent="0.25">
      <c r="A15" s="182"/>
      <c r="B15" s="5"/>
      <c r="C15" s="5"/>
      <c r="D15" s="15"/>
      <c r="E15" s="22"/>
      <c r="F15" s="22"/>
      <c r="G15" s="22"/>
      <c r="I15" s="5"/>
      <c r="J15" s="5"/>
      <c r="K15" s="22"/>
      <c r="L15" s="22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19"/>
      <c r="AH15" s="5"/>
      <c r="AI15" s="5"/>
      <c r="AJ15" s="5"/>
      <c r="AK15" s="5"/>
    </row>
    <row r="16" spans="1:80" x14ac:dyDescent="0.25">
      <c r="A16" s="182"/>
      <c r="B16" s="5"/>
      <c r="C16" s="5"/>
      <c r="D16" s="15"/>
      <c r="E16" s="22"/>
      <c r="F16" s="22"/>
      <c r="G16" s="22"/>
      <c r="I16" s="5"/>
      <c r="J16" s="5"/>
      <c r="K16" s="22"/>
      <c r="L16" s="22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19"/>
      <c r="AH16" s="5"/>
      <c r="AI16" s="5"/>
      <c r="AJ16" s="5"/>
      <c r="AK16" s="5"/>
    </row>
    <row r="17" spans="1:37" x14ac:dyDescent="0.25">
      <c r="A17" s="182"/>
      <c r="B17" s="5"/>
      <c r="C17" s="5"/>
      <c r="D17" s="15"/>
      <c r="E17" s="22"/>
      <c r="F17" s="22"/>
      <c r="G17" s="22"/>
      <c r="I17" s="5"/>
      <c r="J17" s="5"/>
      <c r="K17" s="22"/>
      <c r="L17" s="22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19"/>
      <c r="AH17" s="5"/>
      <c r="AI17" s="5"/>
      <c r="AJ17" s="5"/>
      <c r="AK17" s="5"/>
    </row>
    <row r="18" spans="1:37" x14ac:dyDescent="0.25">
      <c r="A18" s="182"/>
      <c r="B18" s="5"/>
      <c r="C18" s="5"/>
      <c r="D18" s="15"/>
      <c r="E18" s="22"/>
      <c r="F18" s="22"/>
      <c r="G18" s="22"/>
      <c r="I18" s="5"/>
      <c r="J18" s="5"/>
      <c r="K18" s="22"/>
      <c r="L18" s="22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19"/>
      <c r="AH18" s="5"/>
      <c r="AI18" s="5"/>
      <c r="AJ18" s="5"/>
      <c r="AK18" s="5"/>
    </row>
    <row r="19" spans="1:37" x14ac:dyDescent="0.25">
      <c r="A19" s="182"/>
      <c r="B19" s="5"/>
      <c r="C19" s="5"/>
      <c r="D19" s="15"/>
      <c r="E19" s="22"/>
      <c r="F19" s="22"/>
      <c r="G19" s="22"/>
      <c r="I19" s="5"/>
      <c r="J19" s="5"/>
      <c r="K19" s="22"/>
      <c r="L19" s="22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19"/>
      <c r="AH19" s="5"/>
      <c r="AI19" s="5"/>
      <c r="AJ19" s="5"/>
      <c r="AK19" s="5"/>
    </row>
    <row r="20" spans="1:37" x14ac:dyDescent="0.25">
      <c r="A20" s="182"/>
      <c r="B20" s="5"/>
      <c r="C20" s="5"/>
      <c r="D20" s="15"/>
      <c r="E20" s="22"/>
      <c r="F20" s="22"/>
      <c r="G20" s="22"/>
      <c r="I20" s="5"/>
      <c r="J20" s="5"/>
      <c r="K20" s="22"/>
      <c r="L20" s="22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19"/>
      <c r="AH20" s="5"/>
      <c r="AI20" s="5"/>
      <c r="AJ20" s="5"/>
      <c r="AK20" s="5"/>
    </row>
    <row r="21" spans="1:37" x14ac:dyDescent="0.25">
      <c r="A21" s="182"/>
      <c r="B21" s="5"/>
      <c r="C21" s="5"/>
      <c r="D21" s="15"/>
      <c r="E21" s="22"/>
      <c r="F21" s="22"/>
      <c r="G21" s="22"/>
      <c r="I21" s="5"/>
      <c r="J21" s="5"/>
      <c r="K21" s="22"/>
      <c r="L21" s="22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19"/>
      <c r="AH21" s="5"/>
      <c r="AI21" s="5"/>
      <c r="AJ21" s="5"/>
      <c r="AK21" s="5"/>
    </row>
    <row r="22" spans="1:37" x14ac:dyDescent="0.25">
      <c r="A22" s="182"/>
      <c r="B22" s="5"/>
      <c r="C22" s="5"/>
      <c r="D22" s="15"/>
      <c r="E22" s="22"/>
      <c r="F22" s="22"/>
      <c r="G22" s="22"/>
      <c r="I22" s="5"/>
      <c r="J22" s="5"/>
      <c r="K22" s="22"/>
      <c r="L22" s="22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19"/>
      <c r="AH22" s="5"/>
      <c r="AI22" s="5"/>
      <c r="AJ22" s="5"/>
      <c r="AK22" s="5"/>
    </row>
    <row r="23" spans="1:37" x14ac:dyDescent="0.25">
      <c r="A23" s="182"/>
      <c r="B23" s="5"/>
      <c r="C23" s="5"/>
      <c r="D23" s="15"/>
      <c r="E23" s="22"/>
      <c r="F23" s="22"/>
      <c r="G23" s="22"/>
      <c r="I23" s="5"/>
      <c r="J23" s="5"/>
      <c r="K23" s="22"/>
      <c r="L23" s="22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19"/>
      <c r="AH23" s="5"/>
      <c r="AI23" s="5"/>
      <c r="AJ23" s="5"/>
      <c r="AK23" s="5"/>
    </row>
    <row r="24" spans="1:37" x14ac:dyDescent="0.25">
      <c r="A24" s="182"/>
      <c r="B24" s="5"/>
      <c r="C24" s="5"/>
      <c r="D24" s="15"/>
      <c r="E24" s="22"/>
      <c r="F24" s="22"/>
      <c r="G24" s="22"/>
      <c r="I24" s="5"/>
      <c r="J24" s="5"/>
      <c r="K24" s="22"/>
      <c r="L24" s="22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19"/>
      <c r="AH24" s="5"/>
      <c r="AI24" s="5"/>
      <c r="AJ24" s="5"/>
      <c r="AK24" s="5"/>
    </row>
    <row r="25" spans="1:37" x14ac:dyDescent="0.25">
      <c r="A25" s="182"/>
      <c r="B25" s="5"/>
      <c r="C25" s="5"/>
      <c r="D25" s="15"/>
      <c r="E25" s="22"/>
      <c r="F25" s="22"/>
      <c r="G25" s="22"/>
      <c r="I25" s="5"/>
      <c r="J25" s="5"/>
      <c r="K25" s="22"/>
      <c r="L25" s="22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19"/>
      <c r="AH25" s="5"/>
      <c r="AI25" s="5"/>
      <c r="AJ25" s="5"/>
      <c r="AK25" s="5"/>
    </row>
    <row r="26" spans="1:37" x14ac:dyDescent="0.25">
      <c r="A26" s="182"/>
      <c r="B26" s="5"/>
      <c r="C26" s="5"/>
      <c r="D26" s="15"/>
      <c r="E26" s="22"/>
      <c r="F26" s="22"/>
      <c r="G26" s="22"/>
      <c r="I26" s="5"/>
      <c r="J26" s="5"/>
      <c r="K26" s="22"/>
      <c r="L26" s="22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19"/>
      <c r="AH26" s="5"/>
      <c r="AI26" s="5"/>
      <c r="AJ26" s="5"/>
      <c r="AK26" s="5"/>
    </row>
    <row r="27" spans="1:37" x14ac:dyDescent="0.25">
      <c r="A27" s="182"/>
      <c r="B27" s="5"/>
      <c r="C27" s="5"/>
      <c r="D27" s="15"/>
      <c r="E27" s="22"/>
      <c r="F27" s="22"/>
      <c r="G27" s="22"/>
      <c r="I27" s="5"/>
      <c r="J27" s="5"/>
      <c r="K27" s="22"/>
      <c r="L27" s="22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19"/>
      <c r="AH27" s="5"/>
      <c r="AI27" s="5"/>
      <c r="AJ27" s="5"/>
      <c r="AK27" s="5"/>
    </row>
    <row r="28" spans="1:37" x14ac:dyDescent="0.25">
      <c r="A28" s="182"/>
      <c r="B28" s="5"/>
      <c r="C28" s="5"/>
      <c r="D28" s="15"/>
      <c r="E28" s="22"/>
      <c r="F28" s="22"/>
      <c r="G28" s="22"/>
      <c r="I28" s="5"/>
      <c r="J28" s="5"/>
      <c r="K28" s="22"/>
      <c r="L28" s="22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19"/>
      <c r="AH28" s="5"/>
      <c r="AI28" s="5"/>
      <c r="AJ28" s="5"/>
      <c r="AK28" s="5"/>
    </row>
    <row r="29" spans="1:37" x14ac:dyDescent="0.25">
      <c r="A29" s="182"/>
      <c r="B29" s="5"/>
      <c r="C29" s="5"/>
      <c r="D29" s="15"/>
      <c r="E29" s="22"/>
      <c r="F29" s="22"/>
      <c r="G29" s="22"/>
      <c r="I29" s="5"/>
      <c r="J29" s="5"/>
      <c r="K29" s="22"/>
      <c r="L29" s="22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19"/>
      <c r="AH29" s="5"/>
      <c r="AI29" s="5"/>
      <c r="AJ29" s="5"/>
      <c r="AK29" s="5"/>
    </row>
    <row r="30" spans="1:37" x14ac:dyDescent="0.25">
      <c r="A30" s="182"/>
      <c r="B30" s="5"/>
      <c r="C30" s="5"/>
      <c r="D30" s="15"/>
      <c r="E30" s="22"/>
      <c r="F30" s="22"/>
      <c r="G30" s="22"/>
      <c r="I30" s="5"/>
      <c r="J30" s="5"/>
      <c r="K30" s="22"/>
      <c r="L30" s="22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19"/>
      <c r="AH30" s="5"/>
      <c r="AI30" s="5"/>
      <c r="AJ30" s="5"/>
      <c r="AK30" s="5"/>
    </row>
    <row r="31" spans="1:37" x14ac:dyDescent="0.25">
      <c r="A31" s="182"/>
      <c r="B31" s="5"/>
      <c r="C31" s="5"/>
      <c r="D31" s="15"/>
      <c r="E31" s="22"/>
      <c r="F31" s="22"/>
      <c r="G31" s="22"/>
      <c r="I31" s="5"/>
      <c r="J31" s="5"/>
      <c r="K31" s="22"/>
      <c r="L31" s="22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19"/>
      <c r="AH31" s="5"/>
      <c r="AI31" s="5"/>
      <c r="AJ31" s="5"/>
      <c r="AK31" s="5"/>
    </row>
    <row r="32" spans="1:37" x14ac:dyDescent="0.25">
      <c r="A32" s="182"/>
      <c r="B32" s="5"/>
      <c r="C32" s="5"/>
      <c r="D32" s="15"/>
      <c r="E32" s="22"/>
      <c r="F32" s="22"/>
      <c r="G32" s="22"/>
      <c r="I32" s="5"/>
      <c r="J32" s="5"/>
      <c r="K32" s="22"/>
      <c r="L32" s="22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19"/>
      <c r="AH32" s="5"/>
      <c r="AI32" s="5"/>
      <c r="AJ32" s="5"/>
      <c r="AK32" s="5"/>
    </row>
    <row r="33" spans="1:37" x14ac:dyDescent="0.25">
      <c r="A33" s="182"/>
      <c r="B33" s="5"/>
      <c r="C33" s="5"/>
      <c r="D33" s="15"/>
      <c r="E33" s="22"/>
      <c r="F33" s="22"/>
      <c r="G33" s="22"/>
      <c r="I33" s="5"/>
      <c r="J33" s="5"/>
      <c r="K33" s="22"/>
      <c r="L33" s="22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19"/>
      <c r="AH33" s="5"/>
      <c r="AI33" s="5"/>
      <c r="AJ33" s="5"/>
      <c r="AK33" s="5"/>
    </row>
    <row r="34" spans="1:37" x14ac:dyDescent="0.25">
      <c r="A34" s="182"/>
      <c r="B34" s="5"/>
      <c r="C34" s="5"/>
      <c r="D34" s="15"/>
      <c r="E34" s="22"/>
      <c r="F34" s="22"/>
      <c r="G34" s="22"/>
      <c r="I34" s="5"/>
      <c r="J34" s="5"/>
      <c r="K34" s="22"/>
      <c r="L34" s="22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19"/>
      <c r="AH34" s="5"/>
      <c r="AI34" s="5"/>
      <c r="AJ34" s="5"/>
      <c r="AK34" s="5"/>
    </row>
    <row r="35" spans="1:37" x14ac:dyDescent="0.25">
      <c r="A35" s="182"/>
      <c r="B35" s="5"/>
      <c r="C35" s="5"/>
      <c r="D35" s="15"/>
      <c r="E35" s="22"/>
      <c r="F35" s="22"/>
      <c r="G35" s="22"/>
      <c r="I35" s="5"/>
      <c r="J35" s="5"/>
      <c r="K35" s="22"/>
      <c r="L35" s="22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19"/>
      <c r="AH35" s="5"/>
      <c r="AI35" s="5"/>
      <c r="AJ35" s="5"/>
      <c r="AK35" s="5"/>
    </row>
    <row r="36" spans="1:37" x14ac:dyDescent="0.25">
      <c r="A36" s="182"/>
      <c r="B36" s="5"/>
      <c r="C36" s="5"/>
      <c r="D36" s="15"/>
      <c r="E36" s="22"/>
      <c r="F36" s="22"/>
      <c r="G36" s="22"/>
      <c r="I36" s="5"/>
      <c r="J36" s="5"/>
      <c r="K36" s="22"/>
      <c r="L36" s="22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19"/>
      <c r="AH36" s="5"/>
      <c r="AI36" s="5"/>
      <c r="AJ36" s="5"/>
      <c r="AK36" s="5"/>
    </row>
    <row r="37" spans="1:37" x14ac:dyDescent="0.25">
      <c r="A37" s="182"/>
      <c r="B37" s="5"/>
      <c r="C37" s="5"/>
      <c r="D37" s="15"/>
      <c r="E37" s="22"/>
      <c r="F37" s="22"/>
      <c r="G37" s="22"/>
      <c r="I37" s="5"/>
      <c r="J37" s="5"/>
      <c r="K37" s="22"/>
      <c r="L37" s="22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19"/>
      <c r="AH37" s="5"/>
      <c r="AI37" s="5"/>
      <c r="AJ37" s="5"/>
      <c r="AK37" s="5"/>
    </row>
    <row r="38" spans="1:37" x14ac:dyDescent="0.25">
      <c r="A38" s="182"/>
      <c r="B38" s="5"/>
      <c r="C38" s="5"/>
      <c r="D38" s="15"/>
      <c r="E38" s="22"/>
      <c r="F38" s="22"/>
      <c r="G38" s="22"/>
      <c r="I38" s="5"/>
      <c r="J38" s="5"/>
      <c r="K38" s="22"/>
      <c r="L38" s="22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19"/>
      <c r="AH38" s="5"/>
      <c r="AI38" s="5"/>
      <c r="AJ38" s="5"/>
      <c r="AK38" s="5"/>
    </row>
    <row r="39" spans="1:37" x14ac:dyDescent="0.25">
      <c r="A39" s="182"/>
      <c r="B39" s="5"/>
      <c r="C39" s="5"/>
      <c r="D39" s="15"/>
      <c r="E39" s="22"/>
      <c r="F39" s="22"/>
      <c r="G39" s="22"/>
      <c r="I39" s="5"/>
      <c r="J39" s="5"/>
      <c r="K39" s="22"/>
      <c r="L39" s="22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19"/>
      <c r="AH39" s="5"/>
      <c r="AI39" s="5"/>
      <c r="AJ39" s="5"/>
      <c r="AK39" s="5"/>
    </row>
    <row r="40" spans="1:37" x14ac:dyDescent="0.25">
      <c r="A40" s="182"/>
      <c r="B40" s="5"/>
      <c r="C40" s="5"/>
      <c r="D40" s="15"/>
      <c r="E40" s="22"/>
      <c r="F40" s="22"/>
      <c r="G40" s="22"/>
      <c r="I40" s="5"/>
      <c r="J40" s="5"/>
      <c r="K40" s="22"/>
      <c r="L40" s="22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19"/>
      <c r="AH40" s="5"/>
      <c r="AI40" s="5"/>
      <c r="AJ40" s="5"/>
      <c r="AK40" s="5"/>
    </row>
    <row r="41" spans="1:37" x14ac:dyDescent="0.25">
      <c r="A41" s="182"/>
      <c r="B41" s="5"/>
      <c r="C41" s="5"/>
      <c r="D41" s="15"/>
      <c r="E41" s="22"/>
      <c r="F41" s="22"/>
      <c r="G41" s="22"/>
      <c r="I41" s="5"/>
      <c r="J41" s="5"/>
      <c r="K41" s="22"/>
      <c r="L41" s="22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19"/>
      <c r="AH41" s="5"/>
      <c r="AI41" s="5"/>
      <c r="AJ41" s="5"/>
      <c r="AK41" s="5"/>
    </row>
    <row r="42" spans="1:37" x14ac:dyDescent="0.25">
      <c r="A42" s="182"/>
      <c r="B42" s="5"/>
      <c r="C42" s="5"/>
      <c r="D42" s="15"/>
      <c r="E42" s="22"/>
      <c r="F42" s="22"/>
      <c r="G42" s="22"/>
      <c r="I42" s="5"/>
      <c r="J42" s="5"/>
      <c r="K42" s="22"/>
      <c r="L42" s="22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19"/>
      <c r="AH42" s="5"/>
      <c r="AI42" s="5"/>
      <c r="AJ42" s="5"/>
      <c r="AK42" s="5"/>
    </row>
    <row r="43" spans="1:37" x14ac:dyDescent="0.25">
      <c r="A43" s="182"/>
      <c r="B43" s="5"/>
      <c r="C43" s="5"/>
      <c r="D43" s="15"/>
      <c r="E43" s="22"/>
      <c r="F43" s="22"/>
      <c r="G43" s="22"/>
      <c r="I43" s="5"/>
      <c r="J43" s="5"/>
      <c r="K43" s="22"/>
      <c r="L43" s="22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19"/>
      <c r="AH43" s="5"/>
      <c r="AI43" s="5"/>
      <c r="AJ43" s="5"/>
      <c r="AK43" s="5"/>
    </row>
    <row r="44" spans="1:37" x14ac:dyDescent="0.25">
      <c r="A44" s="182"/>
      <c r="B44" s="5"/>
      <c r="C44" s="5"/>
      <c r="D44" s="15"/>
      <c r="E44" s="22"/>
      <c r="F44" s="22"/>
      <c r="G44" s="22"/>
      <c r="I44" s="5"/>
      <c r="J44" s="5"/>
      <c r="K44" s="22"/>
      <c r="L44" s="22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19"/>
      <c r="AH44" s="5"/>
      <c r="AI44" s="5"/>
      <c r="AJ44" s="5"/>
      <c r="AK44" s="5"/>
    </row>
    <row r="45" spans="1:37" x14ac:dyDescent="0.25">
      <c r="A45" s="182"/>
      <c r="B45" s="5"/>
      <c r="C45" s="5"/>
      <c r="D45" s="15"/>
      <c r="E45" s="22"/>
      <c r="F45" s="22"/>
      <c r="G45" s="22"/>
      <c r="I45" s="5"/>
      <c r="J45" s="5"/>
      <c r="K45" s="22"/>
      <c r="L45" s="22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19"/>
      <c r="AH45" s="5"/>
      <c r="AI45" s="5"/>
      <c r="AJ45" s="5"/>
      <c r="AK45" s="5"/>
    </row>
    <row r="46" spans="1:37" x14ac:dyDescent="0.25">
      <c r="A46" s="182"/>
      <c r="B46" s="5"/>
      <c r="C46" s="5"/>
      <c r="D46" s="15"/>
      <c r="E46" s="22"/>
      <c r="F46" s="22"/>
      <c r="G46" s="22"/>
      <c r="I46" s="5"/>
      <c r="J46" s="5"/>
      <c r="K46" s="22"/>
      <c r="L46" s="22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19"/>
      <c r="AH46" s="5"/>
      <c r="AI46" s="5"/>
      <c r="AJ46" s="5"/>
      <c r="AK46" s="5"/>
    </row>
    <row r="47" spans="1:37" x14ac:dyDescent="0.25">
      <c r="A47" s="182"/>
      <c r="B47" s="5"/>
      <c r="C47" s="5"/>
      <c r="D47" s="15"/>
      <c r="E47" s="22"/>
      <c r="F47" s="22"/>
      <c r="G47" s="22"/>
      <c r="I47" s="5"/>
      <c r="J47" s="5"/>
      <c r="K47" s="22"/>
      <c r="L47" s="22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19"/>
      <c r="AH47" s="5"/>
      <c r="AI47" s="5"/>
      <c r="AJ47" s="5"/>
      <c r="AK47" s="5"/>
    </row>
    <row r="48" spans="1:37" x14ac:dyDescent="0.25">
      <c r="A48" s="182"/>
      <c r="B48" s="5"/>
      <c r="C48" s="5"/>
      <c r="D48" s="15"/>
      <c r="E48" s="22"/>
      <c r="F48" s="22"/>
      <c r="G48" s="22"/>
      <c r="I48" s="5"/>
      <c r="J48" s="5"/>
      <c r="K48" s="22"/>
      <c r="L48" s="2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19"/>
      <c r="AH48" s="5"/>
      <c r="AI48" s="5"/>
      <c r="AJ48" s="5"/>
      <c r="AK48" s="5"/>
    </row>
    <row r="49" spans="1:37" x14ac:dyDescent="0.25">
      <c r="A49" s="182"/>
      <c r="B49" s="5"/>
      <c r="C49" s="5"/>
      <c r="D49" s="15"/>
      <c r="E49" s="22"/>
      <c r="F49" s="22"/>
      <c r="G49" s="22"/>
      <c r="I49" s="5"/>
      <c r="J49" s="5"/>
      <c r="K49" s="22"/>
      <c r="L49" s="22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19"/>
      <c r="AH49" s="5"/>
      <c r="AI49" s="5"/>
      <c r="AJ49" s="5"/>
      <c r="AK49" s="5"/>
    </row>
    <row r="50" spans="1:37" x14ac:dyDescent="0.25">
      <c r="A50" s="182"/>
      <c r="B50" s="5"/>
      <c r="C50" s="5"/>
      <c r="D50" s="15"/>
      <c r="E50" s="22"/>
      <c r="F50" s="22"/>
      <c r="G50" s="22"/>
      <c r="I50" s="5"/>
      <c r="J50" s="5"/>
      <c r="K50" s="22"/>
      <c r="L50" s="22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9"/>
      <c r="AH50" s="5"/>
      <c r="AI50" s="5"/>
      <c r="AJ50" s="5"/>
      <c r="AK50" s="5"/>
    </row>
    <row r="51" spans="1:37" x14ac:dyDescent="0.25">
      <c r="A51" s="182"/>
      <c r="B51" s="5"/>
      <c r="C51" s="5"/>
      <c r="D51" s="15"/>
      <c r="E51" s="22"/>
      <c r="F51" s="22"/>
      <c r="G51" s="22"/>
      <c r="I51" s="5"/>
      <c r="J51" s="5"/>
      <c r="K51" s="22"/>
      <c r="L51" s="22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19"/>
      <c r="AH51" s="5"/>
      <c r="AI51" s="5"/>
      <c r="AJ51" s="5"/>
      <c r="AK51" s="5"/>
    </row>
    <row r="52" spans="1:37" x14ac:dyDescent="0.25">
      <c r="A52" s="182"/>
      <c r="B52" s="6"/>
      <c r="C52" s="6"/>
      <c r="D52" s="15"/>
      <c r="E52" s="22"/>
      <c r="F52" s="22"/>
      <c r="G52" s="22"/>
      <c r="I52" s="5"/>
      <c r="J52" s="5"/>
      <c r="K52" s="22"/>
      <c r="L52" s="22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19"/>
      <c r="AH52" s="5"/>
      <c r="AI52" s="5"/>
      <c r="AJ52" s="5"/>
      <c r="AK52" s="5"/>
    </row>
    <row r="53" spans="1:37" x14ac:dyDescent="0.25">
      <c r="A53" s="182"/>
      <c r="B53" s="6"/>
      <c r="C53" s="6"/>
      <c r="D53" s="15"/>
      <c r="E53" s="22"/>
      <c r="F53" s="22"/>
      <c r="G53" s="22"/>
      <c r="I53" s="5"/>
      <c r="J53" s="5"/>
      <c r="K53" s="22"/>
      <c r="L53" s="22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19"/>
      <c r="AH53" s="5"/>
      <c r="AI53" s="5"/>
      <c r="AJ53" s="5"/>
      <c r="AK53" s="5"/>
    </row>
    <row r="54" spans="1:37" x14ac:dyDescent="0.25">
      <c r="A54" s="182"/>
      <c r="B54" s="6"/>
      <c r="C54" s="6"/>
      <c r="D54" s="15"/>
      <c r="E54" s="22"/>
      <c r="F54" s="22"/>
      <c r="G54" s="22"/>
      <c r="I54" s="5"/>
      <c r="J54" s="5"/>
      <c r="K54" s="22"/>
      <c r="L54" s="22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19"/>
      <c r="AH54" s="5"/>
      <c r="AI54" s="5"/>
      <c r="AJ54" s="5"/>
      <c r="AK54" s="5"/>
    </row>
    <row r="55" spans="1:37" x14ac:dyDescent="0.25">
      <c r="A55" s="182"/>
      <c r="B55" s="6"/>
      <c r="C55" s="6"/>
      <c r="D55" s="15"/>
      <c r="E55" s="22"/>
      <c r="F55" s="22"/>
      <c r="G55" s="22"/>
      <c r="I55" s="5"/>
      <c r="J55" s="5"/>
      <c r="K55" s="22"/>
      <c r="L55" s="22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19"/>
      <c r="AH55" s="5"/>
      <c r="AI55" s="5"/>
      <c r="AJ55" s="5"/>
      <c r="AK55" s="5"/>
    </row>
    <row r="56" spans="1:37" x14ac:dyDescent="0.25">
      <c r="A56" s="182"/>
      <c r="B56" s="6"/>
      <c r="C56" s="6"/>
      <c r="D56" s="15"/>
      <c r="E56" s="22"/>
      <c r="F56" s="22"/>
      <c r="G56" s="22"/>
      <c r="I56" s="5"/>
      <c r="J56" s="5"/>
      <c r="K56" s="22"/>
      <c r="L56" s="22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19"/>
      <c r="AH56" s="5"/>
      <c r="AI56" s="5"/>
      <c r="AJ56" s="5"/>
      <c r="AK56" s="5"/>
    </row>
    <row r="57" spans="1:37" x14ac:dyDescent="0.25">
      <c r="A57" s="182"/>
      <c r="B57" s="6"/>
      <c r="C57" s="6"/>
      <c r="D57" s="15"/>
      <c r="E57" s="22"/>
      <c r="F57" s="22"/>
      <c r="G57" s="22"/>
      <c r="I57" s="5"/>
      <c r="J57" s="5"/>
      <c r="K57" s="22"/>
      <c r="L57" s="22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19"/>
      <c r="AH57" s="5"/>
      <c r="AI57" s="5"/>
      <c r="AJ57" s="5"/>
      <c r="AK57" s="5"/>
    </row>
    <row r="58" spans="1:37" x14ac:dyDescent="0.25">
      <c r="A58" s="182"/>
      <c r="B58" s="6"/>
      <c r="C58" s="6"/>
      <c r="D58" s="15"/>
      <c r="E58" s="22"/>
      <c r="F58" s="22"/>
      <c r="G58" s="22"/>
      <c r="I58" s="5"/>
      <c r="J58" s="5"/>
      <c r="K58" s="22"/>
      <c r="L58" s="22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19"/>
      <c r="AH58" s="5"/>
      <c r="AI58" s="5"/>
      <c r="AJ58" s="5"/>
      <c r="AK58" s="5"/>
    </row>
    <row r="59" spans="1:37" x14ac:dyDescent="0.25">
      <c r="A59" s="182"/>
      <c r="B59" s="6"/>
      <c r="C59" s="6"/>
      <c r="D59" s="15"/>
      <c r="E59" s="22"/>
      <c r="F59" s="22"/>
      <c r="G59" s="22"/>
      <c r="I59" s="5"/>
      <c r="J59" s="5"/>
      <c r="K59" s="22"/>
      <c r="L59" s="22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19"/>
      <c r="AH59" s="5"/>
      <c r="AI59" s="5"/>
      <c r="AJ59" s="5"/>
      <c r="AK59" s="5"/>
    </row>
    <row r="60" spans="1:37" x14ac:dyDescent="0.25">
      <c r="A60" s="182"/>
      <c r="B60" s="6"/>
      <c r="C60" s="6"/>
      <c r="D60" s="15"/>
      <c r="E60" s="22"/>
      <c r="F60" s="22"/>
      <c r="G60" s="22"/>
      <c r="I60" s="5"/>
      <c r="J60" s="5"/>
      <c r="K60" s="22"/>
      <c r="L60" s="22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19"/>
      <c r="AH60" s="5"/>
      <c r="AI60" s="5"/>
      <c r="AJ60" s="5"/>
      <c r="AK60" s="5"/>
    </row>
    <row r="61" spans="1:37" x14ac:dyDescent="0.25">
      <c r="A61" s="182"/>
      <c r="B61" s="6"/>
      <c r="C61" s="6"/>
      <c r="D61" s="15"/>
      <c r="E61" s="22"/>
      <c r="F61" s="22"/>
      <c r="G61" s="22"/>
      <c r="I61" s="5"/>
      <c r="J61" s="5"/>
      <c r="K61" s="22"/>
      <c r="L61" s="22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19"/>
      <c r="AH61" s="5"/>
      <c r="AI61" s="5"/>
      <c r="AJ61" s="5"/>
      <c r="AK61" s="5"/>
    </row>
    <row r="62" spans="1:37" x14ac:dyDescent="0.25">
      <c r="A62" s="182"/>
      <c r="B62" s="6"/>
      <c r="C62" s="6"/>
      <c r="D62" s="15"/>
      <c r="E62" s="22"/>
      <c r="F62" s="22"/>
      <c r="G62" s="22"/>
      <c r="I62" s="5"/>
      <c r="J62" s="5"/>
      <c r="K62" s="22"/>
      <c r="L62" s="22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19"/>
      <c r="AH62" s="5"/>
      <c r="AI62" s="5"/>
      <c r="AJ62" s="5"/>
      <c r="AK62" s="5"/>
    </row>
    <row r="63" spans="1:37" x14ac:dyDescent="0.25">
      <c r="A63" s="182"/>
      <c r="B63" s="6"/>
      <c r="C63" s="6"/>
      <c r="D63" s="15"/>
      <c r="E63" s="22"/>
      <c r="F63" s="22"/>
      <c r="G63" s="22"/>
      <c r="I63" s="5"/>
      <c r="J63" s="5"/>
      <c r="K63" s="22"/>
      <c r="L63" s="22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19"/>
      <c r="AH63" s="5"/>
      <c r="AI63" s="5"/>
      <c r="AJ63" s="5"/>
      <c r="AK63" s="5"/>
    </row>
    <row r="64" spans="1:37" x14ac:dyDescent="0.25">
      <c r="A64" s="182"/>
      <c r="B64" s="6"/>
      <c r="C64" s="6"/>
      <c r="D64" s="15"/>
      <c r="E64" s="22"/>
      <c r="F64" s="22"/>
      <c r="G64" s="22"/>
      <c r="I64" s="5"/>
      <c r="J64" s="5"/>
      <c r="K64" s="22"/>
      <c r="L64" s="22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19"/>
      <c r="AH64" s="5"/>
      <c r="AI64" s="5"/>
      <c r="AJ64" s="5"/>
      <c r="AK64" s="5"/>
    </row>
    <row r="65" spans="1:37" x14ac:dyDescent="0.25">
      <c r="A65" s="182"/>
      <c r="B65" s="6"/>
      <c r="C65" s="6"/>
      <c r="D65" s="15"/>
      <c r="E65" s="22"/>
      <c r="F65" s="22"/>
      <c r="G65" s="22"/>
      <c r="I65" s="5"/>
      <c r="J65" s="5"/>
      <c r="K65" s="22"/>
      <c r="L65" s="22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19"/>
      <c r="AH65" s="5"/>
      <c r="AI65" s="5"/>
      <c r="AJ65" s="5"/>
      <c r="AK65" s="5"/>
    </row>
    <row r="66" spans="1:37" x14ac:dyDescent="0.25">
      <c r="A66" s="182"/>
      <c r="B66" s="6"/>
      <c r="C66" s="6"/>
      <c r="D66" s="15"/>
      <c r="E66" s="22"/>
      <c r="F66" s="22"/>
      <c r="G66" s="22"/>
      <c r="I66" s="5"/>
      <c r="J66" s="5"/>
      <c r="K66" s="22"/>
      <c r="L66" s="22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19"/>
      <c r="AH66" s="5"/>
      <c r="AI66" s="5"/>
      <c r="AJ66" s="5"/>
      <c r="AK66" s="5"/>
    </row>
    <row r="67" spans="1:37" x14ac:dyDescent="0.25">
      <c r="A67" s="182"/>
      <c r="B67" s="6"/>
      <c r="C67" s="6"/>
      <c r="D67" s="15"/>
      <c r="E67" s="22"/>
      <c r="F67" s="22"/>
      <c r="G67" s="22"/>
      <c r="I67" s="5"/>
      <c r="J67" s="5"/>
      <c r="K67" s="22"/>
      <c r="L67" s="22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19"/>
      <c r="AH67" s="5"/>
      <c r="AI67" s="5"/>
      <c r="AJ67" s="5"/>
      <c r="AK67" s="5"/>
    </row>
    <row r="68" spans="1:37" x14ac:dyDescent="0.25">
      <c r="A68" s="182"/>
      <c r="B68" s="6"/>
      <c r="C68" s="6"/>
      <c r="D68" s="15"/>
      <c r="E68" s="22"/>
      <c r="F68" s="22"/>
      <c r="G68" s="22"/>
      <c r="I68" s="5"/>
      <c r="J68" s="5"/>
      <c r="K68" s="22"/>
      <c r="L68" s="22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19"/>
      <c r="AH68" s="5"/>
      <c r="AI68" s="5"/>
      <c r="AJ68" s="5"/>
      <c r="AK68" s="5"/>
    </row>
    <row r="69" spans="1:37" x14ac:dyDescent="0.25">
      <c r="A69" s="182"/>
      <c r="B69" s="6"/>
      <c r="C69" s="6"/>
      <c r="D69" s="15"/>
      <c r="E69" s="22"/>
      <c r="F69" s="22"/>
      <c r="G69" s="22"/>
      <c r="I69" s="5"/>
      <c r="J69" s="5"/>
      <c r="K69" s="22"/>
      <c r="L69" s="22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19"/>
      <c r="AH69" s="5"/>
      <c r="AI69" s="5"/>
      <c r="AJ69" s="5"/>
      <c r="AK69" s="5"/>
    </row>
    <row r="70" spans="1:37" x14ac:dyDescent="0.25">
      <c r="A70" s="182"/>
      <c r="B70" s="6"/>
      <c r="C70" s="6"/>
      <c r="D70" s="15"/>
      <c r="E70" s="22"/>
      <c r="F70" s="22"/>
      <c r="G70" s="22"/>
      <c r="I70" s="5"/>
      <c r="J70" s="5"/>
      <c r="K70" s="22"/>
      <c r="L70" s="22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19"/>
      <c r="AH70" s="5"/>
      <c r="AI70" s="5"/>
      <c r="AJ70" s="5"/>
      <c r="AK70" s="5"/>
    </row>
    <row r="71" spans="1:37" x14ac:dyDescent="0.25">
      <c r="A71" s="182"/>
      <c r="B71" s="6"/>
      <c r="C71" s="6"/>
      <c r="D71" s="15"/>
      <c r="E71" s="22"/>
      <c r="F71" s="22"/>
      <c r="G71" s="22"/>
      <c r="I71" s="5"/>
      <c r="J71" s="5"/>
      <c r="K71" s="22"/>
      <c r="L71" s="22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9"/>
      <c r="AH71" s="5"/>
      <c r="AI71" s="5"/>
      <c r="AJ71" s="5"/>
      <c r="AK71" s="5"/>
    </row>
    <row r="72" spans="1:37" x14ac:dyDescent="0.25">
      <c r="A72" s="182"/>
      <c r="B72" s="6"/>
      <c r="C72" s="6"/>
      <c r="D72" s="15"/>
      <c r="E72" s="22"/>
      <c r="F72" s="22"/>
      <c r="G72" s="22"/>
      <c r="I72" s="5"/>
      <c r="J72" s="5"/>
      <c r="K72" s="22"/>
      <c r="L72" s="22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19"/>
      <c r="AH72" s="5"/>
      <c r="AI72" s="5"/>
      <c r="AJ72" s="5"/>
      <c r="AK72" s="5"/>
    </row>
    <row r="73" spans="1:37" x14ac:dyDescent="0.25">
      <c r="A73" s="182"/>
      <c r="B73" s="6"/>
      <c r="C73" s="6"/>
      <c r="D73" s="15"/>
      <c r="E73" s="22"/>
      <c r="F73" s="22"/>
      <c r="G73" s="22"/>
      <c r="I73" s="5"/>
      <c r="J73" s="5"/>
      <c r="K73" s="22"/>
      <c r="L73" s="22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19"/>
      <c r="AH73" s="5"/>
      <c r="AI73" s="5"/>
      <c r="AJ73" s="5"/>
      <c r="AK73" s="5"/>
    </row>
    <row r="74" spans="1:37" x14ac:dyDescent="0.25">
      <c r="A74" s="182"/>
      <c r="B74" s="6"/>
      <c r="C74" s="6"/>
      <c r="D74" s="15"/>
      <c r="E74" s="22"/>
      <c r="F74" s="22"/>
      <c r="G74" s="22"/>
      <c r="I74" s="5"/>
      <c r="J74" s="5"/>
      <c r="K74" s="22"/>
      <c r="L74" s="22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19"/>
      <c r="AH74" s="5"/>
      <c r="AI74" s="5"/>
      <c r="AJ74" s="5"/>
      <c r="AK74" s="5"/>
    </row>
    <row r="75" spans="1:37" x14ac:dyDescent="0.25">
      <c r="A75" s="182"/>
      <c r="B75" s="6"/>
      <c r="C75" s="6"/>
      <c r="D75" s="15"/>
      <c r="E75" s="22"/>
      <c r="F75" s="22"/>
      <c r="G75" s="22"/>
      <c r="I75" s="5"/>
      <c r="J75" s="5"/>
      <c r="K75" s="22"/>
      <c r="L75" s="22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19"/>
      <c r="AH75" s="5"/>
      <c r="AI75" s="5"/>
      <c r="AJ75" s="5"/>
      <c r="AK75" s="5"/>
    </row>
    <row r="76" spans="1:37" x14ac:dyDescent="0.25">
      <c r="A76" s="182"/>
      <c r="B76" s="6"/>
      <c r="C76" s="6"/>
      <c r="D76" s="15"/>
      <c r="E76" s="22"/>
      <c r="F76" s="22"/>
      <c r="G76" s="22"/>
      <c r="I76" s="5"/>
      <c r="J76" s="5"/>
      <c r="K76" s="22"/>
      <c r="L76" s="22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19"/>
      <c r="AH76" s="5"/>
      <c r="AI76" s="5"/>
      <c r="AJ76" s="5"/>
      <c r="AK76" s="5"/>
    </row>
    <row r="77" spans="1:37" x14ac:dyDescent="0.25">
      <c r="A77" s="182"/>
      <c r="B77" s="6"/>
      <c r="C77" s="6"/>
      <c r="D77" s="15"/>
      <c r="E77" s="22"/>
      <c r="F77" s="22"/>
      <c r="G77" s="22"/>
      <c r="I77" s="5"/>
      <c r="J77" s="5"/>
      <c r="K77" s="22"/>
      <c r="L77" s="22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19"/>
      <c r="AH77" s="5"/>
      <c r="AI77" s="5"/>
      <c r="AJ77" s="5"/>
      <c r="AK77" s="5"/>
    </row>
    <row r="78" spans="1:37" x14ac:dyDescent="0.25">
      <c r="A78" s="182"/>
      <c r="B78" s="6"/>
      <c r="C78" s="6"/>
      <c r="D78" s="15"/>
      <c r="E78" s="22"/>
      <c r="F78" s="22"/>
      <c r="G78" s="22"/>
      <c r="I78" s="5"/>
      <c r="J78" s="5"/>
      <c r="K78" s="22"/>
      <c r="L78" s="22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19"/>
      <c r="AH78" s="5"/>
      <c r="AI78" s="5"/>
      <c r="AJ78" s="5"/>
      <c r="AK78" s="5"/>
    </row>
    <row r="79" spans="1:37" x14ac:dyDescent="0.25">
      <c r="A79" s="182"/>
      <c r="B79" s="6"/>
      <c r="C79" s="6"/>
      <c r="D79" s="15"/>
      <c r="E79" s="22"/>
      <c r="F79" s="22"/>
      <c r="G79" s="22"/>
      <c r="I79" s="5"/>
      <c r="J79" s="5"/>
      <c r="K79" s="22"/>
      <c r="L79" s="22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19"/>
      <c r="AH79" s="5"/>
      <c r="AI79" s="5"/>
      <c r="AJ79" s="5"/>
      <c r="AK79" s="5"/>
    </row>
    <row r="80" spans="1:37" x14ac:dyDescent="0.25">
      <c r="A80" s="182"/>
      <c r="B80" s="6"/>
      <c r="C80" s="6"/>
      <c r="D80" s="15"/>
      <c r="E80" s="22"/>
      <c r="F80" s="22"/>
      <c r="G80" s="22"/>
      <c r="I80" s="5"/>
      <c r="J80" s="5"/>
      <c r="K80" s="22"/>
      <c r="L80" s="22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19"/>
      <c r="AH80" s="5"/>
      <c r="AI80" s="5"/>
      <c r="AJ80" s="5"/>
      <c r="AK80" s="5"/>
    </row>
    <row r="81" spans="1:37" x14ac:dyDescent="0.25">
      <c r="A81" s="182"/>
      <c r="B81" s="6"/>
      <c r="C81" s="6"/>
      <c r="D81" s="15"/>
      <c r="E81" s="22"/>
      <c r="F81" s="22"/>
      <c r="G81" s="22"/>
      <c r="I81" s="5"/>
      <c r="J81" s="5"/>
      <c r="K81" s="22"/>
      <c r="L81" s="22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19"/>
      <c r="AH81" s="5"/>
      <c r="AI81" s="5"/>
      <c r="AJ81" s="5"/>
      <c r="AK81" s="5"/>
    </row>
    <row r="82" spans="1:37" x14ac:dyDescent="0.25">
      <c r="A82" s="182"/>
      <c r="B82" s="6"/>
      <c r="C82" s="6"/>
      <c r="D82" s="15"/>
      <c r="E82" s="22"/>
      <c r="F82" s="22"/>
      <c r="G82" s="22"/>
      <c r="I82" s="5"/>
      <c r="J82" s="5"/>
      <c r="K82" s="22"/>
      <c r="L82" s="22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19"/>
      <c r="AH82" s="5"/>
      <c r="AI82" s="5"/>
      <c r="AJ82" s="5"/>
      <c r="AK82" s="5"/>
    </row>
    <row r="83" spans="1:37" x14ac:dyDescent="0.25">
      <c r="A83" s="182"/>
      <c r="B83" s="6"/>
      <c r="C83" s="6"/>
      <c r="D83" s="15"/>
      <c r="E83" s="22"/>
      <c r="F83" s="22"/>
      <c r="G83" s="22"/>
      <c r="I83" s="5"/>
      <c r="J83" s="5"/>
      <c r="K83" s="22"/>
      <c r="L83" s="22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19"/>
      <c r="AH83" s="5"/>
      <c r="AI83" s="5"/>
      <c r="AJ83" s="5"/>
      <c r="AK83" s="5"/>
    </row>
    <row r="84" spans="1:37" x14ac:dyDescent="0.25">
      <c r="A84" s="182"/>
      <c r="B84" s="6"/>
      <c r="C84" s="6"/>
      <c r="D84" s="15"/>
      <c r="E84" s="22"/>
      <c r="F84" s="22"/>
      <c r="G84" s="22"/>
      <c r="I84" s="5"/>
      <c r="J84" s="5"/>
      <c r="K84" s="22"/>
      <c r="L84" s="22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19"/>
      <c r="AH84" s="5"/>
      <c r="AI84" s="5"/>
      <c r="AJ84" s="5"/>
      <c r="AK84" s="5"/>
    </row>
    <row r="85" spans="1:37" x14ac:dyDescent="0.25">
      <c r="A85" s="182"/>
      <c r="B85" s="6"/>
      <c r="C85" s="6"/>
      <c r="D85" s="15"/>
      <c r="E85" s="22"/>
      <c r="F85" s="22"/>
      <c r="G85" s="22"/>
      <c r="I85" s="5"/>
      <c r="J85" s="5"/>
      <c r="K85" s="22"/>
      <c r="L85" s="22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19"/>
      <c r="AH85" s="5"/>
      <c r="AI85" s="5"/>
      <c r="AJ85" s="5"/>
      <c r="AK85" s="5"/>
    </row>
    <row r="86" spans="1:37" x14ac:dyDescent="0.25">
      <c r="A86" s="182"/>
      <c r="B86" s="6"/>
      <c r="C86" s="6"/>
      <c r="D86" s="15"/>
      <c r="E86" s="22"/>
      <c r="F86" s="22"/>
      <c r="G86" s="22"/>
      <c r="I86" s="5"/>
      <c r="J86" s="5"/>
      <c r="K86" s="22"/>
      <c r="L86" s="22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19"/>
      <c r="AH86" s="5"/>
      <c r="AI86" s="5"/>
      <c r="AJ86" s="5"/>
      <c r="AK86" s="5"/>
    </row>
    <row r="87" spans="1:37" x14ac:dyDescent="0.25">
      <c r="A87" s="182"/>
      <c r="B87" s="6"/>
      <c r="C87" s="6"/>
      <c r="D87" s="15"/>
      <c r="E87" s="22"/>
      <c r="F87" s="22"/>
      <c r="G87" s="22"/>
      <c r="I87" s="5"/>
      <c r="J87" s="5"/>
      <c r="K87" s="22"/>
      <c r="L87" s="22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19"/>
      <c r="AH87" s="5"/>
      <c r="AI87" s="5"/>
      <c r="AJ87" s="5"/>
      <c r="AK87" s="5"/>
    </row>
    <row r="88" spans="1:37" x14ac:dyDescent="0.25">
      <c r="A88" s="182"/>
      <c r="B88" s="6"/>
      <c r="C88" s="6"/>
      <c r="D88" s="15"/>
      <c r="E88" s="22"/>
      <c r="F88" s="22"/>
      <c r="G88" s="22"/>
      <c r="I88" s="5"/>
      <c r="J88" s="5"/>
      <c r="K88" s="22"/>
      <c r="L88" s="22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19"/>
      <c r="AH88" s="5"/>
      <c r="AI88" s="5"/>
      <c r="AJ88" s="5"/>
      <c r="AK88" s="5"/>
    </row>
    <row r="89" spans="1:37" x14ac:dyDescent="0.25">
      <c r="A89" s="182"/>
      <c r="B89" s="6"/>
      <c r="C89" s="6"/>
      <c r="D89" s="15"/>
      <c r="E89" s="22"/>
      <c r="F89" s="22"/>
      <c r="G89" s="22"/>
      <c r="I89" s="5"/>
      <c r="J89" s="5"/>
      <c r="K89" s="22"/>
      <c r="L89" s="22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19"/>
      <c r="AH89" s="5"/>
      <c r="AI89" s="5"/>
      <c r="AJ89" s="5"/>
      <c r="AK89" s="5"/>
    </row>
    <row r="90" spans="1:37" x14ac:dyDescent="0.25">
      <c r="A90" s="182"/>
      <c r="B90" s="6"/>
      <c r="C90" s="6"/>
      <c r="D90" s="15"/>
      <c r="E90" s="22"/>
      <c r="F90" s="22"/>
      <c r="G90" s="22"/>
      <c r="I90" s="5"/>
      <c r="J90" s="5"/>
      <c r="K90" s="22"/>
      <c r="L90" s="22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19"/>
      <c r="AH90" s="5"/>
      <c r="AI90" s="5"/>
      <c r="AJ90" s="5"/>
      <c r="AK90" s="5"/>
    </row>
    <row r="91" spans="1:37" x14ac:dyDescent="0.25">
      <c r="A91" s="182"/>
      <c r="B91" s="6"/>
      <c r="C91" s="6"/>
      <c r="D91" s="15"/>
      <c r="E91" s="22"/>
      <c r="F91" s="22"/>
      <c r="G91" s="22"/>
      <c r="I91" s="5"/>
      <c r="J91" s="5"/>
      <c r="K91" s="22"/>
      <c r="L91" s="22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19"/>
      <c r="AH91" s="5"/>
      <c r="AI91" s="5"/>
      <c r="AJ91" s="5"/>
      <c r="AK91" s="5"/>
    </row>
    <row r="92" spans="1:37" x14ac:dyDescent="0.25">
      <c r="A92" s="182"/>
      <c r="B92" s="6"/>
      <c r="C92" s="6"/>
      <c r="D92" s="15"/>
      <c r="E92" s="22"/>
      <c r="F92" s="22"/>
      <c r="G92" s="22"/>
      <c r="I92" s="5"/>
      <c r="J92" s="5"/>
      <c r="K92" s="22"/>
      <c r="L92" s="22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19"/>
      <c r="AH92" s="5"/>
      <c r="AI92" s="5"/>
      <c r="AJ92" s="5"/>
      <c r="AK92" s="5"/>
    </row>
    <row r="93" spans="1:37" x14ac:dyDescent="0.25">
      <c r="A93" s="182"/>
      <c r="B93" s="6"/>
      <c r="C93" s="6"/>
      <c r="D93" s="15"/>
      <c r="E93" s="22"/>
      <c r="F93" s="22"/>
      <c r="G93" s="22"/>
      <c r="I93" s="5"/>
      <c r="J93" s="5"/>
      <c r="K93" s="22"/>
      <c r="L93" s="22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19"/>
      <c r="AH93" s="5"/>
      <c r="AI93" s="5"/>
      <c r="AJ93" s="5"/>
      <c r="AK93" s="5"/>
    </row>
    <row r="94" spans="1:37" x14ac:dyDescent="0.25">
      <c r="A94" s="182"/>
      <c r="B94" s="6"/>
      <c r="C94" s="6"/>
      <c r="D94" s="15"/>
      <c r="E94" s="22"/>
      <c r="F94" s="22"/>
      <c r="G94" s="22"/>
      <c r="I94" s="5"/>
      <c r="J94" s="5"/>
      <c r="K94" s="22"/>
      <c r="L94" s="22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19"/>
      <c r="AH94" s="5"/>
      <c r="AI94" s="5"/>
      <c r="AJ94" s="5"/>
      <c r="AK94" s="5"/>
    </row>
    <row r="95" spans="1:37" x14ac:dyDescent="0.25">
      <c r="A95" s="182"/>
      <c r="B95" s="6"/>
      <c r="C95" s="6"/>
      <c r="D95" s="15"/>
      <c r="E95" s="22"/>
      <c r="F95" s="22"/>
      <c r="G95" s="22"/>
      <c r="I95" s="5"/>
      <c r="J95" s="5"/>
      <c r="K95" s="22"/>
      <c r="L95" s="22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19"/>
      <c r="AH95" s="5"/>
      <c r="AI95" s="5"/>
      <c r="AJ95" s="5"/>
      <c r="AK95" s="5"/>
    </row>
    <row r="96" spans="1:37" x14ac:dyDescent="0.25">
      <c r="A96" s="182"/>
      <c r="B96" s="6"/>
      <c r="C96" s="6"/>
      <c r="D96" s="15"/>
      <c r="E96" s="22"/>
      <c r="F96" s="22"/>
      <c r="G96" s="22"/>
      <c r="I96" s="5"/>
      <c r="J96" s="5"/>
      <c r="K96" s="22"/>
      <c r="L96" s="22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19"/>
      <c r="AH96" s="5"/>
      <c r="AI96" s="5"/>
      <c r="AJ96" s="5"/>
      <c r="AK96" s="5"/>
    </row>
    <row r="97" spans="1:37" x14ac:dyDescent="0.25">
      <c r="A97" s="182"/>
      <c r="B97" s="6"/>
      <c r="C97" s="6"/>
      <c r="D97" s="15"/>
      <c r="E97" s="22"/>
      <c r="F97" s="22"/>
      <c r="G97" s="22"/>
      <c r="I97" s="5"/>
      <c r="J97" s="5"/>
      <c r="K97" s="22"/>
      <c r="L97" s="22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19"/>
      <c r="AH97" s="5"/>
      <c r="AI97" s="5"/>
      <c r="AJ97" s="5"/>
      <c r="AK97" s="5"/>
    </row>
    <row r="98" spans="1:37" x14ac:dyDescent="0.25">
      <c r="A98" s="182"/>
      <c r="B98" s="6"/>
      <c r="C98" s="6"/>
      <c r="D98" s="15"/>
      <c r="E98" s="22"/>
      <c r="F98" s="22"/>
      <c r="G98" s="22"/>
      <c r="I98" s="5"/>
      <c r="J98" s="5"/>
      <c r="K98" s="22"/>
      <c r="L98" s="22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19"/>
      <c r="AH98" s="5"/>
      <c r="AI98" s="5"/>
      <c r="AJ98" s="5"/>
      <c r="AK98" s="5"/>
    </row>
    <row r="99" spans="1:37" x14ac:dyDescent="0.25">
      <c r="A99" s="182"/>
      <c r="B99" s="6"/>
      <c r="C99" s="6"/>
      <c r="D99" s="15"/>
      <c r="E99" s="22"/>
      <c r="F99" s="22"/>
      <c r="G99" s="22"/>
      <c r="I99" s="5"/>
      <c r="J99" s="5"/>
      <c r="K99" s="22"/>
      <c r="L99" s="22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19"/>
      <c r="AH99" s="5"/>
      <c r="AI99" s="5"/>
      <c r="AJ99" s="5"/>
      <c r="AK99" s="5"/>
    </row>
    <row r="100" spans="1:37" x14ac:dyDescent="0.25">
      <c r="A100" s="182"/>
      <c r="B100" s="6"/>
      <c r="C100" s="6"/>
      <c r="D100" s="15"/>
      <c r="E100" s="22"/>
      <c r="F100" s="22"/>
      <c r="G100" s="22"/>
      <c r="I100" s="5"/>
      <c r="J100" s="5"/>
      <c r="K100" s="22"/>
      <c r="L100" s="22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19"/>
      <c r="AH100" s="5"/>
      <c r="AI100" s="5"/>
      <c r="AJ100" s="5"/>
      <c r="AK100" s="5"/>
    </row>
    <row r="101" spans="1:37" x14ac:dyDescent="0.25">
      <c r="A101" s="182"/>
      <c r="B101" s="6"/>
      <c r="C101" s="6"/>
      <c r="D101" s="15"/>
      <c r="E101" s="22"/>
      <c r="F101" s="22"/>
      <c r="G101" s="22"/>
      <c r="I101" s="5"/>
      <c r="J101" s="5"/>
      <c r="K101" s="22"/>
      <c r="L101" s="22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19"/>
      <c r="AH101" s="5"/>
      <c r="AI101" s="5"/>
      <c r="AJ101" s="5"/>
      <c r="AK101" s="5"/>
    </row>
    <row r="102" spans="1:37" x14ac:dyDescent="0.25">
      <c r="A102" s="182"/>
      <c r="B102" s="6"/>
      <c r="C102" s="6"/>
      <c r="D102" s="15"/>
      <c r="E102" s="22"/>
      <c r="F102" s="22"/>
      <c r="G102" s="22"/>
      <c r="I102" s="5"/>
      <c r="J102" s="5"/>
      <c r="K102" s="22"/>
      <c r="L102" s="22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19"/>
      <c r="AH102" s="5"/>
      <c r="AI102" s="5"/>
      <c r="AJ102" s="5"/>
      <c r="AK102" s="5"/>
    </row>
    <row r="103" spans="1:37" x14ac:dyDescent="0.25">
      <c r="A103" s="182"/>
      <c r="B103" s="6"/>
      <c r="C103" s="6"/>
      <c r="D103" s="15"/>
      <c r="E103" s="22"/>
      <c r="F103" s="22"/>
      <c r="G103" s="22"/>
      <c r="I103" s="5"/>
      <c r="J103" s="5"/>
      <c r="K103" s="22"/>
      <c r="L103" s="22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19"/>
      <c r="AH103" s="5"/>
      <c r="AI103" s="5"/>
      <c r="AJ103" s="5"/>
      <c r="AK103" s="5"/>
    </row>
    <row r="104" spans="1:37" x14ac:dyDescent="0.25">
      <c r="A104" s="182"/>
      <c r="B104" s="6"/>
      <c r="C104" s="6"/>
      <c r="D104" s="15"/>
      <c r="E104" s="22"/>
      <c r="F104" s="22"/>
      <c r="G104" s="22"/>
      <c r="I104" s="5"/>
      <c r="J104" s="5"/>
      <c r="K104" s="22"/>
      <c r="L104" s="22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19"/>
      <c r="AH104" s="5"/>
      <c r="AI104" s="5"/>
      <c r="AJ104" s="5"/>
      <c r="AK104" s="5"/>
    </row>
    <row r="105" spans="1:37" x14ac:dyDescent="0.25">
      <c r="A105" s="182"/>
      <c r="B105" s="6"/>
      <c r="C105" s="6"/>
      <c r="D105" s="15"/>
      <c r="E105" s="22"/>
      <c r="F105" s="22"/>
      <c r="G105" s="22"/>
      <c r="I105" s="5"/>
      <c r="J105" s="5"/>
      <c r="K105" s="22"/>
      <c r="L105" s="22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19"/>
      <c r="AH105" s="5"/>
      <c r="AI105" s="5"/>
      <c r="AJ105" s="5"/>
      <c r="AK105" s="5"/>
    </row>
    <row r="106" spans="1:37" x14ac:dyDescent="0.25">
      <c r="A106" s="182"/>
      <c r="B106" s="6"/>
      <c r="C106" s="6"/>
      <c r="D106" s="15"/>
      <c r="E106" s="22"/>
      <c r="F106" s="22"/>
      <c r="G106" s="22"/>
      <c r="I106" s="5"/>
      <c r="J106" s="5"/>
      <c r="K106" s="22"/>
      <c r="L106" s="22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19"/>
      <c r="AH106" s="5"/>
      <c r="AI106" s="5"/>
      <c r="AJ106" s="5"/>
      <c r="AK106" s="5"/>
    </row>
    <row r="107" spans="1:37" x14ac:dyDescent="0.25">
      <c r="A107" s="182"/>
      <c r="B107" s="6"/>
      <c r="C107" s="6"/>
      <c r="D107" s="15"/>
      <c r="E107" s="22"/>
      <c r="F107" s="22"/>
      <c r="G107" s="22"/>
      <c r="I107" s="5"/>
      <c r="J107" s="5"/>
      <c r="K107" s="22"/>
      <c r="L107" s="22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19"/>
      <c r="AH107" s="5"/>
      <c r="AI107" s="5"/>
      <c r="AJ107" s="5"/>
      <c r="AK107" s="5"/>
    </row>
    <row r="108" spans="1:37" x14ac:dyDescent="0.25">
      <c r="A108" s="182"/>
      <c r="B108" s="6"/>
      <c r="C108" s="6"/>
      <c r="D108" s="15"/>
      <c r="E108" s="22"/>
      <c r="F108" s="22"/>
      <c r="G108" s="22"/>
      <c r="I108" s="5"/>
      <c r="J108" s="5"/>
      <c r="K108" s="22"/>
      <c r="L108" s="22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19"/>
      <c r="AH108" s="5"/>
      <c r="AI108" s="5"/>
      <c r="AJ108" s="5"/>
      <c r="AK108" s="5"/>
    </row>
    <row r="109" spans="1:37" x14ac:dyDescent="0.25">
      <c r="A109" s="182"/>
      <c r="B109" s="6"/>
      <c r="C109" s="6"/>
      <c r="D109" s="15"/>
      <c r="E109" s="22"/>
      <c r="F109" s="22"/>
      <c r="G109" s="22"/>
      <c r="I109" s="5"/>
      <c r="J109" s="5"/>
      <c r="K109" s="22"/>
      <c r="L109" s="22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19"/>
      <c r="AH109" s="5"/>
      <c r="AI109" s="5"/>
      <c r="AJ109" s="5"/>
      <c r="AK109" s="5"/>
    </row>
    <row r="110" spans="1:37" x14ac:dyDescent="0.25">
      <c r="A110" s="182"/>
      <c r="B110" s="6"/>
      <c r="C110" s="6"/>
      <c r="D110" s="15"/>
      <c r="E110" s="22"/>
      <c r="F110" s="22"/>
      <c r="G110" s="22"/>
      <c r="I110" s="5"/>
      <c r="J110" s="5"/>
      <c r="K110" s="22"/>
      <c r="L110" s="22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19"/>
      <c r="AH110" s="5"/>
      <c r="AI110" s="5"/>
      <c r="AJ110" s="5"/>
      <c r="AK110" s="5"/>
    </row>
    <row r="111" spans="1:37" x14ac:dyDescent="0.25">
      <c r="A111" s="182"/>
      <c r="B111" s="6"/>
      <c r="C111" s="6"/>
      <c r="D111" s="15"/>
      <c r="E111" s="22"/>
      <c r="F111" s="22"/>
      <c r="G111" s="22"/>
      <c r="I111" s="5"/>
      <c r="J111" s="5"/>
      <c r="K111" s="22"/>
      <c r="L111" s="22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19"/>
      <c r="AH111" s="5"/>
      <c r="AI111" s="5"/>
      <c r="AJ111" s="5"/>
      <c r="AK111" s="5"/>
    </row>
    <row r="112" spans="1:37" x14ac:dyDescent="0.25">
      <c r="A112" s="182"/>
      <c r="B112" s="6"/>
      <c r="C112" s="6"/>
      <c r="D112" s="15"/>
      <c r="E112" s="22"/>
      <c r="F112" s="22"/>
      <c r="G112" s="22"/>
      <c r="I112" s="5"/>
      <c r="J112" s="5"/>
      <c r="K112" s="22"/>
      <c r="L112" s="22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19"/>
      <c r="AH112" s="5"/>
      <c r="AI112" s="5"/>
      <c r="AJ112" s="5"/>
      <c r="AK112" s="5"/>
    </row>
    <row r="113" spans="1:37" x14ac:dyDescent="0.25">
      <c r="A113" s="182"/>
      <c r="B113" s="6"/>
      <c r="C113" s="6"/>
      <c r="D113" s="15"/>
      <c r="E113" s="22"/>
      <c r="F113" s="22"/>
      <c r="G113" s="22"/>
      <c r="I113" s="5"/>
      <c r="J113" s="5"/>
      <c r="K113" s="22"/>
      <c r="L113" s="22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19"/>
      <c r="AH113" s="5"/>
      <c r="AI113" s="5"/>
      <c r="AJ113" s="5"/>
      <c r="AK113" s="5"/>
    </row>
    <row r="114" spans="1:37" x14ac:dyDescent="0.25">
      <c r="A114" s="182"/>
      <c r="B114" s="6"/>
      <c r="C114" s="6"/>
      <c r="D114" s="15"/>
      <c r="E114" s="22"/>
      <c r="F114" s="22"/>
      <c r="G114" s="22"/>
      <c r="I114" s="5"/>
      <c r="J114" s="5"/>
      <c r="K114" s="22"/>
      <c r="L114" s="22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19"/>
      <c r="AH114" s="5"/>
      <c r="AI114" s="5"/>
      <c r="AJ114" s="5"/>
      <c r="AK114" s="5"/>
    </row>
    <row r="115" spans="1:37" x14ac:dyDescent="0.25">
      <c r="A115" s="182"/>
      <c r="B115" s="6"/>
      <c r="C115" s="6"/>
      <c r="D115" s="15"/>
      <c r="E115" s="22"/>
      <c r="F115" s="22"/>
      <c r="G115" s="22"/>
      <c r="I115" s="5"/>
      <c r="J115" s="5"/>
      <c r="K115" s="22"/>
      <c r="L115" s="22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19"/>
      <c r="AH115" s="5"/>
      <c r="AI115" s="5"/>
      <c r="AJ115" s="5"/>
      <c r="AK115" s="5"/>
    </row>
    <row r="116" spans="1:37" x14ac:dyDescent="0.25">
      <c r="A116" s="182"/>
      <c r="B116" s="6"/>
      <c r="C116" s="6"/>
      <c r="D116" s="15"/>
      <c r="E116" s="22"/>
      <c r="F116" s="22"/>
      <c r="G116" s="22"/>
      <c r="I116" s="5"/>
      <c r="J116" s="5"/>
      <c r="K116" s="22"/>
      <c r="L116" s="22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19"/>
      <c r="AH116" s="5"/>
      <c r="AI116" s="5"/>
      <c r="AJ116" s="5"/>
      <c r="AK116" s="5"/>
    </row>
    <row r="117" spans="1:37" x14ac:dyDescent="0.25">
      <c r="A117" s="182"/>
      <c r="B117" s="6"/>
      <c r="C117" s="6"/>
      <c r="D117" s="15"/>
      <c r="E117" s="22"/>
      <c r="F117" s="22"/>
      <c r="G117" s="22"/>
      <c r="I117" s="5"/>
      <c r="J117" s="5"/>
      <c r="K117" s="22"/>
      <c r="L117" s="22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19"/>
      <c r="AH117" s="5"/>
      <c r="AI117" s="5"/>
      <c r="AJ117" s="5"/>
      <c r="AK117" s="5"/>
    </row>
    <row r="118" spans="1:37" x14ac:dyDescent="0.25">
      <c r="A118" s="182"/>
      <c r="B118" s="6"/>
      <c r="C118" s="6"/>
      <c r="D118" s="15"/>
      <c r="E118" s="22"/>
      <c r="F118" s="22"/>
      <c r="G118" s="22"/>
      <c r="I118" s="5"/>
      <c r="J118" s="5"/>
      <c r="K118" s="22"/>
      <c r="L118" s="22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19"/>
      <c r="AH118" s="5"/>
      <c r="AI118" s="5"/>
      <c r="AJ118" s="5"/>
      <c r="AK118" s="5"/>
    </row>
    <row r="119" spans="1:37" x14ac:dyDescent="0.25">
      <c r="A119" s="182"/>
      <c r="B119" s="6"/>
      <c r="C119" s="6"/>
      <c r="D119" s="15"/>
      <c r="E119" s="22"/>
      <c r="F119" s="22"/>
      <c r="G119" s="22"/>
      <c r="I119" s="5"/>
      <c r="J119" s="5"/>
      <c r="K119" s="22"/>
      <c r="L119" s="22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19"/>
      <c r="AH119" s="5"/>
      <c r="AI119" s="5"/>
      <c r="AJ119" s="5"/>
      <c r="AK119" s="5"/>
    </row>
    <row r="120" spans="1:37" x14ac:dyDescent="0.25">
      <c r="A120" s="182"/>
      <c r="B120" s="6"/>
      <c r="C120" s="6"/>
      <c r="D120" s="15"/>
      <c r="E120" s="22"/>
      <c r="F120" s="22"/>
      <c r="G120" s="22"/>
      <c r="I120" s="5"/>
      <c r="J120" s="5"/>
      <c r="K120" s="22"/>
      <c r="L120" s="22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19"/>
      <c r="AH120" s="5"/>
      <c r="AI120" s="5"/>
      <c r="AJ120" s="5"/>
      <c r="AK120" s="5"/>
    </row>
    <row r="121" spans="1:37" x14ac:dyDescent="0.25">
      <c r="A121" s="182"/>
      <c r="B121" s="6"/>
      <c r="C121" s="6"/>
      <c r="D121" s="15"/>
      <c r="E121" s="22"/>
      <c r="F121" s="22"/>
      <c r="G121" s="22"/>
      <c r="I121" s="5"/>
      <c r="J121" s="5"/>
      <c r="K121" s="22"/>
      <c r="L121" s="22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19"/>
      <c r="AH121" s="5"/>
      <c r="AI121" s="5"/>
      <c r="AJ121" s="5"/>
      <c r="AK121" s="5"/>
    </row>
    <row r="122" spans="1:37" x14ac:dyDescent="0.25">
      <c r="A122" s="182"/>
      <c r="B122" s="6"/>
      <c r="C122" s="6"/>
      <c r="D122" s="15"/>
      <c r="E122" s="22"/>
      <c r="F122" s="22"/>
      <c r="G122" s="22"/>
      <c r="I122" s="5"/>
      <c r="J122" s="5"/>
      <c r="K122" s="22"/>
      <c r="L122" s="22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19"/>
      <c r="AH122" s="5"/>
      <c r="AI122" s="5"/>
      <c r="AJ122" s="5"/>
      <c r="AK122" s="5"/>
    </row>
    <row r="123" spans="1:37" x14ac:dyDescent="0.25">
      <c r="A123" s="182"/>
      <c r="B123" s="6"/>
      <c r="C123" s="6"/>
      <c r="D123" s="15"/>
      <c r="E123" s="22"/>
      <c r="F123" s="22"/>
      <c r="G123" s="22"/>
      <c r="I123" s="5"/>
      <c r="J123" s="5"/>
      <c r="K123" s="22"/>
      <c r="L123" s="22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19"/>
      <c r="AH123" s="5"/>
      <c r="AI123" s="5"/>
      <c r="AJ123" s="5"/>
      <c r="AK123" s="5"/>
    </row>
    <row r="124" spans="1:37" x14ac:dyDescent="0.25">
      <c r="A124" s="182"/>
      <c r="B124" s="6"/>
      <c r="C124" s="6"/>
      <c r="D124" s="15"/>
      <c r="E124" s="22"/>
      <c r="F124" s="22"/>
      <c r="G124" s="22"/>
      <c r="I124" s="5"/>
      <c r="J124" s="5"/>
      <c r="K124" s="22"/>
      <c r="L124" s="22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19"/>
      <c r="AH124" s="5"/>
      <c r="AI124" s="5"/>
      <c r="AJ124" s="5"/>
      <c r="AK124" s="5"/>
    </row>
    <row r="125" spans="1:37" x14ac:dyDescent="0.25">
      <c r="A125" s="182"/>
      <c r="B125" s="6"/>
      <c r="C125" s="6"/>
      <c r="D125" s="15"/>
      <c r="E125" s="22"/>
      <c r="F125" s="22"/>
      <c r="G125" s="22"/>
      <c r="I125" s="5"/>
      <c r="J125" s="5"/>
      <c r="K125" s="22"/>
      <c r="L125" s="22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19"/>
      <c r="AH125" s="5"/>
      <c r="AI125" s="5"/>
      <c r="AJ125" s="5"/>
      <c r="AK125" s="5"/>
    </row>
    <row r="126" spans="1:37" x14ac:dyDescent="0.25">
      <c r="A126" s="182"/>
      <c r="B126" s="6"/>
      <c r="C126" s="6"/>
      <c r="D126" s="15"/>
      <c r="E126" s="22"/>
      <c r="F126" s="22"/>
      <c r="G126" s="22"/>
      <c r="I126" s="5"/>
      <c r="J126" s="5"/>
      <c r="K126" s="22"/>
      <c r="L126" s="22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19"/>
      <c r="AH126" s="5"/>
      <c r="AI126" s="5"/>
      <c r="AJ126" s="5"/>
      <c r="AK126" s="5"/>
    </row>
    <row r="127" spans="1:37" x14ac:dyDescent="0.25">
      <c r="A127" s="182"/>
      <c r="B127" s="6"/>
      <c r="C127" s="6"/>
      <c r="D127" s="15"/>
      <c r="E127" s="22"/>
      <c r="F127" s="22"/>
      <c r="G127" s="22"/>
      <c r="I127" s="5"/>
      <c r="J127" s="5"/>
      <c r="K127" s="22"/>
      <c r="L127" s="22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19"/>
      <c r="AH127" s="5"/>
      <c r="AI127" s="5"/>
      <c r="AJ127" s="5"/>
      <c r="AK127" s="5"/>
    </row>
    <row r="128" spans="1:37" x14ac:dyDescent="0.25">
      <c r="A128" s="182"/>
      <c r="B128" s="6"/>
      <c r="C128" s="6"/>
      <c r="D128" s="15"/>
      <c r="E128" s="22"/>
      <c r="F128" s="22"/>
      <c r="G128" s="22"/>
      <c r="I128" s="5"/>
      <c r="J128" s="5"/>
      <c r="K128" s="22"/>
      <c r="L128" s="22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19"/>
      <c r="AH128" s="5"/>
      <c r="AI128" s="5"/>
      <c r="AJ128" s="5"/>
      <c r="AK128" s="5"/>
    </row>
    <row r="129" spans="1:37" x14ac:dyDescent="0.25">
      <c r="A129" s="182"/>
      <c r="B129" s="6"/>
      <c r="C129" s="6"/>
      <c r="D129" s="15"/>
      <c r="E129" s="22"/>
      <c r="F129" s="22"/>
      <c r="G129" s="22"/>
      <c r="I129" s="5"/>
      <c r="J129" s="5"/>
      <c r="K129" s="22"/>
      <c r="L129" s="22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19"/>
      <c r="AH129" s="5"/>
      <c r="AI129" s="5"/>
      <c r="AJ129" s="5"/>
      <c r="AK129" s="5"/>
    </row>
    <row r="130" spans="1:37" x14ac:dyDescent="0.25">
      <c r="A130" s="182"/>
      <c r="B130" s="6"/>
      <c r="C130" s="6"/>
      <c r="D130" s="15"/>
      <c r="E130" s="22"/>
      <c r="F130" s="22"/>
      <c r="G130" s="22"/>
      <c r="I130" s="5"/>
      <c r="J130" s="5"/>
      <c r="K130" s="22"/>
      <c r="L130" s="22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19"/>
      <c r="AH130" s="5"/>
      <c r="AI130" s="5"/>
      <c r="AJ130" s="5"/>
      <c r="AK130" s="5"/>
    </row>
    <row r="131" spans="1:37" x14ac:dyDescent="0.25">
      <c r="A131" s="182"/>
      <c r="B131" s="6"/>
      <c r="C131" s="6"/>
      <c r="D131" s="15"/>
      <c r="E131" s="22"/>
      <c r="F131" s="22"/>
      <c r="G131" s="22"/>
      <c r="I131" s="5"/>
      <c r="J131" s="5"/>
      <c r="K131" s="22"/>
      <c r="L131" s="22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19"/>
      <c r="AH131" s="5"/>
      <c r="AI131" s="5"/>
      <c r="AJ131" s="5"/>
      <c r="AK131" s="5"/>
    </row>
    <row r="132" spans="1:37" x14ac:dyDescent="0.25">
      <c r="A132" s="182"/>
      <c r="B132" s="6"/>
      <c r="C132" s="6"/>
      <c r="D132" s="15"/>
      <c r="E132" s="22"/>
      <c r="F132" s="22"/>
      <c r="G132" s="22"/>
      <c r="I132" s="5"/>
      <c r="J132" s="5"/>
      <c r="K132" s="22"/>
      <c r="L132" s="22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19"/>
      <c r="AH132" s="5"/>
      <c r="AI132" s="5"/>
      <c r="AJ132" s="5"/>
      <c r="AK132" s="5"/>
    </row>
    <row r="133" spans="1:37" x14ac:dyDescent="0.25">
      <c r="A133" s="182"/>
      <c r="B133" s="6"/>
      <c r="C133" s="6"/>
      <c r="D133" s="15"/>
      <c r="E133" s="22"/>
      <c r="F133" s="22"/>
      <c r="G133" s="22"/>
      <c r="I133" s="5"/>
      <c r="J133" s="5"/>
      <c r="K133" s="22"/>
      <c r="L133" s="22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19"/>
      <c r="AH133" s="5"/>
      <c r="AI133" s="5"/>
      <c r="AJ133" s="5"/>
      <c r="AK133" s="5"/>
    </row>
    <row r="134" spans="1:37" x14ac:dyDescent="0.25">
      <c r="A134" s="182"/>
      <c r="B134" s="6"/>
      <c r="C134" s="6"/>
      <c r="D134" s="15"/>
      <c r="E134" s="22"/>
      <c r="F134" s="22"/>
      <c r="G134" s="22"/>
      <c r="I134" s="5"/>
      <c r="J134" s="5"/>
      <c r="K134" s="22"/>
      <c r="L134" s="22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19"/>
      <c r="AH134" s="5"/>
      <c r="AI134" s="5"/>
      <c r="AJ134" s="5"/>
      <c r="AK134" s="5"/>
    </row>
    <row r="135" spans="1:37" x14ac:dyDescent="0.25">
      <c r="A135" s="182"/>
      <c r="B135" s="6"/>
      <c r="C135" s="6"/>
      <c r="D135" s="15"/>
      <c r="E135" s="22"/>
      <c r="F135" s="22"/>
      <c r="G135" s="22"/>
      <c r="I135" s="5"/>
      <c r="J135" s="5"/>
      <c r="K135" s="22"/>
      <c r="L135" s="22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19"/>
      <c r="AH135" s="5"/>
      <c r="AI135" s="5"/>
      <c r="AJ135" s="5"/>
      <c r="AK135" s="5"/>
    </row>
    <row r="136" spans="1:37" x14ac:dyDescent="0.25">
      <c r="A136" s="182"/>
      <c r="B136" s="6"/>
      <c r="C136" s="6"/>
      <c r="D136" s="15"/>
      <c r="E136" s="22"/>
      <c r="F136" s="22"/>
      <c r="G136" s="22"/>
      <c r="I136" s="5"/>
      <c r="J136" s="5"/>
      <c r="K136" s="22"/>
      <c r="L136" s="22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19"/>
      <c r="AH136" s="5"/>
      <c r="AI136" s="5"/>
      <c r="AJ136" s="5"/>
      <c r="AK136" s="5"/>
    </row>
    <row r="137" spans="1:37" x14ac:dyDescent="0.25">
      <c r="A137" s="182"/>
      <c r="B137" s="6"/>
      <c r="C137" s="6"/>
      <c r="D137" s="15"/>
      <c r="E137" s="22"/>
      <c r="F137" s="22"/>
      <c r="G137" s="22"/>
      <c r="I137" s="5"/>
      <c r="J137" s="5"/>
      <c r="K137" s="22"/>
      <c r="L137" s="22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19"/>
      <c r="AH137" s="5"/>
      <c r="AI137" s="5"/>
      <c r="AJ137" s="5"/>
      <c r="AK137" s="5"/>
    </row>
    <row r="138" spans="1:37" x14ac:dyDescent="0.25">
      <c r="A138" s="182"/>
      <c r="B138" s="6"/>
      <c r="C138" s="6"/>
      <c r="D138" s="15"/>
      <c r="E138" s="22"/>
      <c r="F138" s="22"/>
      <c r="G138" s="22"/>
      <c r="I138" s="5"/>
      <c r="J138" s="5"/>
      <c r="K138" s="22"/>
      <c r="L138" s="22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19"/>
      <c r="AH138" s="5"/>
      <c r="AI138" s="5"/>
      <c r="AJ138" s="5"/>
      <c r="AK138" s="5"/>
    </row>
    <row r="139" spans="1:37" x14ac:dyDescent="0.25">
      <c r="A139" s="182"/>
      <c r="B139" s="6"/>
      <c r="C139" s="6"/>
      <c r="D139" s="15"/>
      <c r="E139" s="22"/>
      <c r="F139" s="22"/>
      <c r="G139" s="22"/>
      <c r="I139" s="5"/>
      <c r="J139" s="5"/>
      <c r="K139" s="22"/>
      <c r="L139" s="22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19"/>
      <c r="AH139" s="5"/>
      <c r="AI139" s="5"/>
      <c r="AJ139" s="5"/>
      <c r="AK139" s="5"/>
    </row>
    <row r="140" spans="1:37" x14ac:dyDescent="0.25">
      <c r="A140" s="182"/>
      <c r="B140" s="6"/>
      <c r="C140" s="6"/>
      <c r="D140" s="15"/>
      <c r="E140" s="22"/>
      <c r="F140" s="22"/>
      <c r="G140" s="22"/>
      <c r="I140" s="5"/>
      <c r="J140" s="5"/>
      <c r="K140" s="22"/>
      <c r="L140" s="22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19"/>
      <c r="AH140" s="5"/>
      <c r="AI140" s="5"/>
      <c r="AJ140" s="5"/>
      <c r="AK140" s="5"/>
    </row>
    <row r="141" spans="1:37" x14ac:dyDescent="0.25">
      <c r="A141" s="182"/>
      <c r="B141" s="6"/>
      <c r="C141" s="6"/>
      <c r="D141" s="15"/>
      <c r="E141" s="22"/>
      <c r="F141" s="22"/>
      <c r="G141" s="22"/>
      <c r="I141" s="5"/>
      <c r="J141" s="5"/>
      <c r="K141" s="22"/>
      <c r="L141" s="22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19"/>
      <c r="AH141" s="5"/>
      <c r="AI141" s="5"/>
      <c r="AJ141" s="5"/>
      <c r="AK141" s="5"/>
    </row>
    <row r="142" spans="1:37" x14ac:dyDescent="0.25">
      <c r="A142" s="182"/>
      <c r="B142" s="6"/>
      <c r="C142" s="6"/>
      <c r="D142" s="15"/>
      <c r="E142" s="22"/>
      <c r="F142" s="22"/>
      <c r="G142" s="22"/>
      <c r="I142" s="5"/>
      <c r="J142" s="5"/>
      <c r="K142" s="22"/>
      <c r="L142" s="22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19"/>
      <c r="AH142" s="5"/>
      <c r="AI142" s="5"/>
      <c r="AJ142" s="5"/>
      <c r="AK142" s="5"/>
    </row>
    <row r="143" spans="1:37" x14ac:dyDescent="0.25">
      <c r="A143" s="182"/>
      <c r="B143" s="6"/>
      <c r="C143" s="6"/>
      <c r="D143" s="15"/>
      <c r="E143" s="22"/>
      <c r="F143" s="22"/>
      <c r="G143" s="22"/>
      <c r="I143" s="5"/>
      <c r="J143" s="5"/>
      <c r="K143" s="22"/>
      <c r="L143" s="22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19"/>
      <c r="AH143" s="5"/>
      <c r="AI143" s="5"/>
      <c r="AJ143" s="5"/>
      <c r="AK143" s="5"/>
    </row>
    <row r="144" spans="1:37" x14ac:dyDescent="0.25">
      <c r="A144" s="182"/>
      <c r="B144" s="6"/>
      <c r="C144" s="6"/>
      <c r="D144" s="15"/>
      <c r="E144" s="22"/>
      <c r="F144" s="22"/>
      <c r="G144" s="22"/>
      <c r="I144" s="5"/>
      <c r="J144" s="5"/>
      <c r="K144" s="22"/>
      <c r="L144" s="22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19"/>
      <c r="AH144" s="5"/>
      <c r="AI144" s="5"/>
      <c r="AJ144" s="5"/>
      <c r="AK144" s="5"/>
    </row>
    <row r="145" spans="1:37" x14ac:dyDescent="0.25">
      <c r="A145" s="182"/>
      <c r="B145" s="6"/>
      <c r="C145" s="6"/>
      <c r="D145" s="15"/>
      <c r="E145" s="22"/>
      <c r="F145" s="22"/>
      <c r="G145" s="22"/>
      <c r="I145" s="5"/>
      <c r="J145" s="5"/>
      <c r="K145" s="22"/>
      <c r="L145" s="22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19"/>
      <c r="AH145" s="5"/>
      <c r="AI145" s="5"/>
      <c r="AJ145" s="5"/>
      <c r="AK145" s="5"/>
    </row>
    <row r="146" spans="1:37" x14ac:dyDescent="0.25">
      <c r="A146" s="182"/>
      <c r="B146" s="6"/>
      <c r="C146" s="6"/>
      <c r="D146" s="15"/>
      <c r="E146" s="22"/>
      <c r="F146" s="22"/>
      <c r="G146" s="22"/>
      <c r="I146" s="5"/>
      <c r="J146" s="5"/>
      <c r="K146" s="22"/>
      <c r="L146" s="22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19"/>
      <c r="AH146" s="5"/>
      <c r="AI146" s="5"/>
      <c r="AJ146" s="5"/>
      <c r="AK146" s="5"/>
    </row>
    <row r="147" spans="1:37" x14ac:dyDescent="0.25">
      <c r="A147" s="182"/>
      <c r="B147" s="6"/>
      <c r="C147" s="6"/>
      <c r="D147" s="15"/>
      <c r="E147" s="22"/>
      <c r="F147" s="22"/>
      <c r="G147" s="22"/>
      <c r="I147" s="5"/>
      <c r="J147" s="5"/>
      <c r="K147" s="22"/>
      <c r="L147" s="22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19"/>
      <c r="AH147" s="5"/>
      <c r="AI147" s="5"/>
      <c r="AJ147" s="5"/>
      <c r="AK147" s="5"/>
    </row>
    <row r="148" spans="1:37" x14ac:dyDescent="0.25">
      <c r="A148" s="182"/>
      <c r="B148" s="6"/>
      <c r="C148" s="6"/>
      <c r="D148" s="15"/>
      <c r="E148" s="22"/>
      <c r="F148" s="22"/>
      <c r="G148" s="22"/>
      <c r="I148" s="5"/>
      <c r="J148" s="5"/>
      <c r="K148" s="22"/>
      <c r="L148" s="22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19"/>
      <c r="AH148" s="5"/>
      <c r="AI148" s="5"/>
      <c r="AJ148" s="5"/>
      <c r="AK148" s="5"/>
    </row>
    <row r="149" spans="1:37" x14ac:dyDescent="0.25">
      <c r="A149" s="182"/>
      <c r="B149" s="6"/>
      <c r="C149" s="6"/>
      <c r="D149" s="15"/>
      <c r="E149" s="22"/>
      <c r="F149" s="22"/>
      <c r="G149" s="22"/>
      <c r="I149" s="5"/>
      <c r="J149" s="5"/>
      <c r="K149" s="22"/>
      <c r="L149" s="22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19"/>
      <c r="AH149" s="5"/>
      <c r="AI149" s="5"/>
      <c r="AJ149" s="5"/>
      <c r="AK149" s="5"/>
    </row>
    <row r="150" spans="1:37" x14ac:dyDescent="0.25">
      <c r="A150" s="182"/>
      <c r="B150" s="6"/>
      <c r="C150" s="6"/>
      <c r="D150" s="15"/>
      <c r="E150" s="22"/>
      <c r="F150" s="22"/>
      <c r="G150" s="22"/>
      <c r="I150" s="5"/>
      <c r="J150" s="5"/>
      <c r="K150" s="22"/>
      <c r="L150" s="22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19"/>
      <c r="AH150" s="5"/>
      <c r="AI150" s="5"/>
      <c r="AJ150" s="5"/>
      <c r="AK150" s="5"/>
    </row>
    <row r="151" spans="1:37" x14ac:dyDescent="0.25">
      <c r="A151" s="182"/>
      <c r="B151" s="6"/>
      <c r="C151" s="6"/>
      <c r="D151" s="15"/>
      <c r="E151" s="22"/>
      <c r="F151" s="22"/>
      <c r="G151" s="22"/>
      <c r="I151" s="5"/>
      <c r="J151" s="5"/>
      <c r="K151" s="22"/>
      <c r="L151" s="22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19"/>
      <c r="AH151" s="5"/>
      <c r="AI151" s="5"/>
      <c r="AJ151" s="5"/>
      <c r="AK151" s="5"/>
    </row>
    <row r="152" spans="1:37" x14ac:dyDescent="0.25">
      <c r="A152" s="182"/>
      <c r="B152" s="6"/>
      <c r="C152" s="6"/>
      <c r="D152" s="15"/>
      <c r="E152" s="22"/>
      <c r="F152" s="22"/>
      <c r="G152" s="22"/>
      <c r="I152" s="5"/>
      <c r="J152" s="5"/>
      <c r="K152" s="22"/>
      <c r="L152" s="22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19"/>
      <c r="AH152" s="5"/>
      <c r="AI152" s="5"/>
      <c r="AJ152" s="5"/>
      <c r="AK152" s="5"/>
    </row>
    <row r="153" spans="1:37" x14ac:dyDescent="0.25">
      <c r="A153" s="182"/>
      <c r="B153" s="6"/>
      <c r="C153" s="6"/>
      <c r="D153" s="15"/>
      <c r="E153" s="22"/>
      <c r="F153" s="22"/>
      <c r="G153" s="22"/>
      <c r="I153" s="5"/>
      <c r="J153" s="5"/>
      <c r="K153" s="22"/>
      <c r="L153" s="22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19"/>
      <c r="AH153" s="5"/>
      <c r="AI153" s="5"/>
      <c r="AJ153" s="5"/>
      <c r="AK153" s="5"/>
    </row>
    <row r="154" spans="1:37" x14ac:dyDescent="0.25">
      <c r="A154" s="182"/>
      <c r="B154" s="6"/>
      <c r="C154" s="6"/>
      <c r="D154" s="15"/>
      <c r="E154" s="22"/>
      <c r="F154" s="22"/>
      <c r="G154" s="22"/>
      <c r="I154" s="5"/>
      <c r="J154" s="5"/>
      <c r="K154" s="22"/>
      <c r="L154" s="22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19"/>
      <c r="AH154" s="5"/>
      <c r="AI154" s="5"/>
      <c r="AJ154" s="5"/>
      <c r="AK154" s="5"/>
    </row>
    <row r="155" spans="1:37" x14ac:dyDescent="0.25">
      <c r="A155" s="182"/>
      <c r="B155" s="6"/>
      <c r="C155" s="6"/>
      <c r="D155" s="15"/>
      <c r="E155" s="22"/>
      <c r="F155" s="22"/>
      <c r="G155" s="22"/>
      <c r="I155" s="5"/>
      <c r="J155" s="5"/>
      <c r="K155" s="22"/>
      <c r="L155" s="22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19"/>
      <c r="AH155" s="5"/>
      <c r="AI155" s="5"/>
      <c r="AJ155" s="5"/>
      <c r="AK155" s="5"/>
    </row>
    <row r="156" spans="1:37" x14ac:dyDescent="0.25">
      <c r="A156" s="182"/>
      <c r="B156" s="6"/>
      <c r="C156" s="6"/>
      <c r="D156" s="15"/>
      <c r="E156" s="22"/>
      <c r="F156" s="22"/>
      <c r="G156" s="22"/>
      <c r="I156" s="5"/>
      <c r="J156" s="5"/>
      <c r="K156" s="22"/>
      <c r="L156" s="22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19"/>
      <c r="AH156" s="5"/>
      <c r="AI156" s="5"/>
      <c r="AJ156" s="5"/>
      <c r="AK156" s="5"/>
    </row>
    <row r="157" spans="1:37" x14ac:dyDescent="0.25">
      <c r="A157" s="182"/>
      <c r="B157" s="6"/>
      <c r="C157" s="6"/>
      <c r="D157" s="15"/>
      <c r="E157" s="22"/>
      <c r="F157" s="22"/>
      <c r="G157" s="22"/>
      <c r="I157" s="5"/>
      <c r="J157" s="5"/>
      <c r="K157" s="22"/>
      <c r="L157" s="22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19"/>
      <c r="AH157" s="5"/>
      <c r="AI157" s="5"/>
      <c r="AJ157" s="5"/>
      <c r="AK157" s="5"/>
    </row>
    <row r="158" spans="1:37" x14ac:dyDescent="0.25">
      <c r="A158" s="182"/>
      <c r="B158" s="6"/>
      <c r="C158" s="6"/>
      <c r="D158" s="15"/>
      <c r="E158" s="22"/>
      <c r="F158" s="22"/>
      <c r="G158" s="22"/>
      <c r="I158" s="5"/>
      <c r="J158" s="5"/>
      <c r="K158" s="22"/>
      <c r="L158" s="22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19"/>
      <c r="AH158" s="5"/>
      <c r="AI158" s="5"/>
      <c r="AJ158" s="5"/>
      <c r="AK158" s="5"/>
    </row>
    <row r="159" spans="1:37" x14ac:dyDescent="0.25">
      <c r="A159" s="182"/>
      <c r="B159" s="6"/>
      <c r="C159" s="6"/>
      <c r="D159" s="15"/>
      <c r="E159" s="22"/>
      <c r="F159" s="22"/>
      <c r="G159" s="22"/>
      <c r="I159" s="5"/>
      <c r="J159" s="5"/>
      <c r="K159" s="22"/>
      <c r="L159" s="22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19"/>
      <c r="AH159" s="5"/>
      <c r="AI159" s="5"/>
      <c r="AJ159" s="5"/>
      <c r="AK159" s="5"/>
    </row>
    <row r="160" spans="1:37" x14ac:dyDescent="0.25">
      <c r="A160" s="182"/>
      <c r="B160" s="6"/>
      <c r="C160" s="6"/>
      <c r="D160" s="15"/>
      <c r="E160" s="22"/>
      <c r="F160" s="22"/>
      <c r="G160" s="22"/>
      <c r="I160" s="5"/>
      <c r="J160" s="5"/>
      <c r="K160" s="22"/>
      <c r="L160" s="22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19"/>
      <c r="AH160" s="5"/>
      <c r="AI160" s="5"/>
      <c r="AJ160" s="5"/>
      <c r="AK160" s="5"/>
    </row>
    <row r="161" spans="1:37" x14ac:dyDescent="0.25">
      <c r="A161" s="182"/>
      <c r="B161" s="6"/>
      <c r="C161" s="6"/>
      <c r="D161" s="15"/>
      <c r="E161" s="22"/>
      <c r="F161" s="22"/>
      <c r="G161" s="22"/>
      <c r="I161" s="5"/>
      <c r="J161" s="5"/>
      <c r="K161" s="22"/>
      <c r="L161" s="22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19"/>
      <c r="AH161" s="5"/>
      <c r="AI161" s="5"/>
      <c r="AJ161" s="5"/>
      <c r="AK161" s="5"/>
    </row>
    <row r="162" spans="1:37" x14ac:dyDescent="0.25">
      <c r="A162" s="182"/>
      <c r="B162" s="6"/>
      <c r="C162" s="6"/>
      <c r="D162" s="15"/>
      <c r="E162" s="22"/>
      <c r="F162" s="22"/>
      <c r="G162" s="22"/>
      <c r="I162" s="5"/>
      <c r="J162" s="5"/>
      <c r="K162" s="22"/>
      <c r="L162" s="22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19"/>
      <c r="AH162" s="5"/>
      <c r="AI162" s="5"/>
      <c r="AJ162" s="5"/>
      <c r="AK162" s="5"/>
    </row>
    <row r="163" spans="1:37" x14ac:dyDescent="0.25">
      <c r="A163" s="182"/>
      <c r="B163" s="6"/>
      <c r="C163" s="6"/>
      <c r="D163" s="15"/>
      <c r="E163" s="22"/>
      <c r="F163" s="22"/>
      <c r="G163" s="22"/>
      <c r="I163" s="5"/>
      <c r="J163" s="5"/>
      <c r="K163" s="22"/>
      <c r="L163" s="22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19"/>
      <c r="AH163" s="5"/>
      <c r="AI163" s="5"/>
      <c r="AJ163" s="5"/>
      <c r="AK163" s="5"/>
    </row>
    <row r="164" spans="1:37" x14ac:dyDescent="0.25">
      <c r="A164" s="182"/>
      <c r="B164" s="6"/>
      <c r="C164" s="6"/>
      <c r="D164" s="15"/>
      <c r="E164" s="22"/>
      <c r="F164" s="22"/>
      <c r="G164" s="22"/>
      <c r="I164" s="5"/>
      <c r="J164" s="5"/>
      <c r="K164" s="22"/>
      <c r="L164" s="22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19"/>
      <c r="AH164" s="5"/>
      <c r="AI164" s="5"/>
      <c r="AJ164" s="5"/>
      <c r="AK164" s="5"/>
    </row>
    <row r="165" spans="1:37" x14ac:dyDescent="0.25">
      <c r="A165" s="182"/>
      <c r="B165" s="6"/>
      <c r="C165" s="6"/>
      <c r="D165" s="15"/>
      <c r="E165" s="22"/>
      <c r="F165" s="22"/>
      <c r="G165" s="22"/>
      <c r="I165" s="5"/>
      <c r="J165" s="5"/>
      <c r="K165" s="22"/>
      <c r="L165" s="22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19"/>
      <c r="AH165" s="5"/>
      <c r="AI165" s="5"/>
      <c r="AJ165" s="5"/>
      <c r="AK165" s="5"/>
    </row>
    <row r="166" spans="1:37" x14ac:dyDescent="0.25">
      <c r="A166" s="182"/>
      <c r="B166" s="6"/>
      <c r="C166" s="6"/>
      <c r="D166" s="15"/>
      <c r="E166" s="22"/>
      <c r="F166" s="22"/>
      <c r="G166" s="22"/>
      <c r="I166" s="5"/>
      <c r="J166" s="5"/>
      <c r="K166" s="22"/>
      <c r="L166" s="22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19"/>
      <c r="AH166" s="5"/>
      <c r="AI166" s="5"/>
      <c r="AJ166" s="5"/>
      <c r="AK166" s="5"/>
    </row>
    <row r="167" spans="1:37" x14ac:dyDescent="0.25">
      <c r="A167" s="182"/>
      <c r="B167" s="6"/>
      <c r="C167" s="6"/>
      <c r="D167" s="15"/>
      <c r="E167" s="22"/>
      <c r="F167" s="22"/>
      <c r="G167" s="22"/>
      <c r="I167" s="5"/>
      <c r="J167" s="5"/>
      <c r="K167" s="22"/>
      <c r="L167" s="22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19"/>
      <c r="AH167" s="5"/>
      <c r="AI167" s="5"/>
      <c r="AJ167" s="5"/>
      <c r="AK167" s="5"/>
    </row>
    <row r="168" spans="1:37" x14ac:dyDescent="0.25">
      <c r="A168" s="182"/>
      <c r="B168" s="6"/>
      <c r="C168" s="6"/>
      <c r="D168" s="15"/>
      <c r="E168" s="22"/>
      <c r="F168" s="22"/>
      <c r="G168" s="22"/>
      <c r="I168" s="5"/>
      <c r="J168" s="5"/>
      <c r="K168" s="22"/>
      <c r="L168" s="22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19"/>
      <c r="AH168" s="5"/>
      <c r="AI168" s="5"/>
      <c r="AJ168" s="5"/>
      <c r="AK168" s="5"/>
    </row>
    <row r="169" spans="1:37" x14ac:dyDescent="0.25">
      <c r="A169" s="182"/>
      <c r="B169" s="6"/>
      <c r="C169" s="6"/>
      <c r="D169" s="15"/>
      <c r="E169" s="22"/>
      <c r="F169" s="22"/>
      <c r="G169" s="22"/>
      <c r="I169" s="5"/>
      <c r="J169" s="5"/>
      <c r="K169" s="22"/>
      <c r="L169" s="22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19"/>
      <c r="AH169" s="5"/>
      <c r="AI169" s="5"/>
      <c r="AJ169" s="5"/>
      <c r="AK169" s="5"/>
    </row>
    <row r="170" spans="1:37" x14ac:dyDescent="0.25">
      <c r="A170" s="182"/>
      <c r="B170" s="6"/>
      <c r="C170" s="6"/>
      <c r="D170" s="15"/>
      <c r="E170" s="22"/>
      <c r="F170" s="22"/>
      <c r="G170" s="22"/>
      <c r="I170" s="5"/>
      <c r="J170" s="5"/>
      <c r="K170" s="22"/>
      <c r="L170" s="22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19"/>
      <c r="AH170" s="5"/>
      <c r="AI170" s="5"/>
      <c r="AJ170" s="5"/>
      <c r="AK170" s="5"/>
    </row>
    <row r="171" spans="1:37" x14ac:dyDescent="0.25">
      <c r="A171" s="182"/>
      <c r="B171" s="6"/>
      <c r="C171" s="6"/>
      <c r="D171" s="15"/>
      <c r="E171" s="22"/>
      <c r="F171" s="22"/>
      <c r="G171" s="22"/>
      <c r="I171" s="5"/>
      <c r="J171" s="5"/>
      <c r="K171" s="22"/>
      <c r="L171" s="22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19"/>
      <c r="AH171" s="5"/>
      <c r="AI171" s="5"/>
      <c r="AJ171" s="5"/>
      <c r="AK171" s="5"/>
    </row>
    <row r="172" spans="1:37" x14ac:dyDescent="0.25">
      <c r="A172" s="182"/>
      <c r="B172" s="6"/>
      <c r="C172" s="6"/>
      <c r="D172" s="15"/>
      <c r="E172" s="22"/>
      <c r="F172" s="22"/>
      <c r="G172" s="22"/>
      <c r="I172" s="5"/>
      <c r="J172" s="5"/>
      <c r="K172" s="22"/>
      <c r="L172" s="22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19"/>
      <c r="AH172" s="5"/>
      <c r="AI172" s="5"/>
      <c r="AJ172" s="5"/>
      <c r="AK172" s="5"/>
    </row>
    <row r="173" spans="1:37" x14ac:dyDescent="0.25">
      <c r="A173" s="182"/>
      <c r="B173" s="6"/>
      <c r="C173" s="6"/>
      <c r="D173" s="15"/>
      <c r="E173" s="22"/>
      <c r="F173" s="22"/>
      <c r="G173" s="22"/>
      <c r="I173" s="5"/>
      <c r="J173" s="5"/>
      <c r="K173" s="22"/>
      <c r="L173" s="22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19"/>
      <c r="AH173" s="5"/>
      <c r="AI173" s="5"/>
      <c r="AJ173" s="5"/>
      <c r="AK173" s="5"/>
    </row>
    <row r="174" spans="1:37" x14ac:dyDescent="0.25">
      <c r="A174" s="182"/>
      <c r="B174" s="6"/>
      <c r="C174" s="6"/>
      <c r="D174" s="15"/>
      <c r="E174" s="22"/>
      <c r="F174" s="22"/>
      <c r="G174" s="22"/>
      <c r="I174" s="5"/>
      <c r="J174" s="5"/>
      <c r="K174" s="22"/>
      <c r="L174" s="22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19"/>
      <c r="AH174" s="5"/>
      <c r="AI174" s="5"/>
      <c r="AJ174" s="5"/>
      <c r="AK174" s="5"/>
    </row>
    <row r="175" spans="1:37" x14ac:dyDescent="0.25">
      <c r="A175" s="182"/>
      <c r="B175" s="6"/>
      <c r="C175" s="6"/>
      <c r="D175" s="15"/>
      <c r="E175" s="22"/>
      <c r="F175" s="22"/>
      <c r="G175" s="22"/>
      <c r="I175" s="5"/>
      <c r="J175" s="5"/>
      <c r="K175" s="22"/>
      <c r="L175" s="22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19"/>
      <c r="AH175" s="5"/>
      <c r="AI175" s="5"/>
      <c r="AJ175" s="5"/>
      <c r="AK175" s="5"/>
    </row>
    <row r="176" spans="1:37" x14ac:dyDescent="0.25">
      <c r="A176" s="182"/>
      <c r="B176" s="6"/>
      <c r="C176" s="6"/>
      <c r="D176" s="15"/>
      <c r="E176" s="22"/>
      <c r="F176" s="22"/>
      <c r="G176" s="22"/>
      <c r="I176" s="5"/>
      <c r="J176" s="5"/>
      <c r="K176" s="22"/>
      <c r="L176" s="22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19"/>
      <c r="AH176" s="5"/>
      <c r="AI176" s="5"/>
      <c r="AJ176" s="5"/>
      <c r="AK176" s="5"/>
    </row>
    <row r="177" spans="1:37" x14ac:dyDescent="0.25">
      <c r="A177" s="182"/>
      <c r="B177" s="6"/>
      <c r="C177" s="6"/>
      <c r="D177" s="15"/>
      <c r="E177" s="22"/>
      <c r="F177" s="22"/>
      <c r="G177" s="22"/>
      <c r="I177" s="5"/>
      <c r="J177" s="5"/>
      <c r="K177" s="22"/>
      <c r="L177" s="22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19"/>
      <c r="AH177" s="5"/>
      <c r="AI177" s="5"/>
      <c r="AJ177" s="5"/>
      <c r="AK177" s="5"/>
    </row>
    <row r="178" spans="1:37" x14ac:dyDescent="0.25">
      <c r="A178" s="182"/>
      <c r="B178" s="6"/>
      <c r="C178" s="6"/>
      <c r="D178" s="15"/>
      <c r="E178" s="22"/>
      <c r="F178" s="22"/>
      <c r="G178" s="22"/>
      <c r="I178" s="5"/>
      <c r="J178" s="5"/>
      <c r="K178" s="22"/>
      <c r="L178" s="22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19"/>
      <c r="AH178" s="5"/>
      <c r="AI178" s="5"/>
      <c r="AJ178" s="5"/>
      <c r="AK178" s="5"/>
    </row>
    <row r="179" spans="1:37" x14ac:dyDescent="0.25">
      <c r="A179" s="182"/>
      <c r="B179" s="6"/>
      <c r="C179" s="6"/>
      <c r="D179" s="15"/>
      <c r="E179" s="22"/>
      <c r="F179" s="22"/>
      <c r="G179" s="22"/>
      <c r="I179" s="5"/>
      <c r="J179" s="5"/>
      <c r="K179" s="22"/>
      <c r="L179" s="22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19"/>
      <c r="AH179" s="5"/>
      <c r="AI179" s="5"/>
      <c r="AJ179" s="5"/>
      <c r="AK179" s="5"/>
    </row>
    <row r="180" spans="1:37" x14ac:dyDescent="0.25">
      <c r="A180" s="182"/>
      <c r="B180" s="6"/>
      <c r="C180" s="6"/>
      <c r="D180" s="15"/>
      <c r="E180" s="22"/>
      <c r="F180" s="22"/>
      <c r="G180" s="22"/>
      <c r="I180" s="5"/>
      <c r="J180" s="5"/>
      <c r="K180" s="22"/>
      <c r="L180" s="22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19"/>
      <c r="AH180" s="5"/>
      <c r="AI180" s="5"/>
      <c r="AJ180" s="5"/>
      <c r="AK180" s="5"/>
    </row>
    <row r="181" spans="1:37" x14ac:dyDescent="0.25">
      <c r="A181" s="182"/>
      <c r="B181" s="6"/>
      <c r="C181" s="6"/>
      <c r="D181" s="15"/>
      <c r="E181" s="22"/>
      <c r="F181" s="22"/>
      <c r="G181" s="22"/>
      <c r="I181" s="5"/>
      <c r="J181" s="5"/>
      <c r="K181" s="22"/>
      <c r="L181" s="22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19"/>
      <c r="AH181" s="5"/>
      <c r="AI181" s="5"/>
      <c r="AJ181" s="5"/>
      <c r="AK181" s="5"/>
    </row>
    <row r="182" spans="1:37" x14ac:dyDescent="0.25">
      <c r="A182" s="182"/>
      <c r="B182" s="6"/>
      <c r="C182" s="6"/>
      <c r="D182" s="15"/>
      <c r="E182" s="22"/>
      <c r="F182" s="22"/>
      <c r="G182" s="22"/>
      <c r="I182" s="5"/>
      <c r="J182" s="5"/>
      <c r="K182" s="22"/>
      <c r="L182" s="22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19"/>
      <c r="AH182" s="5"/>
      <c r="AI182" s="5"/>
      <c r="AJ182" s="5"/>
      <c r="AK182" s="5"/>
    </row>
    <row r="183" spans="1:37" x14ac:dyDescent="0.25">
      <c r="A183" s="182"/>
      <c r="B183" s="6"/>
      <c r="C183" s="6"/>
      <c r="D183" s="15"/>
      <c r="E183" s="22"/>
      <c r="F183" s="22"/>
      <c r="G183" s="22"/>
      <c r="I183" s="5"/>
      <c r="J183" s="5"/>
      <c r="K183" s="22"/>
      <c r="L183" s="22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19"/>
      <c r="AH183" s="5"/>
      <c r="AI183" s="5"/>
      <c r="AJ183" s="5"/>
      <c r="AK183" s="5"/>
    </row>
    <row r="184" spans="1:37" x14ac:dyDescent="0.25">
      <c r="A184" s="182"/>
      <c r="B184" s="6"/>
      <c r="C184" s="6"/>
      <c r="D184" s="15"/>
      <c r="E184" s="22"/>
      <c r="F184" s="22"/>
      <c r="G184" s="22"/>
      <c r="I184" s="5"/>
      <c r="J184" s="5"/>
      <c r="K184" s="22"/>
      <c r="L184" s="22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19"/>
      <c r="AH184" s="5"/>
      <c r="AI184" s="5"/>
      <c r="AJ184" s="5"/>
      <c r="AK184" s="5"/>
    </row>
    <row r="185" spans="1:37" x14ac:dyDescent="0.25">
      <c r="A185" s="182"/>
      <c r="B185" s="6"/>
      <c r="C185" s="6"/>
      <c r="D185" s="15"/>
      <c r="E185" s="22"/>
      <c r="F185" s="22"/>
      <c r="G185" s="22"/>
      <c r="I185" s="5"/>
      <c r="J185" s="5"/>
      <c r="K185" s="22"/>
      <c r="L185" s="22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19"/>
      <c r="AH185" s="5"/>
      <c r="AI185" s="5"/>
      <c r="AJ185" s="5"/>
      <c r="AK185" s="5"/>
    </row>
    <row r="186" spans="1:37" x14ac:dyDescent="0.25">
      <c r="A186" s="182"/>
      <c r="B186" s="6"/>
      <c r="C186" s="6"/>
      <c r="D186" s="15"/>
      <c r="E186" s="22"/>
      <c r="F186" s="22"/>
      <c r="G186" s="22"/>
      <c r="I186" s="5"/>
      <c r="J186" s="5"/>
      <c r="K186" s="22"/>
      <c r="L186" s="22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19"/>
      <c r="AH186" s="5"/>
      <c r="AI186" s="5"/>
      <c r="AJ186" s="5"/>
      <c r="AK186" s="5"/>
    </row>
    <row r="187" spans="1:37" x14ac:dyDescent="0.25">
      <c r="A187" s="182"/>
      <c r="B187" s="6"/>
      <c r="C187" s="6"/>
      <c r="D187" s="15"/>
      <c r="E187" s="22"/>
      <c r="F187" s="22"/>
      <c r="G187" s="22"/>
      <c r="I187" s="5"/>
      <c r="J187" s="5"/>
      <c r="K187" s="22"/>
      <c r="L187" s="22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19"/>
      <c r="AH187" s="5"/>
      <c r="AI187" s="5"/>
      <c r="AJ187" s="5"/>
      <c r="AK187" s="5"/>
    </row>
    <row r="188" spans="1:37" x14ac:dyDescent="0.25">
      <c r="A188" s="182"/>
      <c r="B188" s="6"/>
      <c r="C188" s="6"/>
      <c r="D188" s="15"/>
      <c r="E188" s="22"/>
      <c r="F188" s="22"/>
      <c r="G188" s="22"/>
      <c r="I188" s="5"/>
      <c r="J188" s="5"/>
      <c r="K188" s="22"/>
      <c r="L188" s="22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19"/>
      <c r="AH188" s="5"/>
      <c r="AI188" s="5"/>
      <c r="AJ188" s="5"/>
      <c r="AK188" s="5"/>
    </row>
    <row r="189" spans="1:37" x14ac:dyDescent="0.25">
      <c r="A189" s="182"/>
      <c r="B189" s="6"/>
      <c r="C189" s="6"/>
      <c r="D189" s="15"/>
      <c r="E189" s="22"/>
      <c r="F189" s="22"/>
      <c r="G189" s="22"/>
      <c r="I189" s="5"/>
      <c r="J189" s="5"/>
      <c r="K189" s="22"/>
      <c r="L189" s="22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19"/>
      <c r="AH189" s="5"/>
      <c r="AI189" s="5"/>
      <c r="AJ189" s="5"/>
      <c r="AK189" s="5"/>
    </row>
    <row r="190" spans="1:37" x14ac:dyDescent="0.25">
      <c r="A190" s="182"/>
      <c r="B190" s="6"/>
      <c r="C190" s="6"/>
      <c r="D190" s="15"/>
      <c r="E190" s="22"/>
      <c r="F190" s="22"/>
      <c r="G190" s="22"/>
      <c r="I190" s="5"/>
      <c r="J190" s="5"/>
      <c r="K190" s="22"/>
      <c r="L190" s="22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19"/>
      <c r="AH190" s="5"/>
      <c r="AI190" s="5"/>
      <c r="AJ190" s="5"/>
      <c r="AK190" s="5"/>
    </row>
    <row r="191" spans="1:37" x14ac:dyDescent="0.25">
      <c r="A191" s="182"/>
      <c r="B191" s="6"/>
      <c r="C191" s="6"/>
      <c r="D191" s="15"/>
      <c r="E191" s="22"/>
      <c r="F191" s="22"/>
      <c r="G191" s="22"/>
      <c r="I191" s="5"/>
      <c r="J191" s="5"/>
      <c r="K191" s="22"/>
      <c r="L191" s="22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19"/>
      <c r="AH191" s="5"/>
      <c r="AI191" s="5"/>
      <c r="AJ191" s="5"/>
      <c r="AK191" s="5"/>
    </row>
    <row r="192" spans="1:37" x14ac:dyDescent="0.25">
      <c r="A192" s="182"/>
      <c r="B192" s="6"/>
      <c r="C192" s="6"/>
      <c r="D192" s="15"/>
      <c r="E192" s="22"/>
      <c r="F192" s="22"/>
      <c r="G192" s="22"/>
      <c r="I192" s="5"/>
      <c r="J192" s="5"/>
      <c r="K192" s="22"/>
      <c r="L192" s="22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19"/>
      <c r="AH192" s="5"/>
      <c r="AI192" s="5"/>
      <c r="AJ192" s="5"/>
      <c r="AK192" s="5"/>
    </row>
    <row r="193" spans="1:37" x14ac:dyDescent="0.25">
      <c r="A193" s="182"/>
      <c r="B193" s="6"/>
      <c r="C193" s="6"/>
      <c r="D193" s="15"/>
      <c r="E193" s="22"/>
      <c r="F193" s="22"/>
      <c r="G193" s="22"/>
      <c r="I193" s="5"/>
      <c r="J193" s="5"/>
      <c r="K193" s="22"/>
      <c r="L193" s="22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19"/>
      <c r="AH193" s="5"/>
      <c r="AI193" s="5"/>
      <c r="AJ193" s="5"/>
      <c r="AK193" s="5"/>
    </row>
    <row r="194" spans="1:37" x14ac:dyDescent="0.25">
      <c r="A194" s="182"/>
      <c r="B194" s="6"/>
      <c r="C194" s="6"/>
      <c r="D194" s="15"/>
      <c r="E194" s="22"/>
      <c r="F194" s="22"/>
      <c r="G194" s="22"/>
      <c r="I194" s="5"/>
      <c r="J194" s="5"/>
      <c r="K194" s="22"/>
      <c r="L194" s="22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19"/>
      <c r="AH194" s="5"/>
      <c r="AI194" s="5"/>
      <c r="AJ194" s="5"/>
      <c r="AK194" s="5"/>
    </row>
    <row r="195" spans="1:37" x14ac:dyDescent="0.25">
      <c r="A195" s="182"/>
      <c r="B195" s="6"/>
      <c r="C195" s="6"/>
      <c r="D195" s="15"/>
      <c r="E195" s="22"/>
      <c r="F195" s="22"/>
      <c r="G195" s="22"/>
      <c r="I195" s="5"/>
      <c r="J195" s="5"/>
      <c r="K195" s="22"/>
      <c r="L195" s="22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19"/>
      <c r="AH195" s="5"/>
      <c r="AI195" s="5"/>
      <c r="AJ195" s="5"/>
      <c r="AK195" s="5"/>
    </row>
    <row r="196" spans="1:37" x14ac:dyDescent="0.25">
      <c r="A196" s="182"/>
      <c r="B196" s="6"/>
      <c r="C196" s="6"/>
      <c r="D196" s="15"/>
      <c r="E196" s="22"/>
      <c r="F196" s="22"/>
      <c r="G196" s="22"/>
      <c r="I196" s="5"/>
      <c r="J196" s="5"/>
      <c r="K196" s="22"/>
      <c r="L196" s="22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19"/>
      <c r="AH196" s="5"/>
      <c r="AI196" s="5"/>
      <c r="AJ196" s="5"/>
      <c r="AK196" s="5"/>
    </row>
    <row r="197" spans="1:37" x14ac:dyDescent="0.25">
      <c r="A197" s="182"/>
      <c r="B197" s="6"/>
      <c r="C197" s="6"/>
      <c r="D197" s="15"/>
      <c r="E197" s="22"/>
      <c r="F197" s="22"/>
      <c r="G197" s="22"/>
      <c r="I197" s="5"/>
      <c r="J197" s="5"/>
      <c r="K197" s="22"/>
      <c r="L197" s="22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19"/>
      <c r="AH197" s="5"/>
      <c r="AI197" s="5"/>
      <c r="AJ197" s="5"/>
      <c r="AK197" s="5"/>
    </row>
    <row r="198" spans="1:37" x14ac:dyDescent="0.25">
      <c r="A198" s="182"/>
      <c r="B198" s="6"/>
      <c r="C198" s="6"/>
      <c r="D198" s="15"/>
      <c r="E198" s="22"/>
      <c r="F198" s="22"/>
      <c r="G198" s="22"/>
      <c r="I198" s="5"/>
      <c r="J198" s="5"/>
      <c r="K198" s="22"/>
      <c r="L198" s="22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19"/>
      <c r="AH198" s="5"/>
      <c r="AI198" s="5"/>
      <c r="AJ198" s="5"/>
      <c r="AK198" s="5"/>
    </row>
    <row r="199" spans="1:37" x14ac:dyDescent="0.25">
      <c r="A199" s="182"/>
      <c r="B199" s="6"/>
      <c r="C199" s="6"/>
      <c r="D199" s="15"/>
      <c r="E199" s="22"/>
      <c r="F199" s="22"/>
      <c r="G199" s="22"/>
      <c r="I199" s="5"/>
      <c r="J199" s="5"/>
      <c r="K199" s="22"/>
      <c r="L199" s="22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19"/>
      <c r="AH199" s="5"/>
      <c r="AI199" s="5"/>
      <c r="AJ199" s="5"/>
      <c r="AK199" s="5"/>
    </row>
    <row r="200" spans="1:37" x14ac:dyDescent="0.25">
      <c r="A200" s="182"/>
      <c r="B200" s="6"/>
      <c r="C200" s="6"/>
      <c r="D200" s="15"/>
      <c r="E200" s="22"/>
      <c r="F200" s="22"/>
      <c r="G200" s="22"/>
      <c r="I200" s="5"/>
      <c r="J200" s="5"/>
      <c r="K200" s="22"/>
      <c r="L200" s="22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19"/>
      <c r="AH200" s="5"/>
      <c r="AI200" s="5"/>
      <c r="AJ200" s="5"/>
      <c r="AK200" s="5"/>
    </row>
    <row r="201" spans="1:37" x14ac:dyDescent="0.25">
      <c r="A201" s="182"/>
      <c r="B201" s="6"/>
      <c r="C201" s="6"/>
      <c r="D201" s="15"/>
      <c r="E201" s="22"/>
      <c r="F201" s="22"/>
      <c r="G201" s="22"/>
      <c r="I201" s="5"/>
      <c r="J201" s="5"/>
      <c r="K201" s="22"/>
      <c r="L201" s="22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19"/>
      <c r="AH201" s="5"/>
      <c r="AI201" s="5"/>
      <c r="AJ201" s="5"/>
      <c r="AK201" s="5"/>
    </row>
    <row r="202" spans="1:37" x14ac:dyDescent="0.25">
      <c r="A202" s="182"/>
      <c r="B202" s="6"/>
      <c r="C202" s="6"/>
      <c r="D202" s="15"/>
      <c r="E202" s="22"/>
      <c r="F202" s="22"/>
      <c r="G202" s="22"/>
      <c r="I202" s="5"/>
      <c r="J202" s="5"/>
      <c r="K202" s="22"/>
      <c r="L202" s="22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19"/>
      <c r="AH202" s="5"/>
      <c r="AI202" s="5"/>
      <c r="AJ202" s="5"/>
      <c r="AK202" s="5"/>
    </row>
    <row r="203" spans="1:37" x14ac:dyDescent="0.25">
      <c r="A203" s="182"/>
      <c r="B203" s="6"/>
      <c r="C203" s="6"/>
      <c r="D203" s="15"/>
      <c r="E203" s="22"/>
      <c r="F203" s="22"/>
      <c r="G203" s="22"/>
      <c r="I203" s="5"/>
      <c r="J203" s="5"/>
      <c r="K203" s="22"/>
      <c r="L203" s="22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19"/>
      <c r="AH203" s="5"/>
      <c r="AI203" s="5"/>
      <c r="AJ203" s="5"/>
      <c r="AK203" s="5"/>
    </row>
    <row r="204" spans="1:37" x14ac:dyDescent="0.25">
      <c r="A204" s="182"/>
      <c r="B204" s="6"/>
      <c r="C204" s="6"/>
      <c r="D204" s="15"/>
      <c r="E204" s="22"/>
      <c r="F204" s="22"/>
      <c r="G204" s="22"/>
      <c r="I204" s="5"/>
      <c r="J204" s="5"/>
      <c r="K204" s="22"/>
      <c r="L204" s="22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19"/>
      <c r="AH204" s="5"/>
      <c r="AI204" s="5"/>
      <c r="AJ204" s="5"/>
      <c r="AK204" s="5"/>
    </row>
    <row r="205" spans="1:37" x14ac:dyDescent="0.25">
      <c r="A205" s="182"/>
      <c r="B205" s="6"/>
      <c r="C205" s="6"/>
      <c r="D205" s="15"/>
      <c r="E205" s="22"/>
      <c r="F205" s="22"/>
      <c r="G205" s="22"/>
      <c r="I205" s="5"/>
      <c r="J205" s="5"/>
      <c r="K205" s="22"/>
      <c r="L205" s="22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19"/>
      <c r="AH205" s="5"/>
      <c r="AI205" s="5"/>
      <c r="AJ205" s="5"/>
      <c r="AK205" s="5"/>
    </row>
    <row r="206" spans="1:37" x14ac:dyDescent="0.25">
      <c r="A206" s="182"/>
      <c r="B206" s="6"/>
      <c r="C206" s="6"/>
      <c r="D206" s="15"/>
      <c r="E206" s="22"/>
      <c r="F206" s="22"/>
      <c r="G206" s="22"/>
      <c r="I206" s="5"/>
      <c r="J206" s="5"/>
      <c r="K206" s="22"/>
      <c r="L206" s="22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19"/>
      <c r="AH206" s="5"/>
      <c r="AI206" s="5"/>
      <c r="AJ206" s="5"/>
      <c r="AK206" s="5"/>
    </row>
    <row r="207" spans="1:37" x14ac:dyDescent="0.25">
      <c r="A207" s="182"/>
      <c r="B207" s="6"/>
      <c r="C207" s="6"/>
      <c r="D207" s="15"/>
      <c r="E207" s="22"/>
      <c r="F207" s="22"/>
      <c r="G207" s="22"/>
      <c r="I207" s="5"/>
      <c r="J207" s="5"/>
      <c r="K207" s="22"/>
      <c r="L207" s="22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19"/>
      <c r="AH207" s="5"/>
      <c r="AI207" s="5"/>
      <c r="AJ207" s="5"/>
      <c r="AK207" s="5"/>
    </row>
    <row r="208" spans="1:37" x14ac:dyDescent="0.25">
      <c r="A208" s="182"/>
      <c r="B208" s="6"/>
      <c r="C208" s="6"/>
      <c r="D208" s="15"/>
      <c r="E208" s="22"/>
      <c r="F208" s="22"/>
      <c r="G208" s="22"/>
      <c r="I208" s="5"/>
      <c r="J208" s="5"/>
      <c r="K208" s="22"/>
      <c r="L208" s="22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19"/>
      <c r="AH208" s="5"/>
      <c r="AI208" s="5"/>
      <c r="AJ208" s="5"/>
      <c r="AK208" s="5"/>
    </row>
    <row r="209" spans="1:37" x14ac:dyDescent="0.25">
      <c r="A209" s="182"/>
      <c r="B209" s="6"/>
      <c r="C209" s="6"/>
      <c r="D209" s="15"/>
      <c r="E209" s="22"/>
      <c r="F209" s="22"/>
      <c r="G209" s="22"/>
      <c r="I209" s="5"/>
      <c r="J209" s="5"/>
      <c r="K209" s="22"/>
      <c r="L209" s="22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19"/>
      <c r="AH209" s="5"/>
      <c r="AI209" s="5"/>
      <c r="AJ209" s="5"/>
      <c r="AK209" s="5"/>
    </row>
    <row r="210" spans="1:37" x14ac:dyDescent="0.25">
      <c r="A210" s="182"/>
      <c r="B210" s="6"/>
      <c r="C210" s="6"/>
      <c r="D210" s="15"/>
      <c r="E210" s="22"/>
      <c r="F210" s="22"/>
      <c r="G210" s="22"/>
      <c r="I210" s="5"/>
      <c r="J210" s="5"/>
      <c r="K210" s="22"/>
      <c r="L210" s="22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19"/>
      <c r="AH210" s="5"/>
      <c r="AI210" s="5"/>
      <c r="AJ210" s="5"/>
      <c r="AK210" s="5"/>
    </row>
    <row r="211" spans="1:37" x14ac:dyDescent="0.25">
      <c r="A211" s="182"/>
      <c r="B211" s="6"/>
      <c r="C211" s="6"/>
      <c r="D211" s="15"/>
      <c r="E211" s="22"/>
      <c r="F211" s="22"/>
      <c r="G211" s="22"/>
      <c r="I211" s="5"/>
      <c r="J211" s="5"/>
      <c r="K211" s="22"/>
      <c r="L211" s="22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19"/>
      <c r="AH211" s="5"/>
      <c r="AI211" s="5"/>
      <c r="AJ211" s="5"/>
      <c r="AK211" s="5"/>
    </row>
    <row r="212" spans="1:37" x14ac:dyDescent="0.25">
      <c r="A212" s="182"/>
      <c r="B212" s="6"/>
      <c r="C212" s="6"/>
      <c r="D212" s="15"/>
      <c r="E212" s="22"/>
      <c r="F212" s="22"/>
      <c r="G212" s="22"/>
      <c r="I212" s="5"/>
      <c r="J212" s="5"/>
      <c r="K212" s="22"/>
      <c r="L212" s="22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19"/>
      <c r="AH212" s="5"/>
      <c r="AI212" s="5"/>
      <c r="AJ212" s="5"/>
      <c r="AK212" s="5"/>
    </row>
    <row r="213" spans="1:37" x14ac:dyDescent="0.25">
      <c r="A213" s="182"/>
      <c r="B213" s="6"/>
      <c r="C213" s="6"/>
      <c r="D213" s="15"/>
      <c r="E213" s="22"/>
      <c r="F213" s="22"/>
      <c r="G213" s="22"/>
      <c r="I213" s="5"/>
      <c r="J213" s="5"/>
      <c r="K213" s="22"/>
      <c r="L213" s="22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19"/>
      <c r="AH213" s="5"/>
      <c r="AI213" s="5"/>
      <c r="AJ213" s="5"/>
      <c r="AK213" s="5"/>
    </row>
    <row r="214" spans="1:37" x14ac:dyDescent="0.25">
      <c r="A214" s="182"/>
      <c r="B214" s="6"/>
      <c r="C214" s="6"/>
      <c r="D214" s="15"/>
      <c r="E214" s="22"/>
      <c r="F214" s="22"/>
      <c r="G214" s="22"/>
      <c r="I214" s="5"/>
      <c r="J214" s="5"/>
      <c r="K214" s="22"/>
      <c r="L214" s="22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19"/>
      <c r="AH214" s="5"/>
      <c r="AI214" s="5"/>
      <c r="AJ214" s="5"/>
      <c r="AK214" s="5"/>
    </row>
    <row r="215" spans="1:37" x14ac:dyDescent="0.25">
      <c r="A215" s="182"/>
      <c r="B215" s="6"/>
      <c r="C215" s="6"/>
      <c r="D215" s="15"/>
      <c r="E215" s="22"/>
      <c r="F215" s="22"/>
      <c r="G215" s="22"/>
      <c r="I215" s="5"/>
      <c r="J215" s="5"/>
      <c r="K215" s="22"/>
      <c r="L215" s="22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19"/>
      <c r="AH215" s="5"/>
      <c r="AI215" s="5"/>
      <c r="AJ215" s="5"/>
      <c r="AK215" s="5"/>
    </row>
    <row r="216" spans="1:37" x14ac:dyDescent="0.25">
      <c r="A216" s="182"/>
      <c r="B216" s="6"/>
      <c r="C216" s="6"/>
      <c r="D216" s="15"/>
      <c r="E216" s="22"/>
      <c r="F216" s="22"/>
      <c r="G216" s="22"/>
      <c r="I216" s="5"/>
      <c r="J216" s="5"/>
      <c r="K216" s="22"/>
      <c r="L216" s="22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19"/>
      <c r="AH216" s="5"/>
      <c r="AI216" s="5"/>
      <c r="AJ216" s="5"/>
      <c r="AK216" s="5"/>
    </row>
    <row r="217" spans="1:37" x14ac:dyDescent="0.25">
      <c r="A217" s="182"/>
      <c r="B217" s="6"/>
      <c r="C217" s="6"/>
      <c r="D217" s="15"/>
      <c r="E217" s="22"/>
      <c r="F217" s="22"/>
      <c r="G217" s="22"/>
      <c r="I217" s="5"/>
      <c r="J217" s="5"/>
      <c r="K217" s="22"/>
      <c r="L217" s="22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19"/>
      <c r="AH217" s="5"/>
      <c r="AI217" s="5"/>
      <c r="AJ217" s="5"/>
      <c r="AK217" s="5"/>
    </row>
    <row r="218" spans="1:37" x14ac:dyDescent="0.25">
      <c r="A218" s="182"/>
      <c r="B218" s="6"/>
      <c r="C218" s="6"/>
      <c r="D218" s="15"/>
      <c r="E218" s="22"/>
      <c r="F218" s="22"/>
      <c r="G218" s="22"/>
      <c r="I218" s="5"/>
      <c r="J218" s="5"/>
      <c r="K218" s="22"/>
      <c r="L218" s="22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19"/>
      <c r="AH218" s="5"/>
      <c r="AI218" s="5"/>
      <c r="AJ218" s="5"/>
      <c r="AK218" s="5"/>
    </row>
    <row r="219" spans="1:37" x14ac:dyDescent="0.25">
      <c r="A219" s="182"/>
      <c r="B219" s="6"/>
      <c r="C219" s="6"/>
      <c r="D219" s="15"/>
      <c r="E219" s="22"/>
      <c r="F219" s="22"/>
      <c r="G219" s="22"/>
      <c r="I219" s="5"/>
      <c r="J219" s="5"/>
      <c r="K219" s="22"/>
      <c r="L219" s="22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19"/>
      <c r="AH219" s="5"/>
      <c r="AI219" s="5"/>
      <c r="AJ219" s="5"/>
      <c r="AK219" s="5"/>
    </row>
    <row r="220" spans="1:37" x14ac:dyDescent="0.25">
      <c r="A220" s="182"/>
      <c r="B220" s="6"/>
      <c r="C220" s="6"/>
      <c r="D220" s="15"/>
      <c r="E220" s="22"/>
      <c r="F220" s="22"/>
      <c r="G220" s="22"/>
      <c r="I220" s="5"/>
      <c r="J220" s="5"/>
      <c r="K220" s="22"/>
      <c r="L220" s="22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19"/>
      <c r="AH220" s="5"/>
      <c r="AI220" s="5"/>
      <c r="AJ220" s="5"/>
      <c r="AK220" s="5"/>
    </row>
    <row r="221" spans="1:37" x14ac:dyDescent="0.25">
      <c r="A221" s="182"/>
      <c r="B221" s="6"/>
      <c r="C221" s="6"/>
      <c r="D221" s="15"/>
      <c r="E221" s="22"/>
      <c r="F221" s="22"/>
      <c r="G221" s="22"/>
      <c r="I221" s="5"/>
      <c r="J221" s="5"/>
      <c r="K221" s="22"/>
      <c r="L221" s="22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19"/>
      <c r="AH221" s="5"/>
      <c r="AI221" s="5"/>
      <c r="AJ221" s="5"/>
      <c r="AK221" s="5"/>
    </row>
    <row r="222" spans="1:37" x14ac:dyDescent="0.25">
      <c r="A222" s="182"/>
      <c r="B222" s="6"/>
      <c r="C222" s="6"/>
      <c r="D222" s="15"/>
      <c r="E222" s="22"/>
      <c r="F222" s="22"/>
      <c r="G222" s="22"/>
      <c r="I222" s="5"/>
      <c r="J222" s="5"/>
      <c r="K222" s="22"/>
      <c r="L222" s="22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19"/>
      <c r="AH222" s="5"/>
      <c r="AI222" s="5"/>
      <c r="AJ222" s="5"/>
      <c r="AK222" s="5"/>
    </row>
    <row r="223" spans="1:37" x14ac:dyDescent="0.25">
      <c r="A223" s="182"/>
      <c r="B223" s="6"/>
      <c r="C223" s="6"/>
      <c r="D223" s="15"/>
      <c r="E223" s="22"/>
      <c r="F223" s="22"/>
      <c r="G223" s="22"/>
      <c r="I223" s="5"/>
      <c r="J223" s="5"/>
      <c r="K223" s="22"/>
      <c r="L223" s="22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19"/>
      <c r="AH223" s="5"/>
      <c r="AI223" s="5"/>
      <c r="AJ223" s="5"/>
      <c r="AK223" s="5"/>
    </row>
    <row r="224" spans="1:37" x14ac:dyDescent="0.25">
      <c r="A224" s="182"/>
      <c r="B224" s="6"/>
      <c r="C224" s="6"/>
      <c r="D224" s="15"/>
      <c r="E224" s="22"/>
      <c r="F224" s="22"/>
      <c r="G224" s="22"/>
      <c r="I224" s="5"/>
      <c r="J224" s="5"/>
      <c r="K224" s="22"/>
      <c r="L224" s="22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19"/>
      <c r="AH224" s="5"/>
      <c r="AI224" s="5"/>
      <c r="AJ224" s="5"/>
      <c r="AK224" s="5"/>
    </row>
    <row r="225" spans="1:37" x14ac:dyDescent="0.25">
      <c r="A225" s="182"/>
      <c r="B225" s="6"/>
      <c r="C225" s="6"/>
      <c r="D225" s="15"/>
      <c r="E225" s="22"/>
      <c r="F225" s="22"/>
      <c r="G225" s="22"/>
      <c r="I225" s="5"/>
      <c r="J225" s="5"/>
      <c r="K225" s="22"/>
      <c r="L225" s="22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19"/>
      <c r="AH225" s="5"/>
      <c r="AI225" s="5"/>
      <c r="AJ225" s="5"/>
      <c r="AK225" s="5"/>
    </row>
    <row r="226" spans="1:37" x14ac:dyDescent="0.25">
      <c r="A226" s="182"/>
      <c r="B226" s="6"/>
      <c r="C226" s="6"/>
      <c r="D226" s="15"/>
      <c r="E226" s="22"/>
      <c r="F226" s="22"/>
      <c r="G226" s="22"/>
      <c r="I226" s="5"/>
      <c r="J226" s="5"/>
      <c r="K226" s="22"/>
      <c r="L226" s="22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19"/>
      <c r="AH226" s="5"/>
      <c r="AI226" s="5"/>
      <c r="AJ226" s="5"/>
      <c r="AK226" s="5"/>
    </row>
    <row r="227" spans="1:37" x14ac:dyDescent="0.25">
      <c r="A227" s="182"/>
      <c r="B227" s="6"/>
      <c r="C227" s="6"/>
      <c r="D227" s="15"/>
      <c r="E227" s="22"/>
      <c r="F227" s="22"/>
      <c r="G227" s="22"/>
      <c r="I227" s="5"/>
      <c r="J227" s="5"/>
      <c r="K227" s="22"/>
      <c r="L227" s="22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19"/>
      <c r="AH227" s="5"/>
      <c r="AI227" s="5"/>
      <c r="AJ227" s="5"/>
      <c r="AK227" s="5"/>
    </row>
    <row r="228" spans="1:37" x14ac:dyDescent="0.25">
      <c r="A228" s="182"/>
      <c r="B228" s="6"/>
      <c r="C228" s="6"/>
      <c r="D228" s="15"/>
      <c r="E228" s="22"/>
      <c r="F228" s="22"/>
      <c r="G228" s="22"/>
      <c r="I228" s="5"/>
      <c r="J228" s="5"/>
      <c r="K228" s="22"/>
      <c r="L228" s="22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19"/>
      <c r="AH228" s="5"/>
      <c r="AI228" s="5"/>
      <c r="AJ228" s="5"/>
      <c r="AK228" s="5"/>
    </row>
    <row r="229" spans="1:37" x14ac:dyDescent="0.25">
      <c r="A229" s="182"/>
      <c r="B229" s="6"/>
      <c r="C229" s="6"/>
      <c r="D229" s="15"/>
      <c r="E229" s="22"/>
      <c r="F229" s="22"/>
      <c r="G229" s="22"/>
      <c r="I229" s="5"/>
      <c r="J229" s="5"/>
      <c r="K229" s="22"/>
      <c r="L229" s="22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19"/>
      <c r="AH229" s="5"/>
      <c r="AI229" s="5"/>
      <c r="AJ229" s="5"/>
      <c r="AK229" s="5"/>
    </row>
    <row r="230" spans="1:37" x14ac:dyDescent="0.25">
      <c r="A230" s="182"/>
      <c r="B230" s="6"/>
      <c r="C230" s="6"/>
      <c r="D230" s="15"/>
      <c r="E230" s="22"/>
      <c r="F230" s="22"/>
      <c r="G230" s="22"/>
      <c r="I230" s="5"/>
      <c r="J230" s="5"/>
      <c r="K230" s="22"/>
      <c r="L230" s="22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19"/>
      <c r="AH230" s="5"/>
      <c r="AI230" s="5"/>
      <c r="AJ230" s="5"/>
      <c r="AK230" s="5"/>
    </row>
    <row r="231" spans="1:37" x14ac:dyDescent="0.25">
      <c r="A231" s="182"/>
      <c r="B231" s="6"/>
      <c r="C231" s="6"/>
      <c r="D231" s="15"/>
      <c r="E231" s="22"/>
      <c r="F231" s="22"/>
      <c r="G231" s="22"/>
      <c r="I231" s="5"/>
      <c r="J231" s="5"/>
      <c r="K231" s="22"/>
      <c r="L231" s="22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19"/>
      <c r="AH231" s="5"/>
      <c r="AI231" s="5"/>
      <c r="AJ231" s="5"/>
      <c r="AK231" s="5"/>
    </row>
    <row r="232" spans="1:37" x14ac:dyDescent="0.25">
      <c r="A232" s="182"/>
      <c r="B232" s="6"/>
      <c r="C232" s="6"/>
      <c r="D232" s="15"/>
      <c r="E232" s="22"/>
      <c r="F232" s="22"/>
      <c r="G232" s="22"/>
      <c r="I232" s="5"/>
      <c r="J232" s="5"/>
      <c r="K232" s="22"/>
      <c r="L232" s="22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19"/>
      <c r="AH232" s="5"/>
      <c r="AI232" s="5"/>
      <c r="AJ232" s="5"/>
      <c r="AK232" s="5"/>
    </row>
    <row r="233" spans="1:37" x14ac:dyDescent="0.25">
      <c r="A233" s="182"/>
      <c r="B233" s="6"/>
      <c r="C233" s="6"/>
      <c r="D233" s="15"/>
      <c r="E233" s="22"/>
      <c r="F233" s="22"/>
      <c r="G233" s="22"/>
      <c r="I233" s="5"/>
      <c r="J233" s="5"/>
      <c r="K233" s="22"/>
      <c r="L233" s="22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19"/>
      <c r="AH233" s="5"/>
      <c r="AI233" s="5"/>
      <c r="AJ233" s="5"/>
      <c r="AK233" s="5"/>
    </row>
    <row r="234" spans="1:37" x14ac:dyDescent="0.25">
      <c r="A234" s="182"/>
      <c r="B234" s="6"/>
      <c r="C234" s="6"/>
      <c r="D234" s="15"/>
      <c r="E234" s="22"/>
      <c r="F234" s="22"/>
      <c r="G234" s="22"/>
      <c r="I234" s="5"/>
      <c r="J234" s="5"/>
      <c r="K234" s="22"/>
      <c r="L234" s="22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19"/>
      <c r="AH234" s="5"/>
      <c r="AI234" s="5"/>
      <c r="AJ234" s="5"/>
      <c r="AK234" s="5"/>
    </row>
    <row r="235" spans="1:37" x14ac:dyDescent="0.25">
      <c r="A235" s="182"/>
      <c r="B235" s="6"/>
      <c r="C235" s="6"/>
      <c r="D235" s="15"/>
      <c r="E235" s="22"/>
      <c r="F235" s="22"/>
      <c r="G235" s="22"/>
      <c r="I235" s="5"/>
      <c r="J235" s="5"/>
      <c r="K235" s="22"/>
      <c r="L235" s="22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19"/>
      <c r="AH235" s="5"/>
      <c r="AI235" s="5"/>
      <c r="AJ235" s="5"/>
      <c r="AK235" s="5"/>
    </row>
    <row r="236" spans="1:37" x14ac:dyDescent="0.25">
      <c r="A236" s="182"/>
      <c r="B236" s="6"/>
      <c r="C236" s="6"/>
      <c r="D236" s="15"/>
      <c r="E236" s="22"/>
      <c r="F236" s="22"/>
      <c r="G236" s="22"/>
      <c r="I236" s="5"/>
      <c r="J236" s="5"/>
      <c r="K236" s="22"/>
      <c r="L236" s="22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19"/>
      <c r="AH236" s="5"/>
      <c r="AI236" s="5"/>
      <c r="AJ236" s="5"/>
      <c r="AK236" s="5"/>
    </row>
    <row r="237" spans="1:37" x14ac:dyDescent="0.25">
      <c r="A237" s="182"/>
      <c r="B237" s="6"/>
      <c r="C237" s="6"/>
      <c r="D237" s="15"/>
      <c r="E237" s="22"/>
      <c r="F237" s="22"/>
      <c r="G237" s="22"/>
      <c r="I237" s="5"/>
      <c r="J237" s="5"/>
      <c r="K237" s="22"/>
      <c r="L237" s="22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19"/>
      <c r="AH237" s="5"/>
      <c r="AI237" s="5"/>
      <c r="AJ237" s="5"/>
      <c r="AK237" s="5"/>
    </row>
    <row r="238" spans="1:37" x14ac:dyDescent="0.25">
      <c r="A238" s="182"/>
      <c r="B238" s="6"/>
      <c r="C238" s="6"/>
      <c r="D238" s="15"/>
      <c r="E238" s="22"/>
      <c r="F238" s="22"/>
      <c r="G238" s="22"/>
      <c r="I238" s="5"/>
      <c r="J238" s="5"/>
      <c r="K238" s="22"/>
      <c r="L238" s="22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19"/>
      <c r="AH238" s="5"/>
      <c r="AI238" s="5"/>
      <c r="AJ238" s="5"/>
      <c r="AK238" s="5"/>
    </row>
    <row r="239" spans="1:37" x14ac:dyDescent="0.25">
      <c r="A239" s="182"/>
      <c r="B239" s="6"/>
      <c r="C239" s="6"/>
      <c r="D239" s="15"/>
      <c r="E239" s="22"/>
      <c r="F239" s="22"/>
      <c r="G239" s="22"/>
      <c r="I239" s="5"/>
      <c r="J239" s="5"/>
      <c r="K239" s="22"/>
      <c r="L239" s="22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19"/>
      <c r="AH239" s="5"/>
      <c r="AI239" s="5"/>
      <c r="AJ239" s="5"/>
      <c r="AK239" s="5"/>
    </row>
    <row r="240" spans="1:37" x14ac:dyDescent="0.25">
      <c r="A240" s="182"/>
      <c r="B240" s="6"/>
      <c r="C240" s="6"/>
      <c r="D240" s="15"/>
      <c r="E240" s="22"/>
      <c r="F240" s="22"/>
      <c r="G240" s="22"/>
      <c r="I240" s="5"/>
      <c r="J240" s="5"/>
      <c r="K240" s="22"/>
      <c r="L240" s="22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19"/>
      <c r="AH240" s="5"/>
      <c r="AI240" s="5"/>
      <c r="AJ240" s="5"/>
      <c r="AK240" s="5"/>
    </row>
    <row r="241" spans="1:37" x14ac:dyDescent="0.25">
      <c r="A241" s="182"/>
      <c r="B241" s="6"/>
      <c r="C241" s="6"/>
      <c r="D241" s="15"/>
      <c r="E241" s="22"/>
      <c r="F241" s="22"/>
      <c r="G241" s="22"/>
      <c r="I241" s="5"/>
      <c r="J241" s="5"/>
      <c r="K241" s="22"/>
      <c r="L241" s="22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19"/>
      <c r="AH241" s="5"/>
      <c r="AI241" s="5"/>
      <c r="AJ241" s="5"/>
      <c r="AK241" s="5"/>
    </row>
    <row r="242" spans="1:37" x14ac:dyDescent="0.25">
      <c r="A242" s="182"/>
      <c r="B242" s="6"/>
      <c r="C242" s="6"/>
      <c r="D242" s="15"/>
      <c r="E242" s="22"/>
      <c r="F242" s="22"/>
      <c r="G242" s="22"/>
      <c r="I242" s="5"/>
      <c r="J242" s="5"/>
      <c r="K242" s="22"/>
      <c r="L242" s="22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19"/>
      <c r="AH242" s="5"/>
      <c r="AI242" s="5"/>
      <c r="AJ242" s="5"/>
      <c r="AK242" s="5"/>
    </row>
    <row r="243" spans="1:37" x14ac:dyDescent="0.25">
      <c r="A243" s="182"/>
      <c r="B243" s="6"/>
      <c r="C243" s="6"/>
      <c r="D243" s="15"/>
      <c r="E243" s="22"/>
      <c r="F243" s="22"/>
      <c r="G243" s="22"/>
      <c r="I243" s="5"/>
      <c r="J243" s="5"/>
      <c r="K243" s="22"/>
      <c r="L243" s="22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19"/>
      <c r="AH243" s="5"/>
      <c r="AI243" s="5"/>
      <c r="AJ243" s="5"/>
      <c r="AK243" s="5"/>
    </row>
    <row r="244" spans="1:37" x14ac:dyDescent="0.25">
      <c r="A244" s="182"/>
      <c r="B244" s="6"/>
      <c r="C244" s="6"/>
      <c r="D244" s="15"/>
      <c r="E244" s="22"/>
      <c r="F244" s="22"/>
      <c r="G244" s="22"/>
      <c r="I244" s="5"/>
      <c r="J244" s="5"/>
      <c r="K244" s="22"/>
      <c r="L244" s="22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19"/>
      <c r="AH244" s="5"/>
      <c r="AI244" s="5"/>
      <c r="AJ244" s="5"/>
      <c r="AK244" s="5"/>
    </row>
    <row r="245" spans="1:37" x14ac:dyDescent="0.25">
      <c r="A245" s="182"/>
      <c r="B245" s="6"/>
      <c r="C245" s="6"/>
      <c r="D245" s="15"/>
      <c r="E245" s="22"/>
      <c r="F245" s="22"/>
      <c r="G245" s="22"/>
      <c r="I245" s="5"/>
      <c r="J245" s="5"/>
      <c r="K245" s="22"/>
      <c r="L245" s="22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19"/>
      <c r="AH245" s="5"/>
      <c r="AI245" s="5"/>
      <c r="AJ245" s="5"/>
      <c r="AK245" s="5"/>
    </row>
    <row r="246" spans="1:37" x14ac:dyDescent="0.25">
      <c r="A246" s="182"/>
      <c r="B246" s="6"/>
      <c r="C246" s="6"/>
      <c r="D246" s="15"/>
      <c r="E246" s="22"/>
      <c r="F246" s="22"/>
      <c r="G246" s="22"/>
      <c r="I246" s="5"/>
      <c r="J246" s="5"/>
      <c r="K246" s="22"/>
      <c r="L246" s="22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19"/>
      <c r="AH246" s="5"/>
      <c r="AI246" s="5"/>
      <c r="AJ246" s="5"/>
      <c r="AK246" s="5"/>
    </row>
    <row r="247" spans="1:37" x14ac:dyDescent="0.25">
      <c r="A247" s="182"/>
      <c r="B247" s="6"/>
      <c r="C247" s="6"/>
      <c r="D247" s="15"/>
      <c r="E247" s="22"/>
      <c r="F247" s="22"/>
      <c r="G247" s="22"/>
      <c r="I247" s="5"/>
      <c r="J247" s="5"/>
      <c r="K247" s="22"/>
      <c r="L247" s="22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19"/>
      <c r="AH247" s="5"/>
      <c r="AI247" s="5"/>
      <c r="AJ247" s="5"/>
      <c r="AK247" s="5"/>
    </row>
    <row r="248" spans="1:37" x14ac:dyDescent="0.25">
      <c r="A248" s="182"/>
      <c r="B248" s="6"/>
      <c r="C248" s="6"/>
      <c r="D248" s="15"/>
      <c r="E248" s="22"/>
      <c r="F248" s="22"/>
      <c r="G248" s="22"/>
      <c r="I248" s="5"/>
      <c r="J248" s="5"/>
      <c r="K248" s="22"/>
      <c r="L248" s="22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19"/>
      <c r="AH248" s="5"/>
      <c r="AI248" s="5"/>
      <c r="AJ248" s="5"/>
      <c r="AK248" s="5"/>
    </row>
    <row r="249" spans="1:37" x14ac:dyDescent="0.25">
      <c r="A249" s="182"/>
      <c r="B249" s="6"/>
      <c r="C249" s="6"/>
      <c r="D249" s="15"/>
      <c r="E249" s="22"/>
      <c r="F249" s="22"/>
      <c r="G249" s="22"/>
      <c r="I249" s="5"/>
      <c r="J249" s="5"/>
      <c r="K249" s="22"/>
      <c r="L249" s="22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19"/>
      <c r="AH249" s="5"/>
      <c r="AI249" s="5"/>
      <c r="AJ249" s="5"/>
      <c r="AK249" s="5"/>
    </row>
    <row r="250" spans="1:37" x14ac:dyDescent="0.25">
      <c r="A250" s="182"/>
      <c r="B250" s="6"/>
      <c r="C250" s="6"/>
      <c r="D250" s="15"/>
      <c r="E250" s="22"/>
      <c r="F250" s="22"/>
      <c r="G250" s="22"/>
      <c r="I250" s="5"/>
      <c r="J250" s="5"/>
      <c r="K250" s="22"/>
      <c r="L250" s="22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19"/>
      <c r="AH250" s="5"/>
      <c r="AI250" s="5"/>
      <c r="AJ250" s="5"/>
      <c r="AK250" s="5"/>
    </row>
    <row r="251" spans="1:37" x14ac:dyDescent="0.25">
      <c r="A251" s="182"/>
      <c r="B251" s="6"/>
      <c r="C251" s="6"/>
      <c r="D251" s="15"/>
      <c r="E251" s="22"/>
      <c r="F251" s="22"/>
      <c r="G251" s="22"/>
      <c r="I251" s="5"/>
      <c r="J251" s="5"/>
      <c r="K251" s="22"/>
      <c r="L251" s="22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19"/>
      <c r="AH251" s="5"/>
      <c r="AI251" s="5"/>
      <c r="AJ251" s="5"/>
      <c r="AK251" s="5"/>
    </row>
    <row r="252" spans="1:37" x14ac:dyDescent="0.25">
      <c r="A252" s="182"/>
      <c r="B252" s="6"/>
      <c r="C252" s="6"/>
      <c r="D252" s="15"/>
      <c r="E252" s="22"/>
      <c r="F252" s="22"/>
      <c r="G252" s="22"/>
      <c r="I252" s="5"/>
      <c r="J252" s="5"/>
      <c r="K252" s="22"/>
      <c r="L252" s="22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19"/>
      <c r="AH252" s="5"/>
      <c r="AI252" s="5"/>
      <c r="AJ252" s="5"/>
      <c r="AK252" s="5"/>
    </row>
    <row r="253" spans="1:37" x14ac:dyDescent="0.25">
      <c r="A253" s="182"/>
      <c r="B253" s="6"/>
      <c r="C253" s="6"/>
      <c r="D253" s="15"/>
      <c r="E253" s="22"/>
      <c r="F253" s="22"/>
      <c r="G253" s="22"/>
      <c r="I253" s="5"/>
      <c r="J253" s="5"/>
      <c r="K253" s="22"/>
      <c r="L253" s="22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19"/>
      <c r="AH253" s="5"/>
      <c r="AI253" s="5"/>
      <c r="AJ253" s="5"/>
      <c r="AK253" s="5"/>
    </row>
    <row r="254" spans="1:37" x14ac:dyDescent="0.25">
      <c r="A254" s="182"/>
      <c r="B254" s="6"/>
      <c r="C254" s="6"/>
      <c r="D254" s="15"/>
      <c r="E254" s="22"/>
      <c r="F254" s="22"/>
      <c r="G254" s="22"/>
      <c r="I254" s="5"/>
      <c r="J254" s="5"/>
      <c r="K254" s="22"/>
      <c r="L254" s="22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19"/>
      <c r="AH254" s="5"/>
      <c r="AI254" s="5"/>
      <c r="AJ254" s="5"/>
      <c r="AK254" s="5"/>
    </row>
    <row r="255" spans="1:37" x14ac:dyDescent="0.25">
      <c r="A255" s="182"/>
      <c r="B255" s="6"/>
      <c r="C255" s="6"/>
      <c r="D255" s="15"/>
      <c r="E255" s="22"/>
      <c r="F255" s="22"/>
      <c r="G255" s="22"/>
      <c r="I255" s="5"/>
      <c r="J255" s="5"/>
      <c r="K255" s="22"/>
      <c r="L255" s="22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19"/>
      <c r="AH255" s="5"/>
      <c r="AI255" s="5"/>
      <c r="AJ255" s="5"/>
      <c r="AK255" s="5"/>
    </row>
    <row r="256" spans="1:37" x14ac:dyDescent="0.25">
      <c r="A256" s="182"/>
      <c r="B256" s="6"/>
      <c r="C256" s="6"/>
      <c r="D256" s="15"/>
      <c r="E256" s="22"/>
      <c r="F256" s="22"/>
      <c r="G256" s="22"/>
      <c r="I256" s="5"/>
      <c r="J256" s="5"/>
      <c r="K256" s="22"/>
      <c r="L256" s="22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19"/>
      <c r="AH256" s="5"/>
      <c r="AI256" s="5"/>
      <c r="AJ256" s="5"/>
      <c r="AK256" s="5"/>
    </row>
    <row r="257" spans="1:37" x14ac:dyDescent="0.25">
      <c r="A257" s="182"/>
      <c r="B257" s="6"/>
      <c r="C257" s="6"/>
      <c r="D257" s="15"/>
      <c r="E257" s="22"/>
      <c r="F257" s="22"/>
      <c r="G257" s="22"/>
      <c r="I257" s="5"/>
      <c r="J257" s="5"/>
      <c r="K257" s="22"/>
      <c r="L257" s="22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19"/>
      <c r="AH257" s="5"/>
      <c r="AI257" s="5"/>
      <c r="AJ257" s="5"/>
      <c r="AK257" s="5"/>
    </row>
    <row r="258" spans="1:37" x14ac:dyDescent="0.25">
      <c r="A258" s="182"/>
      <c r="B258" s="6"/>
      <c r="C258" s="6"/>
      <c r="D258" s="15"/>
      <c r="E258" s="22"/>
      <c r="F258" s="22"/>
      <c r="G258" s="22"/>
      <c r="I258" s="5"/>
      <c r="J258" s="5"/>
      <c r="K258" s="22"/>
      <c r="L258" s="22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19"/>
      <c r="AH258" s="5"/>
      <c r="AI258" s="5"/>
      <c r="AJ258" s="5"/>
      <c r="AK258" s="5"/>
    </row>
    <row r="259" spans="1:37" x14ac:dyDescent="0.25">
      <c r="A259" s="182"/>
      <c r="B259" s="6"/>
      <c r="C259" s="6"/>
      <c r="D259" s="15"/>
      <c r="E259" s="22"/>
      <c r="F259" s="22"/>
      <c r="G259" s="22"/>
      <c r="I259" s="5"/>
      <c r="J259" s="5"/>
      <c r="K259" s="22"/>
      <c r="L259" s="22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19"/>
      <c r="AH259" s="5"/>
      <c r="AI259" s="5"/>
      <c r="AJ259" s="5"/>
      <c r="AK259" s="5"/>
    </row>
    <row r="260" spans="1:37" x14ac:dyDescent="0.25">
      <c r="A260" s="182"/>
      <c r="B260" s="6"/>
      <c r="C260" s="6"/>
      <c r="D260" s="15"/>
      <c r="E260" s="22"/>
      <c r="F260" s="22"/>
      <c r="G260" s="22"/>
      <c r="I260" s="5"/>
      <c r="J260" s="5"/>
      <c r="K260" s="22"/>
      <c r="L260" s="22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19"/>
      <c r="AH260" s="5"/>
      <c r="AI260" s="5"/>
      <c r="AJ260" s="5"/>
      <c r="AK260" s="5"/>
    </row>
    <row r="261" spans="1:37" x14ac:dyDescent="0.25">
      <c r="A261" s="182"/>
      <c r="B261" s="6"/>
      <c r="C261" s="6"/>
      <c r="D261" s="15"/>
      <c r="E261" s="22"/>
      <c r="F261" s="22"/>
      <c r="G261" s="22"/>
      <c r="I261" s="5"/>
      <c r="J261" s="5"/>
      <c r="K261" s="22"/>
      <c r="L261" s="22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19"/>
      <c r="AH261" s="5"/>
      <c r="AI261" s="5"/>
      <c r="AJ261" s="5"/>
      <c r="AK261" s="5"/>
    </row>
    <row r="262" spans="1:37" x14ac:dyDescent="0.25">
      <c r="A262" s="182"/>
      <c r="B262" s="6"/>
      <c r="C262" s="6"/>
      <c r="D262" s="15"/>
      <c r="E262" s="22"/>
      <c r="F262" s="22"/>
      <c r="G262" s="22"/>
      <c r="I262" s="5"/>
      <c r="J262" s="5"/>
      <c r="K262" s="22"/>
      <c r="L262" s="22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19"/>
      <c r="AH262" s="5"/>
      <c r="AI262" s="5"/>
      <c r="AJ262" s="5"/>
      <c r="AK262" s="5"/>
    </row>
    <row r="263" spans="1:37" x14ac:dyDescent="0.25">
      <c r="A263" s="182"/>
      <c r="B263" s="6"/>
      <c r="C263" s="6"/>
      <c r="D263" s="15"/>
      <c r="E263" s="22"/>
      <c r="F263" s="22"/>
      <c r="G263" s="22"/>
      <c r="I263" s="5"/>
      <c r="J263" s="5"/>
      <c r="K263" s="22"/>
      <c r="L263" s="22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19"/>
      <c r="AH263" s="5"/>
      <c r="AI263" s="5"/>
      <c r="AJ263" s="5"/>
      <c r="AK263" s="5"/>
    </row>
    <row r="264" spans="1:37" x14ac:dyDescent="0.25">
      <c r="A264" s="182"/>
      <c r="B264" s="6"/>
      <c r="C264" s="6"/>
      <c r="D264" s="15"/>
      <c r="E264" s="22"/>
      <c r="F264" s="22"/>
      <c r="G264" s="22"/>
      <c r="I264" s="5"/>
      <c r="J264" s="5"/>
      <c r="K264" s="22"/>
      <c r="L264" s="22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19"/>
      <c r="AH264" s="5"/>
      <c r="AI264" s="5"/>
      <c r="AJ264" s="5"/>
      <c r="AK264" s="5"/>
    </row>
    <row r="265" spans="1:37" x14ac:dyDescent="0.25">
      <c r="A265" s="182"/>
      <c r="B265" s="6"/>
      <c r="C265" s="6"/>
      <c r="D265" s="15"/>
      <c r="E265" s="22"/>
      <c r="F265" s="22"/>
      <c r="G265" s="22"/>
      <c r="I265" s="5"/>
      <c r="J265" s="5"/>
      <c r="K265" s="22"/>
      <c r="L265" s="22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19"/>
      <c r="AH265" s="5"/>
      <c r="AI265" s="5"/>
      <c r="AJ265" s="5"/>
      <c r="AK265" s="5"/>
    </row>
    <row r="266" spans="1:37" x14ac:dyDescent="0.25">
      <c r="A266" s="182"/>
      <c r="B266" s="6"/>
      <c r="C266" s="6"/>
      <c r="D266" s="15"/>
      <c r="E266" s="22"/>
      <c r="F266" s="22"/>
      <c r="G266" s="22"/>
      <c r="I266" s="5"/>
      <c r="J266" s="5"/>
      <c r="K266" s="22"/>
      <c r="L266" s="22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19"/>
      <c r="AH266" s="5"/>
      <c r="AI266" s="5"/>
      <c r="AJ266" s="5"/>
      <c r="AK266" s="5"/>
    </row>
    <row r="267" spans="1:37" x14ac:dyDescent="0.25">
      <c r="A267" s="182"/>
      <c r="B267" s="6"/>
      <c r="C267" s="6"/>
      <c r="D267" s="15"/>
      <c r="E267" s="22"/>
      <c r="F267" s="22"/>
      <c r="G267" s="22"/>
      <c r="I267" s="5"/>
      <c r="J267" s="5"/>
      <c r="K267" s="22"/>
      <c r="L267" s="22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19"/>
      <c r="AH267" s="5"/>
      <c r="AI267" s="5"/>
      <c r="AJ267" s="5"/>
      <c r="AK267" s="5"/>
    </row>
    <row r="268" spans="1:37" x14ac:dyDescent="0.25">
      <c r="A268" s="182"/>
      <c r="B268" s="6"/>
      <c r="C268" s="6"/>
      <c r="D268" s="15"/>
      <c r="E268" s="22"/>
      <c r="F268" s="22"/>
      <c r="G268" s="22"/>
      <c r="I268" s="5"/>
      <c r="J268" s="5"/>
      <c r="K268" s="22"/>
      <c r="L268" s="22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19"/>
      <c r="AH268" s="5"/>
      <c r="AI268" s="5"/>
      <c r="AJ268" s="5"/>
      <c r="AK268" s="5"/>
    </row>
    <row r="269" spans="1:37" x14ac:dyDescent="0.25">
      <c r="A269" s="182"/>
      <c r="B269" s="6"/>
      <c r="C269" s="6"/>
      <c r="D269" s="15"/>
      <c r="E269" s="22"/>
      <c r="F269" s="22"/>
      <c r="G269" s="22"/>
      <c r="I269" s="5"/>
      <c r="J269" s="5"/>
      <c r="K269" s="22"/>
      <c r="L269" s="22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19"/>
      <c r="AH269" s="5"/>
      <c r="AI269" s="5"/>
      <c r="AJ269" s="5"/>
      <c r="AK269" s="5"/>
    </row>
    <row r="270" spans="1:37" x14ac:dyDescent="0.25">
      <c r="A270" s="182"/>
      <c r="B270" s="6"/>
      <c r="C270" s="6"/>
      <c r="D270" s="15"/>
      <c r="E270" s="22"/>
      <c r="F270" s="22"/>
      <c r="G270" s="22"/>
      <c r="I270" s="5"/>
      <c r="J270" s="5"/>
      <c r="K270" s="22"/>
      <c r="L270" s="22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19"/>
      <c r="AH270" s="5"/>
      <c r="AI270" s="5"/>
      <c r="AJ270" s="5"/>
      <c r="AK270" s="5"/>
    </row>
    <row r="271" spans="1:37" x14ac:dyDescent="0.25">
      <c r="A271" s="182"/>
      <c r="B271" s="6"/>
      <c r="C271" s="6"/>
      <c r="D271" s="15"/>
      <c r="E271" s="22"/>
      <c r="F271" s="22"/>
      <c r="G271" s="22"/>
      <c r="I271" s="5"/>
      <c r="J271" s="5"/>
      <c r="K271" s="22"/>
      <c r="L271" s="22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19"/>
      <c r="AH271" s="5"/>
      <c r="AI271" s="5"/>
      <c r="AJ271" s="5"/>
      <c r="AK271" s="5"/>
    </row>
    <row r="272" spans="1:37" x14ac:dyDescent="0.25">
      <c r="A272" s="182"/>
      <c r="B272" s="6"/>
      <c r="C272" s="6"/>
      <c r="D272" s="15"/>
      <c r="E272" s="22"/>
      <c r="F272" s="22"/>
      <c r="G272" s="22"/>
      <c r="I272" s="5"/>
      <c r="J272" s="5"/>
      <c r="K272" s="22"/>
      <c r="L272" s="22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19"/>
      <c r="AH272" s="5"/>
      <c r="AI272" s="5"/>
      <c r="AJ272" s="5"/>
      <c r="AK272" s="5"/>
    </row>
    <row r="273" spans="1:37" x14ac:dyDescent="0.25">
      <c r="A273" s="182"/>
      <c r="B273" s="6"/>
      <c r="C273" s="6"/>
      <c r="D273" s="15"/>
      <c r="E273" s="22"/>
      <c r="F273" s="22"/>
      <c r="G273" s="22"/>
      <c r="I273" s="5"/>
      <c r="J273" s="5"/>
      <c r="K273" s="22"/>
      <c r="L273" s="22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19"/>
      <c r="AH273" s="5"/>
      <c r="AI273" s="5"/>
      <c r="AJ273" s="5"/>
      <c r="AK273" s="5"/>
    </row>
    <row r="274" spans="1:37" x14ac:dyDescent="0.25">
      <c r="A274" s="182"/>
      <c r="B274" s="6"/>
      <c r="C274" s="6"/>
      <c r="D274" s="15"/>
      <c r="E274" s="22"/>
      <c r="F274" s="22"/>
      <c r="G274" s="22"/>
      <c r="I274" s="5"/>
      <c r="J274" s="5"/>
      <c r="K274" s="22"/>
      <c r="L274" s="22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19"/>
      <c r="AH274" s="5"/>
      <c r="AI274" s="5"/>
      <c r="AJ274" s="5"/>
      <c r="AK274" s="5"/>
    </row>
    <row r="275" spans="1:37" x14ac:dyDescent="0.25">
      <c r="A275" s="182"/>
      <c r="B275" s="6"/>
      <c r="C275" s="6"/>
      <c r="D275" s="15"/>
      <c r="E275" s="22"/>
      <c r="F275" s="22"/>
      <c r="G275" s="22"/>
      <c r="I275" s="5"/>
      <c r="J275" s="5"/>
      <c r="K275" s="22"/>
      <c r="L275" s="22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19"/>
      <c r="AH275" s="5"/>
      <c r="AI275" s="5"/>
      <c r="AJ275" s="5"/>
      <c r="AK275" s="5"/>
    </row>
    <row r="276" spans="1:37" x14ac:dyDescent="0.25">
      <c r="A276" s="182"/>
      <c r="B276" s="6"/>
      <c r="C276" s="6"/>
      <c r="D276" s="15"/>
      <c r="E276" s="22"/>
      <c r="F276" s="22"/>
      <c r="G276" s="22"/>
      <c r="I276" s="5"/>
      <c r="J276" s="5"/>
      <c r="K276" s="22"/>
      <c r="L276" s="22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19"/>
      <c r="AH276" s="5"/>
      <c r="AI276" s="5"/>
      <c r="AJ276" s="5"/>
      <c r="AK276" s="5"/>
    </row>
    <row r="277" spans="1:37" x14ac:dyDescent="0.25">
      <c r="A277" s="182"/>
      <c r="B277" s="6"/>
      <c r="C277" s="6"/>
      <c r="D277" s="15"/>
      <c r="E277" s="22"/>
      <c r="F277" s="22"/>
      <c r="G277" s="22"/>
      <c r="I277" s="5"/>
      <c r="J277" s="5"/>
      <c r="K277" s="22"/>
      <c r="L277" s="22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19"/>
      <c r="AH277" s="5"/>
      <c r="AI277" s="5"/>
      <c r="AJ277" s="5"/>
      <c r="AK277" s="5"/>
    </row>
    <row r="278" spans="1:37" x14ac:dyDescent="0.25">
      <c r="A278" s="182"/>
      <c r="B278" s="6"/>
      <c r="C278" s="6"/>
      <c r="D278" s="15"/>
      <c r="E278" s="22"/>
      <c r="F278" s="22"/>
      <c r="G278" s="22"/>
      <c r="I278" s="5"/>
      <c r="J278" s="5"/>
      <c r="K278" s="22"/>
      <c r="L278" s="22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19"/>
      <c r="AH278" s="5"/>
      <c r="AI278" s="5"/>
      <c r="AJ278" s="5"/>
      <c r="AK278" s="5"/>
    </row>
    <row r="279" spans="1:37" x14ac:dyDescent="0.25">
      <c r="A279" s="182"/>
      <c r="B279" s="6"/>
      <c r="C279" s="6"/>
      <c r="D279" s="15"/>
      <c r="E279" s="22"/>
      <c r="F279" s="22"/>
      <c r="G279" s="22"/>
      <c r="I279" s="5"/>
      <c r="J279" s="5"/>
      <c r="K279" s="22"/>
      <c r="L279" s="22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19"/>
      <c r="AH279" s="5"/>
      <c r="AI279" s="5"/>
      <c r="AJ279" s="5"/>
      <c r="AK279" s="5"/>
    </row>
    <row r="280" spans="1:37" x14ac:dyDescent="0.25">
      <c r="A280" s="182"/>
      <c r="B280" s="6"/>
      <c r="C280" s="6"/>
      <c r="D280" s="15"/>
      <c r="E280" s="22"/>
      <c r="F280" s="22"/>
      <c r="G280" s="22"/>
      <c r="I280" s="5"/>
      <c r="J280" s="5"/>
      <c r="K280" s="22"/>
      <c r="L280" s="22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19"/>
      <c r="AH280" s="5"/>
      <c r="AI280" s="5"/>
      <c r="AJ280" s="5"/>
      <c r="AK280" s="5"/>
    </row>
    <row r="281" spans="1:37" x14ac:dyDescent="0.25">
      <c r="A281" s="182"/>
      <c r="B281" s="6"/>
      <c r="C281" s="6"/>
      <c r="D281" s="15"/>
      <c r="E281" s="22"/>
      <c r="F281" s="22"/>
      <c r="G281" s="22"/>
      <c r="I281" s="5"/>
      <c r="J281" s="5"/>
      <c r="K281" s="22"/>
      <c r="L281" s="22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19"/>
      <c r="AH281" s="5"/>
      <c r="AI281" s="5"/>
      <c r="AJ281" s="5"/>
      <c r="AK281" s="5"/>
    </row>
    <row r="282" spans="1:37" x14ac:dyDescent="0.25">
      <c r="A282" s="182"/>
      <c r="B282" s="6"/>
      <c r="C282" s="6"/>
      <c r="D282" s="15"/>
      <c r="E282" s="22"/>
      <c r="F282" s="22"/>
      <c r="G282" s="22"/>
      <c r="I282" s="5"/>
      <c r="J282" s="5"/>
      <c r="K282" s="22"/>
      <c r="L282" s="22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19"/>
      <c r="AH282" s="5"/>
      <c r="AI282" s="5"/>
      <c r="AJ282" s="5"/>
      <c r="AK282" s="5"/>
    </row>
    <row r="283" spans="1:37" x14ac:dyDescent="0.25">
      <c r="A283" s="182"/>
      <c r="B283" s="6"/>
      <c r="C283" s="6"/>
      <c r="D283" s="15"/>
      <c r="E283" s="22"/>
      <c r="F283" s="22"/>
      <c r="G283" s="22"/>
      <c r="I283" s="5"/>
      <c r="J283" s="5"/>
      <c r="K283" s="22"/>
      <c r="L283" s="22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19"/>
      <c r="AH283" s="5"/>
      <c r="AI283" s="5"/>
      <c r="AJ283" s="5"/>
      <c r="AK283" s="5"/>
    </row>
    <row r="284" spans="1:37" x14ac:dyDescent="0.25">
      <c r="A284" s="182"/>
      <c r="B284" s="6"/>
      <c r="C284" s="6"/>
      <c r="D284" s="15"/>
      <c r="E284" s="22"/>
      <c r="F284" s="22"/>
      <c r="G284" s="22"/>
      <c r="I284" s="5"/>
      <c r="J284" s="5"/>
      <c r="K284" s="22"/>
      <c r="L284" s="22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19"/>
      <c r="AH284" s="5"/>
      <c r="AI284" s="5"/>
      <c r="AJ284" s="5"/>
      <c r="AK284" s="5"/>
    </row>
    <row r="285" spans="1:37" x14ac:dyDescent="0.25">
      <c r="A285" s="182"/>
      <c r="B285" s="6"/>
      <c r="C285" s="6"/>
      <c r="D285" s="15"/>
      <c r="E285" s="22"/>
      <c r="F285" s="22"/>
      <c r="G285" s="22"/>
      <c r="I285" s="5"/>
      <c r="J285" s="5"/>
      <c r="K285" s="22"/>
      <c r="L285" s="22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19"/>
      <c r="AH285" s="5"/>
      <c r="AI285" s="5"/>
      <c r="AJ285" s="5"/>
      <c r="AK285" s="5"/>
    </row>
    <row r="286" spans="1:37" x14ac:dyDescent="0.25">
      <c r="A286" s="182"/>
      <c r="B286" s="6"/>
      <c r="C286" s="6"/>
      <c r="D286" s="15"/>
      <c r="E286" s="22"/>
      <c r="F286" s="22"/>
      <c r="G286" s="22"/>
      <c r="I286" s="5"/>
      <c r="J286" s="5"/>
      <c r="K286" s="22"/>
      <c r="L286" s="22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19"/>
      <c r="AH286" s="5"/>
      <c r="AI286" s="5"/>
      <c r="AJ286" s="5"/>
      <c r="AK286" s="5"/>
    </row>
    <row r="287" spans="1:37" x14ac:dyDescent="0.25">
      <c r="A287" s="182"/>
      <c r="B287" s="6"/>
      <c r="C287" s="6"/>
      <c r="D287" s="15"/>
      <c r="E287" s="22"/>
      <c r="F287" s="22"/>
      <c r="G287" s="22"/>
      <c r="I287" s="5"/>
      <c r="J287" s="5"/>
      <c r="K287" s="22"/>
      <c r="L287" s="22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19"/>
      <c r="AH287" s="5"/>
      <c r="AI287" s="5"/>
      <c r="AJ287" s="5"/>
      <c r="AK287" s="5"/>
    </row>
    <row r="288" spans="1:37" x14ac:dyDescent="0.25">
      <c r="A288" s="182"/>
      <c r="B288" s="6"/>
      <c r="C288" s="6"/>
      <c r="D288" s="15"/>
      <c r="E288" s="22"/>
      <c r="F288" s="22"/>
      <c r="G288" s="22"/>
      <c r="I288" s="5"/>
      <c r="J288" s="5"/>
      <c r="K288" s="22"/>
      <c r="L288" s="22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19"/>
      <c r="AH288" s="5"/>
      <c r="AI288" s="5"/>
      <c r="AJ288" s="5"/>
      <c r="AK288" s="5"/>
    </row>
    <row r="289" spans="1:37" x14ac:dyDescent="0.25">
      <c r="A289" s="182"/>
      <c r="B289" s="6"/>
      <c r="C289" s="6"/>
      <c r="D289" s="15"/>
      <c r="E289" s="22"/>
      <c r="F289" s="22"/>
      <c r="G289" s="22"/>
      <c r="I289" s="5"/>
      <c r="J289" s="5"/>
      <c r="K289" s="22"/>
      <c r="L289" s="22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19"/>
      <c r="AH289" s="5"/>
      <c r="AI289" s="5"/>
      <c r="AJ289" s="5"/>
      <c r="AK289" s="5"/>
    </row>
    <row r="290" spans="1:37" x14ac:dyDescent="0.25">
      <c r="A290" s="182"/>
      <c r="B290" s="6"/>
      <c r="C290" s="6"/>
      <c r="D290" s="15"/>
      <c r="E290" s="22"/>
      <c r="F290" s="22"/>
      <c r="G290" s="22"/>
      <c r="I290" s="5"/>
      <c r="J290" s="5"/>
      <c r="K290" s="22"/>
      <c r="L290" s="22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19"/>
      <c r="AH290" s="5"/>
      <c r="AI290" s="5"/>
      <c r="AJ290" s="5"/>
      <c r="AK290" s="5"/>
    </row>
    <row r="291" spans="1:37" x14ac:dyDescent="0.25">
      <c r="A291" s="182"/>
      <c r="B291" s="6"/>
      <c r="C291" s="6"/>
      <c r="D291" s="15"/>
      <c r="E291" s="22"/>
      <c r="F291" s="22"/>
      <c r="G291" s="22"/>
      <c r="I291" s="5"/>
      <c r="J291" s="5"/>
      <c r="K291" s="22"/>
      <c r="L291" s="22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19"/>
      <c r="AH291" s="5"/>
      <c r="AI291" s="5"/>
      <c r="AJ291" s="5"/>
      <c r="AK291" s="5"/>
    </row>
    <row r="292" spans="1:37" x14ac:dyDescent="0.25">
      <c r="A292" s="182"/>
      <c r="B292" s="6"/>
      <c r="C292" s="6"/>
      <c r="D292" s="15"/>
      <c r="E292" s="22"/>
      <c r="F292" s="22"/>
      <c r="G292" s="22"/>
      <c r="I292" s="5"/>
      <c r="J292" s="5"/>
      <c r="K292" s="22"/>
      <c r="L292" s="22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19"/>
      <c r="AH292" s="5"/>
      <c r="AI292" s="5"/>
      <c r="AJ292" s="5"/>
      <c r="AK292" s="5"/>
    </row>
    <row r="293" spans="1:37" x14ac:dyDescent="0.25">
      <c r="A293" s="182"/>
      <c r="B293" s="6"/>
      <c r="C293" s="6"/>
      <c r="D293" s="15"/>
      <c r="E293" s="22"/>
      <c r="F293" s="22"/>
      <c r="G293" s="22"/>
      <c r="I293" s="5"/>
      <c r="J293" s="5"/>
      <c r="K293" s="22"/>
      <c r="L293" s="22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19"/>
      <c r="AH293" s="5"/>
      <c r="AI293" s="5"/>
      <c r="AJ293" s="5"/>
      <c r="AK293" s="5"/>
    </row>
    <row r="294" spans="1:37" x14ac:dyDescent="0.25">
      <c r="A294" s="182"/>
      <c r="B294" s="6"/>
      <c r="C294" s="6"/>
      <c r="D294" s="15"/>
      <c r="E294" s="22"/>
      <c r="F294" s="22"/>
      <c r="G294" s="22"/>
      <c r="I294" s="5"/>
      <c r="J294" s="5"/>
      <c r="K294" s="22"/>
      <c r="L294" s="22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19"/>
      <c r="AH294" s="5"/>
      <c r="AI294" s="5"/>
      <c r="AJ294" s="5"/>
      <c r="AK294" s="5"/>
    </row>
    <row r="295" spans="1:37" x14ac:dyDescent="0.25">
      <c r="A295" s="182"/>
      <c r="B295" s="6"/>
      <c r="C295" s="6"/>
      <c r="D295" s="15"/>
      <c r="E295" s="22"/>
      <c r="F295" s="22"/>
      <c r="G295" s="22"/>
      <c r="I295" s="5"/>
      <c r="J295" s="5"/>
      <c r="K295" s="22"/>
      <c r="L295" s="22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19"/>
      <c r="AH295" s="5"/>
      <c r="AI295" s="5"/>
      <c r="AJ295" s="5"/>
      <c r="AK295" s="5"/>
    </row>
    <row r="296" spans="1:37" x14ac:dyDescent="0.25">
      <c r="A296" s="182"/>
      <c r="B296" s="6"/>
      <c r="C296" s="6"/>
      <c r="D296" s="15"/>
      <c r="E296" s="22"/>
      <c r="F296" s="22"/>
      <c r="G296" s="22"/>
      <c r="I296" s="5"/>
      <c r="J296" s="5"/>
      <c r="K296" s="22"/>
      <c r="L296" s="22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19"/>
      <c r="AH296" s="5"/>
      <c r="AI296" s="5"/>
      <c r="AJ296" s="5"/>
      <c r="AK296" s="5"/>
    </row>
    <row r="297" spans="1:37" x14ac:dyDescent="0.25">
      <c r="A297" s="182"/>
      <c r="B297" s="6"/>
      <c r="C297" s="6"/>
      <c r="D297" s="15"/>
      <c r="E297" s="22"/>
      <c r="F297" s="22"/>
      <c r="G297" s="22"/>
      <c r="I297" s="5"/>
      <c r="J297" s="5"/>
      <c r="K297" s="22"/>
      <c r="L297" s="22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19"/>
      <c r="AH297" s="5"/>
      <c r="AI297" s="5"/>
      <c r="AJ297" s="5"/>
      <c r="AK297" s="5"/>
    </row>
    <row r="298" spans="1:37" x14ac:dyDescent="0.25">
      <c r="A298" s="182"/>
      <c r="B298" s="6"/>
      <c r="C298" s="6"/>
      <c r="D298" s="15"/>
      <c r="E298" s="22"/>
      <c r="F298" s="22"/>
      <c r="G298" s="22"/>
      <c r="I298" s="5"/>
      <c r="J298" s="5"/>
      <c r="K298" s="22"/>
      <c r="L298" s="22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19"/>
      <c r="AH298" s="5"/>
      <c r="AI298" s="5"/>
      <c r="AJ298" s="5"/>
      <c r="AK298" s="5"/>
    </row>
    <row r="299" spans="1:37" x14ac:dyDescent="0.25">
      <c r="A299" s="182"/>
      <c r="B299" s="6"/>
      <c r="C299" s="6"/>
      <c r="D299" s="15"/>
      <c r="E299" s="22"/>
      <c r="F299" s="22"/>
      <c r="G299" s="22"/>
      <c r="I299" s="5"/>
      <c r="J299" s="5"/>
      <c r="K299" s="22"/>
      <c r="L299" s="22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19"/>
      <c r="AH299" s="5"/>
      <c r="AI299" s="5"/>
      <c r="AJ299" s="5"/>
      <c r="AK299" s="5"/>
    </row>
    <row r="300" spans="1:37" x14ac:dyDescent="0.25">
      <c r="A300" s="182"/>
      <c r="B300" s="6"/>
      <c r="C300" s="6"/>
      <c r="D300" s="15"/>
      <c r="E300" s="22"/>
      <c r="F300" s="22"/>
      <c r="G300" s="22"/>
      <c r="I300" s="5"/>
      <c r="J300" s="5"/>
      <c r="K300" s="22"/>
      <c r="L300" s="22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19"/>
      <c r="AH300" s="5"/>
      <c r="AI300" s="5"/>
      <c r="AJ300" s="5"/>
      <c r="AK300" s="5"/>
    </row>
    <row r="301" spans="1:37" x14ac:dyDescent="0.25">
      <c r="A301" s="182"/>
      <c r="B301" s="6"/>
      <c r="C301" s="6"/>
      <c r="D301" s="15"/>
      <c r="E301" s="22"/>
      <c r="F301" s="22"/>
      <c r="G301" s="22"/>
      <c r="I301" s="5"/>
      <c r="J301" s="5"/>
      <c r="K301" s="22"/>
      <c r="L301" s="22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19"/>
      <c r="AH301" s="5"/>
      <c r="AI301" s="5"/>
      <c r="AJ301" s="5"/>
      <c r="AK301" s="5"/>
    </row>
    <row r="302" spans="1:37" x14ac:dyDescent="0.25">
      <c r="A302" s="182"/>
      <c r="B302" s="6"/>
      <c r="C302" s="6"/>
      <c r="D302" s="15"/>
      <c r="E302" s="22"/>
      <c r="F302" s="22"/>
      <c r="G302" s="22"/>
      <c r="I302" s="5"/>
      <c r="J302" s="5"/>
      <c r="K302" s="22"/>
      <c r="L302" s="22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19"/>
      <c r="AH302" s="5"/>
      <c r="AI302" s="5"/>
      <c r="AJ302" s="5"/>
      <c r="AK302" s="5"/>
    </row>
    <row r="303" spans="1:37" x14ac:dyDescent="0.25">
      <c r="A303" s="182"/>
      <c r="B303" s="6"/>
      <c r="C303" s="6"/>
      <c r="D303" s="15"/>
      <c r="E303" s="22"/>
      <c r="F303" s="22"/>
      <c r="G303" s="22"/>
      <c r="I303" s="5"/>
      <c r="J303" s="5"/>
      <c r="K303" s="22"/>
      <c r="L303" s="22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19"/>
      <c r="AH303" s="5"/>
      <c r="AI303" s="5"/>
      <c r="AJ303" s="5"/>
      <c r="AK303" s="5"/>
    </row>
    <row r="304" spans="1:37" x14ac:dyDescent="0.25">
      <c r="A304" s="182"/>
      <c r="B304" s="6"/>
      <c r="C304" s="6"/>
      <c r="D304" s="15"/>
      <c r="E304" s="22"/>
      <c r="F304" s="22"/>
      <c r="G304" s="22"/>
      <c r="I304" s="5"/>
      <c r="J304" s="5"/>
      <c r="K304" s="22"/>
      <c r="L304" s="22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19"/>
      <c r="AH304" s="5"/>
      <c r="AI304" s="5"/>
      <c r="AJ304" s="5"/>
      <c r="AK304" s="5"/>
    </row>
    <row r="305" spans="1:37" x14ac:dyDescent="0.25">
      <c r="A305" s="182"/>
      <c r="B305" s="6"/>
      <c r="C305" s="6"/>
      <c r="D305" s="15"/>
      <c r="E305" s="22"/>
      <c r="F305" s="22"/>
      <c r="G305" s="22"/>
      <c r="I305" s="5"/>
      <c r="J305" s="5"/>
      <c r="K305" s="22"/>
      <c r="L305" s="22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19"/>
      <c r="AH305" s="5"/>
      <c r="AI305" s="5"/>
      <c r="AJ305" s="5"/>
      <c r="AK305" s="5"/>
    </row>
    <row r="306" spans="1:37" x14ac:dyDescent="0.25">
      <c r="A306" s="182"/>
      <c r="B306" s="6"/>
      <c r="C306" s="6"/>
      <c r="D306" s="15"/>
      <c r="E306" s="22"/>
      <c r="F306" s="22"/>
      <c r="G306" s="22"/>
      <c r="I306" s="5"/>
      <c r="J306" s="5"/>
      <c r="K306" s="22"/>
      <c r="L306" s="22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19"/>
      <c r="AH306" s="5"/>
      <c r="AI306" s="5"/>
      <c r="AJ306" s="5"/>
      <c r="AK306" s="5"/>
    </row>
    <row r="307" spans="1:37" x14ac:dyDescent="0.25">
      <c r="A307" s="182"/>
      <c r="B307" s="6"/>
      <c r="C307" s="6"/>
      <c r="D307" s="15"/>
      <c r="E307" s="22"/>
      <c r="F307" s="22"/>
      <c r="G307" s="22"/>
      <c r="I307" s="5"/>
      <c r="J307" s="5"/>
      <c r="K307" s="22"/>
      <c r="L307" s="22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19"/>
      <c r="AH307" s="5"/>
      <c r="AI307" s="5"/>
      <c r="AJ307" s="5"/>
      <c r="AK307" s="5"/>
    </row>
    <row r="308" spans="1:37" x14ac:dyDescent="0.25">
      <c r="A308" s="182"/>
      <c r="B308" s="6"/>
      <c r="C308" s="6"/>
      <c r="D308" s="15"/>
      <c r="E308" s="22"/>
      <c r="F308" s="22"/>
      <c r="G308" s="22"/>
      <c r="I308" s="5"/>
      <c r="J308" s="5"/>
      <c r="K308" s="22"/>
      <c r="L308" s="22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19"/>
      <c r="AH308" s="5"/>
      <c r="AI308" s="5"/>
      <c r="AJ308" s="5"/>
      <c r="AK308" s="5"/>
    </row>
    <row r="309" spans="1:37" x14ac:dyDescent="0.25">
      <c r="A309" s="182"/>
      <c r="B309" s="6"/>
      <c r="C309" s="6"/>
      <c r="D309" s="15"/>
      <c r="E309" s="22"/>
      <c r="F309" s="22"/>
      <c r="G309" s="22"/>
      <c r="I309" s="5"/>
      <c r="J309" s="5"/>
      <c r="K309" s="22"/>
      <c r="L309" s="22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19"/>
      <c r="AH309" s="5"/>
      <c r="AI309" s="5"/>
      <c r="AJ309" s="5"/>
      <c r="AK309" s="5"/>
    </row>
    <row r="310" spans="1:37" x14ac:dyDescent="0.25">
      <c r="A310" s="182"/>
      <c r="B310" s="6"/>
      <c r="C310" s="6"/>
      <c r="D310" s="15"/>
      <c r="E310" s="22"/>
      <c r="F310" s="22"/>
      <c r="G310" s="22"/>
      <c r="I310" s="5"/>
      <c r="J310" s="5"/>
      <c r="K310" s="22"/>
      <c r="L310" s="22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19"/>
      <c r="AH310" s="5"/>
      <c r="AI310" s="5"/>
      <c r="AJ310" s="5"/>
      <c r="AK310" s="5"/>
    </row>
    <row r="311" spans="1:37" x14ac:dyDescent="0.25">
      <c r="A311" s="182"/>
      <c r="B311" s="6"/>
      <c r="C311" s="6"/>
      <c r="D311" s="15"/>
      <c r="E311" s="22"/>
      <c r="F311" s="22"/>
      <c r="G311" s="22"/>
      <c r="I311" s="5"/>
      <c r="J311" s="5"/>
      <c r="K311" s="22"/>
      <c r="L311" s="22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19"/>
      <c r="AH311" s="5"/>
      <c r="AI311" s="5"/>
      <c r="AJ311" s="5"/>
      <c r="AK311" s="5"/>
    </row>
    <row r="312" spans="1:37" x14ac:dyDescent="0.25">
      <c r="A312" s="182"/>
      <c r="B312" s="6"/>
      <c r="C312" s="6"/>
      <c r="D312" s="15"/>
      <c r="E312" s="22"/>
      <c r="F312" s="22"/>
      <c r="G312" s="22"/>
      <c r="I312" s="5"/>
      <c r="J312" s="5"/>
      <c r="K312" s="22"/>
      <c r="L312" s="22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19"/>
      <c r="AH312" s="5"/>
      <c r="AI312" s="5"/>
      <c r="AJ312" s="5"/>
      <c r="AK312" s="5"/>
    </row>
    <row r="313" spans="1:37" x14ac:dyDescent="0.25">
      <c r="A313" s="182"/>
      <c r="B313" s="6"/>
      <c r="C313" s="6"/>
      <c r="D313" s="15"/>
      <c r="E313" s="22"/>
      <c r="F313" s="22"/>
      <c r="G313" s="22"/>
      <c r="I313" s="5"/>
      <c r="J313" s="5"/>
      <c r="K313" s="22"/>
      <c r="L313" s="22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19"/>
      <c r="AH313" s="5"/>
      <c r="AI313" s="5"/>
      <c r="AJ313" s="5"/>
      <c r="AK313" s="5"/>
    </row>
    <row r="314" spans="1:37" x14ac:dyDescent="0.25">
      <c r="A314" s="182"/>
      <c r="B314" s="6"/>
      <c r="C314" s="6"/>
      <c r="D314" s="15"/>
      <c r="E314" s="22"/>
      <c r="F314" s="22"/>
      <c r="G314" s="22"/>
      <c r="I314" s="5"/>
      <c r="J314" s="5"/>
      <c r="K314" s="22"/>
      <c r="L314" s="22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19"/>
      <c r="AH314" s="5"/>
      <c r="AI314" s="5"/>
      <c r="AJ314" s="5"/>
      <c r="AK314" s="5"/>
    </row>
    <row r="315" spans="1:37" x14ac:dyDescent="0.25">
      <c r="A315" s="182"/>
      <c r="B315" s="6"/>
      <c r="C315" s="6"/>
      <c r="D315" s="15"/>
      <c r="E315" s="22"/>
      <c r="F315" s="22"/>
      <c r="G315" s="22"/>
      <c r="I315" s="5"/>
      <c r="J315" s="5"/>
      <c r="K315" s="22"/>
      <c r="L315" s="22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19"/>
      <c r="AH315" s="5"/>
      <c r="AI315" s="5"/>
      <c r="AJ315" s="5"/>
      <c r="AK315" s="5"/>
    </row>
    <row r="316" spans="1:37" x14ac:dyDescent="0.25">
      <c r="A316" s="182"/>
      <c r="B316" s="6"/>
      <c r="C316" s="6"/>
      <c r="D316" s="15"/>
      <c r="E316" s="22"/>
      <c r="F316" s="22"/>
      <c r="G316" s="22"/>
      <c r="I316" s="5"/>
      <c r="J316" s="5"/>
      <c r="K316" s="22"/>
      <c r="L316" s="22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19"/>
      <c r="AH316" s="5"/>
      <c r="AI316" s="5"/>
      <c r="AJ316" s="5"/>
      <c r="AK316" s="5"/>
    </row>
    <row r="317" spans="1:37" x14ac:dyDescent="0.25">
      <c r="A317" s="182"/>
      <c r="B317" s="6"/>
      <c r="C317" s="6"/>
      <c r="D317" s="15"/>
      <c r="E317" s="22"/>
      <c r="F317" s="22"/>
      <c r="G317" s="22"/>
      <c r="I317" s="5"/>
      <c r="J317" s="5"/>
      <c r="K317" s="22"/>
      <c r="L317" s="22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19"/>
      <c r="AH317" s="5"/>
      <c r="AI317" s="5"/>
      <c r="AJ317" s="5"/>
      <c r="AK317" s="5"/>
    </row>
    <row r="318" spans="1:37" x14ac:dyDescent="0.25">
      <c r="A318" s="182"/>
      <c r="B318" s="6"/>
      <c r="C318" s="6"/>
      <c r="D318" s="15"/>
      <c r="E318" s="22"/>
      <c r="F318" s="22"/>
      <c r="G318" s="22"/>
      <c r="I318" s="5"/>
      <c r="J318" s="5"/>
      <c r="K318" s="22"/>
      <c r="L318" s="22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19"/>
      <c r="AH318" s="5"/>
      <c r="AI318" s="5"/>
      <c r="AJ318" s="5"/>
      <c r="AK318" s="5"/>
    </row>
    <row r="319" spans="1:37" x14ac:dyDescent="0.25">
      <c r="A319" s="182"/>
      <c r="B319" s="6"/>
      <c r="C319" s="6"/>
      <c r="D319" s="15"/>
      <c r="E319" s="22"/>
      <c r="F319" s="22"/>
      <c r="G319" s="22"/>
      <c r="I319" s="5"/>
      <c r="J319" s="5"/>
      <c r="K319" s="22"/>
      <c r="L319" s="22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19"/>
      <c r="AH319" s="5"/>
      <c r="AI319" s="5"/>
      <c r="AJ319" s="5"/>
      <c r="AK319" s="5"/>
    </row>
    <row r="320" spans="1:37" x14ac:dyDescent="0.25">
      <c r="A320" s="182"/>
      <c r="B320" s="6"/>
      <c r="C320" s="6"/>
      <c r="D320" s="15"/>
      <c r="E320" s="22"/>
      <c r="F320" s="22"/>
      <c r="G320" s="22"/>
      <c r="I320" s="5"/>
      <c r="J320" s="5"/>
      <c r="K320" s="22"/>
      <c r="L320" s="22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19"/>
      <c r="AH320" s="5"/>
      <c r="AI320" s="5"/>
      <c r="AJ320" s="5"/>
      <c r="AK320" s="5"/>
    </row>
    <row r="321" spans="1:37" x14ac:dyDescent="0.25">
      <c r="A321" s="182"/>
      <c r="B321" s="6"/>
      <c r="C321" s="6"/>
      <c r="D321" s="15"/>
      <c r="E321" s="22"/>
      <c r="F321" s="22"/>
      <c r="G321" s="22"/>
      <c r="I321" s="5"/>
      <c r="J321" s="5"/>
      <c r="K321" s="22"/>
      <c r="L321" s="22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19"/>
      <c r="AH321" s="5"/>
      <c r="AI321" s="5"/>
      <c r="AJ321" s="5"/>
      <c r="AK321" s="5"/>
    </row>
    <row r="322" spans="1:37" x14ac:dyDescent="0.25">
      <c r="A322" s="182"/>
      <c r="B322" s="6"/>
      <c r="C322" s="6"/>
      <c r="D322" s="15"/>
      <c r="E322" s="22"/>
      <c r="F322" s="22"/>
      <c r="G322" s="22"/>
      <c r="I322" s="5"/>
      <c r="J322" s="5"/>
      <c r="K322" s="22"/>
      <c r="L322" s="22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19"/>
      <c r="AH322" s="5"/>
      <c r="AI322" s="5"/>
      <c r="AJ322" s="5"/>
      <c r="AK322" s="5"/>
    </row>
    <row r="323" spans="1:37" x14ac:dyDescent="0.25">
      <c r="A323" s="182"/>
      <c r="B323" s="6"/>
      <c r="C323" s="6"/>
      <c r="D323" s="15"/>
      <c r="E323" s="22"/>
      <c r="F323" s="22"/>
      <c r="G323" s="22"/>
      <c r="I323" s="5"/>
      <c r="J323" s="5"/>
      <c r="K323" s="22"/>
      <c r="L323" s="22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19"/>
      <c r="AH323" s="5"/>
      <c r="AI323" s="5"/>
      <c r="AJ323" s="5"/>
      <c r="AK323" s="5"/>
    </row>
    <row r="324" spans="1:37" x14ac:dyDescent="0.25">
      <c r="A324" s="182"/>
      <c r="B324" s="6"/>
      <c r="C324" s="6"/>
      <c r="D324" s="15"/>
      <c r="E324" s="22"/>
      <c r="F324" s="22"/>
      <c r="G324" s="22"/>
      <c r="I324" s="5"/>
      <c r="J324" s="5"/>
      <c r="K324" s="22"/>
      <c r="L324" s="22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19"/>
      <c r="AH324" s="5"/>
      <c r="AI324" s="5"/>
      <c r="AJ324" s="5"/>
      <c r="AK324" s="5"/>
    </row>
    <row r="325" spans="1:37" x14ac:dyDescent="0.25">
      <c r="A325" s="182"/>
      <c r="B325" s="6"/>
      <c r="C325" s="6"/>
      <c r="D325" s="15"/>
      <c r="E325" s="22"/>
      <c r="F325" s="22"/>
      <c r="G325" s="22"/>
      <c r="I325" s="5"/>
      <c r="J325" s="5"/>
      <c r="K325" s="22"/>
      <c r="L325" s="22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19"/>
      <c r="AH325" s="5"/>
      <c r="AI325" s="5"/>
      <c r="AJ325" s="5"/>
      <c r="AK325" s="5"/>
    </row>
    <row r="326" spans="1:37" x14ac:dyDescent="0.25">
      <c r="A326" s="182"/>
      <c r="B326" s="6"/>
      <c r="C326" s="6"/>
      <c r="D326" s="15"/>
      <c r="E326" s="22"/>
      <c r="F326" s="22"/>
      <c r="G326" s="22"/>
      <c r="I326" s="5"/>
      <c r="J326" s="5"/>
      <c r="K326" s="22"/>
      <c r="L326" s="22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19"/>
      <c r="AH326" s="5"/>
      <c r="AI326" s="5"/>
      <c r="AJ326" s="5"/>
      <c r="AK326" s="5"/>
    </row>
    <row r="327" spans="1:37" x14ac:dyDescent="0.25">
      <c r="A327" s="182"/>
      <c r="B327" s="6"/>
      <c r="C327" s="6"/>
      <c r="D327" s="15"/>
      <c r="E327" s="22"/>
      <c r="F327" s="22"/>
      <c r="G327" s="22"/>
      <c r="I327" s="5"/>
      <c r="J327" s="5"/>
      <c r="K327" s="22"/>
      <c r="L327" s="22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19"/>
      <c r="AH327" s="5"/>
      <c r="AI327" s="5"/>
      <c r="AJ327" s="5"/>
      <c r="AK327" s="5"/>
    </row>
    <row r="328" spans="1:37" x14ac:dyDescent="0.25">
      <c r="A328" s="182"/>
      <c r="B328" s="6"/>
      <c r="C328" s="6"/>
      <c r="D328" s="15"/>
      <c r="E328" s="22"/>
      <c r="F328" s="22"/>
      <c r="G328" s="22"/>
      <c r="I328" s="5"/>
      <c r="J328" s="5"/>
      <c r="K328" s="22"/>
      <c r="L328" s="22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19"/>
      <c r="AH328" s="5"/>
      <c r="AI328" s="5"/>
      <c r="AJ328" s="5"/>
      <c r="AK328" s="5"/>
    </row>
    <row r="329" spans="1:37" x14ac:dyDescent="0.25">
      <c r="A329" s="182"/>
      <c r="B329" s="6"/>
      <c r="C329" s="6"/>
      <c r="D329" s="15"/>
      <c r="E329" s="22"/>
      <c r="F329" s="22"/>
      <c r="G329" s="22"/>
      <c r="I329" s="5"/>
      <c r="J329" s="5"/>
      <c r="K329" s="22"/>
      <c r="L329" s="22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19"/>
      <c r="AH329" s="5"/>
      <c r="AI329" s="5"/>
      <c r="AJ329" s="5"/>
      <c r="AK329" s="5"/>
    </row>
    <row r="330" spans="1:37" x14ac:dyDescent="0.25">
      <c r="A330" s="182"/>
      <c r="B330" s="6"/>
      <c r="C330" s="6"/>
      <c r="D330" s="15"/>
      <c r="E330" s="22"/>
      <c r="F330" s="22"/>
      <c r="G330" s="22"/>
      <c r="I330" s="5"/>
      <c r="J330" s="5"/>
      <c r="K330" s="22"/>
      <c r="L330" s="22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19"/>
      <c r="AH330" s="5"/>
      <c r="AI330" s="5"/>
      <c r="AJ330" s="5"/>
      <c r="AK330" s="5"/>
    </row>
    <row r="331" spans="1:37" x14ac:dyDescent="0.25">
      <c r="A331" s="182"/>
      <c r="B331" s="6"/>
      <c r="C331" s="6"/>
      <c r="D331" s="15"/>
      <c r="E331" s="22"/>
      <c r="F331" s="22"/>
      <c r="G331" s="22"/>
      <c r="I331" s="5"/>
      <c r="J331" s="5"/>
      <c r="K331" s="22"/>
      <c r="L331" s="22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19"/>
      <c r="AH331" s="5"/>
      <c r="AI331" s="5"/>
      <c r="AJ331" s="5"/>
      <c r="AK331" s="5"/>
    </row>
    <row r="332" spans="1:37" x14ac:dyDescent="0.25">
      <c r="A332" s="182"/>
      <c r="B332" s="6"/>
      <c r="C332" s="6"/>
      <c r="D332" s="15"/>
      <c r="E332" s="22"/>
      <c r="F332" s="22"/>
      <c r="G332" s="22"/>
      <c r="I332" s="5"/>
      <c r="J332" s="5"/>
      <c r="K332" s="22"/>
      <c r="L332" s="22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19"/>
      <c r="AH332" s="5"/>
      <c r="AI332" s="5"/>
      <c r="AJ332" s="5"/>
      <c r="AK332" s="5"/>
    </row>
    <row r="333" spans="1:37" x14ac:dyDescent="0.25">
      <c r="A333" s="182"/>
      <c r="B333" s="6"/>
      <c r="C333" s="6"/>
      <c r="D333" s="15"/>
      <c r="E333" s="22"/>
      <c r="F333" s="22"/>
      <c r="G333" s="22"/>
      <c r="I333" s="5"/>
      <c r="J333" s="5"/>
      <c r="K333" s="22"/>
      <c r="L333" s="22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19"/>
      <c r="AH333" s="5"/>
      <c r="AI333" s="5"/>
      <c r="AJ333" s="5"/>
      <c r="AK333" s="5"/>
    </row>
    <row r="334" spans="1:37" x14ac:dyDescent="0.25">
      <c r="A334" s="182"/>
      <c r="B334" s="6"/>
      <c r="C334" s="6"/>
      <c r="D334" s="15"/>
      <c r="E334" s="22"/>
      <c r="F334" s="22"/>
      <c r="G334" s="22"/>
      <c r="I334" s="5"/>
      <c r="J334" s="5"/>
      <c r="K334" s="22"/>
      <c r="L334" s="22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19"/>
      <c r="AH334" s="5"/>
      <c r="AI334" s="5"/>
      <c r="AJ334" s="5"/>
      <c r="AK334" s="5"/>
    </row>
    <row r="335" spans="1:37" x14ac:dyDescent="0.25">
      <c r="A335" s="182"/>
      <c r="B335" s="6"/>
      <c r="C335" s="6"/>
      <c r="D335" s="15"/>
      <c r="E335" s="22"/>
      <c r="F335" s="22"/>
      <c r="G335" s="22"/>
      <c r="I335" s="5"/>
      <c r="J335" s="5"/>
      <c r="K335" s="22"/>
      <c r="L335" s="22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19"/>
      <c r="AH335" s="5"/>
      <c r="AI335" s="5"/>
      <c r="AJ335" s="5"/>
      <c r="AK335" s="5"/>
    </row>
    <row r="336" spans="1:37" x14ac:dyDescent="0.25">
      <c r="A336" s="182"/>
      <c r="B336" s="6"/>
      <c r="C336" s="6"/>
      <c r="D336" s="15"/>
      <c r="E336" s="22"/>
      <c r="F336" s="22"/>
      <c r="G336" s="22"/>
      <c r="I336" s="5"/>
      <c r="J336" s="5"/>
      <c r="K336" s="22"/>
      <c r="L336" s="22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19"/>
      <c r="AH336" s="5"/>
      <c r="AI336" s="5"/>
      <c r="AJ336" s="5"/>
      <c r="AK336" s="5"/>
    </row>
    <row r="337" spans="1:37" x14ac:dyDescent="0.25">
      <c r="A337" s="182"/>
      <c r="B337" s="6"/>
      <c r="C337" s="6"/>
      <c r="D337" s="15"/>
      <c r="E337" s="22"/>
      <c r="F337" s="22"/>
      <c r="G337" s="22"/>
      <c r="I337" s="5"/>
      <c r="J337" s="5"/>
      <c r="K337" s="22"/>
      <c r="L337" s="22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19"/>
      <c r="AH337" s="5"/>
      <c r="AI337" s="5"/>
      <c r="AJ337" s="5"/>
      <c r="AK337" s="5"/>
    </row>
    <row r="338" spans="1:37" x14ac:dyDescent="0.25">
      <c r="A338" s="182"/>
      <c r="B338" s="6"/>
      <c r="C338" s="6"/>
      <c r="D338" s="15"/>
      <c r="E338" s="22"/>
      <c r="F338" s="22"/>
      <c r="G338" s="22"/>
      <c r="I338" s="5"/>
      <c r="J338" s="5"/>
      <c r="K338" s="22"/>
      <c r="L338" s="22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19"/>
      <c r="AH338" s="5"/>
      <c r="AI338" s="5"/>
      <c r="AJ338" s="5"/>
      <c r="AK338" s="5"/>
    </row>
    <row r="339" spans="1:37" x14ac:dyDescent="0.25">
      <c r="A339" s="182"/>
      <c r="B339" s="6"/>
      <c r="C339" s="6"/>
      <c r="D339" s="15"/>
      <c r="E339" s="22"/>
      <c r="F339" s="22"/>
      <c r="G339" s="22"/>
      <c r="I339" s="5"/>
      <c r="J339" s="5"/>
      <c r="K339" s="22"/>
      <c r="L339" s="22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19"/>
      <c r="AH339" s="5"/>
      <c r="AI339" s="5"/>
      <c r="AJ339" s="5"/>
      <c r="AK339" s="5"/>
    </row>
    <row r="340" spans="1:37" x14ac:dyDescent="0.25">
      <c r="A340" s="182"/>
      <c r="B340" s="6"/>
      <c r="C340" s="6"/>
      <c r="D340" s="15"/>
      <c r="E340" s="22"/>
      <c r="F340" s="22"/>
      <c r="G340" s="22"/>
      <c r="I340" s="5"/>
      <c r="J340" s="5"/>
      <c r="K340" s="22"/>
      <c r="L340" s="22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19"/>
      <c r="AH340" s="5"/>
      <c r="AI340" s="5"/>
      <c r="AJ340" s="5"/>
      <c r="AK340" s="5"/>
    </row>
    <row r="341" spans="1:37" x14ac:dyDescent="0.25">
      <c r="A341" s="182"/>
      <c r="B341" s="6"/>
      <c r="C341" s="6"/>
      <c r="D341" s="15"/>
      <c r="E341" s="22"/>
      <c r="F341" s="22"/>
      <c r="G341" s="22"/>
      <c r="I341" s="5"/>
      <c r="J341" s="5"/>
      <c r="K341" s="22"/>
      <c r="L341" s="22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19"/>
      <c r="AH341" s="5"/>
      <c r="AI341" s="5"/>
      <c r="AJ341" s="5"/>
      <c r="AK341" s="5"/>
    </row>
    <row r="342" spans="1:37" x14ac:dyDescent="0.25">
      <c r="A342" s="182"/>
      <c r="B342" s="6"/>
      <c r="C342" s="6"/>
      <c r="D342" s="15"/>
      <c r="E342" s="22"/>
      <c r="F342" s="22"/>
      <c r="G342" s="22"/>
      <c r="I342" s="5"/>
      <c r="J342" s="5"/>
      <c r="K342" s="22"/>
      <c r="L342" s="22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19"/>
      <c r="AH342" s="5"/>
      <c r="AI342" s="5"/>
      <c r="AJ342" s="5"/>
      <c r="AK342" s="5"/>
    </row>
    <row r="343" spans="1:37" x14ac:dyDescent="0.25">
      <c r="A343" s="182"/>
      <c r="B343" s="6"/>
      <c r="C343" s="6"/>
      <c r="D343" s="15"/>
      <c r="E343" s="22"/>
      <c r="F343" s="22"/>
      <c r="G343" s="22"/>
      <c r="I343" s="5"/>
      <c r="J343" s="5"/>
      <c r="K343" s="22"/>
      <c r="L343" s="22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19"/>
      <c r="AH343" s="5"/>
      <c r="AI343" s="5"/>
      <c r="AJ343" s="5"/>
      <c r="AK343" s="5"/>
    </row>
    <row r="344" spans="1:37" x14ac:dyDescent="0.25">
      <c r="A344" s="182"/>
      <c r="B344" s="6"/>
      <c r="C344" s="6"/>
      <c r="D344" s="15"/>
      <c r="E344" s="22"/>
      <c r="F344" s="22"/>
      <c r="G344" s="22"/>
      <c r="I344" s="5"/>
      <c r="J344" s="5"/>
      <c r="K344" s="22"/>
      <c r="L344" s="22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19"/>
      <c r="AH344" s="5"/>
      <c r="AI344" s="5"/>
      <c r="AJ344" s="5"/>
      <c r="AK344" s="5"/>
    </row>
    <row r="345" spans="1:37" x14ac:dyDescent="0.25">
      <c r="A345" s="182"/>
      <c r="B345" s="6"/>
      <c r="C345" s="6"/>
      <c r="D345" s="15"/>
      <c r="E345" s="22"/>
      <c r="F345" s="22"/>
      <c r="G345" s="22"/>
      <c r="I345" s="5"/>
      <c r="J345" s="5"/>
      <c r="K345" s="22"/>
      <c r="L345" s="22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19"/>
      <c r="AH345" s="5"/>
      <c r="AI345" s="5"/>
      <c r="AJ345" s="5"/>
      <c r="AK345" s="5"/>
    </row>
    <row r="346" spans="1:37" x14ac:dyDescent="0.25">
      <c r="A346" s="182"/>
      <c r="B346" s="6"/>
      <c r="C346" s="6"/>
      <c r="D346" s="15"/>
      <c r="E346" s="22"/>
      <c r="F346" s="22"/>
      <c r="G346" s="22"/>
      <c r="I346" s="5"/>
      <c r="J346" s="5"/>
      <c r="K346" s="22"/>
      <c r="L346" s="22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19"/>
      <c r="AH346" s="5"/>
      <c r="AI346" s="5"/>
      <c r="AJ346" s="5"/>
      <c r="AK346" s="5"/>
    </row>
    <row r="347" spans="1:37" x14ac:dyDescent="0.25">
      <c r="A347" s="182"/>
      <c r="B347" s="6"/>
      <c r="C347" s="6"/>
      <c r="D347" s="15"/>
      <c r="E347" s="22"/>
      <c r="F347" s="22"/>
      <c r="G347" s="22"/>
      <c r="I347" s="5"/>
      <c r="J347" s="5"/>
      <c r="K347" s="22"/>
      <c r="L347" s="22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19"/>
      <c r="AH347" s="5"/>
      <c r="AI347" s="5"/>
      <c r="AJ347" s="5"/>
      <c r="AK347" s="5"/>
    </row>
    <row r="348" spans="1:37" x14ac:dyDescent="0.25">
      <c r="A348" s="182"/>
      <c r="B348" s="6"/>
      <c r="C348" s="6"/>
      <c r="D348" s="15"/>
      <c r="E348" s="22"/>
      <c r="F348" s="22"/>
      <c r="G348" s="22"/>
      <c r="I348" s="5"/>
      <c r="J348" s="5"/>
      <c r="K348" s="22"/>
      <c r="L348" s="22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19"/>
      <c r="AH348" s="5"/>
      <c r="AI348" s="5"/>
      <c r="AJ348" s="5"/>
      <c r="AK348" s="5"/>
    </row>
    <row r="349" spans="1:37" x14ac:dyDescent="0.25">
      <c r="A349" s="182"/>
      <c r="B349" s="6"/>
      <c r="C349" s="6"/>
      <c r="D349" s="15"/>
      <c r="E349" s="22"/>
      <c r="F349" s="22"/>
      <c r="G349" s="22"/>
      <c r="I349" s="5"/>
      <c r="J349" s="5"/>
      <c r="K349" s="22"/>
      <c r="L349" s="22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19"/>
      <c r="AH349" s="5"/>
      <c r="AI349" s="5"/>
      <c r="AJ349" s="5"/>
      <c r="AK349" s="5"/>
    </row>
    <row r="350" spans="1:37" x14ac:dyDescent="0.25">
      <c r="A350" s="182"/>
      <c r="B350" s="6"/>
      <c r="C350" s="6"/>
      <c r="D350" s="15"/>
      <c r="E350" s="22"/>
      <c r="F350" s="22"/>
      <c r="G350" s="22"/>
      <c r="I350" s="5"/>
      <c r="J350" s="5"/>
      <c r="K350" s="22"/>
      <c r="L350" s="22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19"/>
      <c r="AH350" s="5"/>
      <c r="AI350" s="5"/>
      <c r="AJ350" s="5"/>
      <c r="AK350" s="5"/>
    </row>
    <row r="351" spans="1:37" x14ac:dyDescent="0.25">
      <c r="A351" s="182"/>
      <c r="B351" s="6"/>
      <c r="C351" s="6"/>
      <c r="D351" s="15"/>
      <c r="E351" s="22"/>
      <c r="F351" s="22"/>
      <c r="G351" s="22"/>
      <c r="I351" s="5"/>
      <c r="J351" s="5"/>
      <c r="K351" s="22"/>
      <c r="L351" s="22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19"/>
      <c r="AH351" s="5"/>
      <c r="AI351" s="5"/>
      <c r="AJ351" s="5"/>
      <c r="AK351" s="5"/>
    </row>
    <row r="352" spans="1:37" x14ac:dyDescent="0.25">
      <c r="A352" s="182"/>
      <c r="B352" s="6"/>
      <c r="C352" s="6"/>
      <c r="D352" s="15"/>
      <c r="E352" s="22"/>
      <c r="F352" s="22"/>
      <c r="G352" s="22"/>
      <c r="I352" s="5"/>
      <c r="J352" s="5"/>
      <c r="K352" s="22"/>
      <c r="L352" s="22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19"/>
      <c r="AH352" s="5"/>
      <c r="AI352" s="5"/>
      <c r="AJ352" s="5"/>
      <c r="AK352" s="5"/>
    </row>
    <row r="353" spans="1:37" x14ac:dyDescent="0.25">
      <c r="A353" s="182"/>
      <c r="B353" s="6"/>
      <c r="C353" s="6"/>
      <c r="D353" s="15"/>
      <c r="E353" s="22"/>
      <c r="F353" s="22"/>
      <c r="G353" s="22"/>
      <c r="I353" s="5"/>
      <c r="J353" s="5"/>
      <c r="K353" s="22"/>
      <c r="L353" s="22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19"/>
      <c r="AH353" s="5"/>
      <c r="AI353" s="5"/>
      <c r="AJ353" s="5"/>
      <c r="AK353" s="5"/>
    </row>
    <row r="354" spans="1:37" x14ac:dyDescent="0.25">
      <c r="A354" s="182"/>
      <c r="B354" s="6"/>
      <c r="C354" s="6"/>
      <c r="D354" s="15"/>
      <c r="E354" s="22"/>
      <c r="F354" s="22"/>
      <c r="G354" s="22"/>
      <c r="I354" s="5"/>
      <c r="J354" s="5"/>
      <c r="K354" s="22"/>
      <c r="L354" s="22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19"/>
      <c r="AH354" s="5"/>
      <c r="AI354" s="5"/>
      <c r="AJ354" s="5"/>
      <c r="AK354" s="5"/>
    </row>
    <row r="355" spans="1:37" x14ac:dyDescent="0.25">
      <c r="A355" s="182"/>
      <c r="B355" s="6"/>
      <c r="C355" s="6"/>
      <c r="D355" s="15"/>
      <c r="E355" s="22"/>
      <c r="F355" s="22"/>
      <c r="G355" s="22"/>
      <c r="I355" s="5"/>
      <c r="J355" s="5"/>
      <c r="K355" s="22"/>
      <c r="L355" s="22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19"/>
      <c r="AH355" s="5"/>
      <c r="AI355" s="5"/>
      <c r="AJ355" s="5"/>
      <c r="AK355" s="5"/>
    </row>
    <row r="356" spans="1:37" x14ac:dyDescent="0.25">
      <c r="A356" s="182"/>
      <c r="B356" s="6"/>
      <c r="C356" s="6"/>
      <c r="D356" s="15"/>
      <c r="E356" s="22"/>
      <c r="F356" s="22"/>
      <c r="G356" s="22"/>
      <c r="I356" s="5"/>
      <c r="J356" s="5"/>
      <c r="K356" s="22"/>
      <c r="L356" s="22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19"/>
      <c r="AH356" s="5"/>
      <c r="AI356" s="5"/>
      <c r="AJ356" s="5"/>
      <c r="AK356" s="5"/>
    </row>
    <row r="357" spans="1:37" x14ac:dyDescent="0.25">
      <c r="A357" s="182"/>
      <c r="B357" s="6"/>
      <c r="C357" s="6"/>
      <c r="D357" s="15"/>
      <c r="E357" s="22"/>
      <c r="F357" s="22"/>
      <c r="G357" s="22"/>
      <c r="I357" s="5"/>
      <c r="J357" s="5"/>
      <c r="K357" s="22"/>
      <c r="L357" s="22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19"/>
      <c r="AH357" s="5"/>
      <c r="AI357" s="5"/>
      <c r="AJ357" s="5"/>
      <c r="AK357" s="5"/>
    </row>
    <row r="358" spans="1:37" x14ac:dyDescent="0.25">
      <c r="A358" s="182"/>
      <c r="B358" s="6"/>
      <c r="C358" s="6"/>
      <c r="D358" s="15"/>
      <c r="E358" s="22"/>
      <c r="F358" s="22"/>
      <c r="G358" s="22"/>
      <c r="I358" s="5"/>
      <c r="J358" s="5"/>
      <c r="K358" s="22"/>
      <c r="L358" s="22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19"/>
      <c r="AH358" s="5"/>
      <c r="AI358" s="5"/>
      <c r="AJ358" s="5"/>
      <c r="AK358" s="5"/>
    </row>
    <row r="359" spans="1:37" x14ac:dyDescent="0.25">
      <c r="A359" s="182"/>
      <c r="B359" s="6"/>
      <c r="C359" s="6"/>
      <c r="D359" s="15"/>
      <c r="E359" s="22"/>
      <c r="F359" s="22"/>
      <c r="G359" s="22"/>
      <c r="I359" s="5"/>
      <c r="J359" s="5"/>
      <c r="K359" s="22"/>
      <c r="L359" s="22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19"/>
      <c r="AH359" s="5"/>
      <c r="AI359" s="5"/>
      <c r="AJ359" s="5"/>
      <c r="AK359" s="5"/>
    </row>
    <row r="360" spans="1:37" x14ac:dyDescent="0.25">
      <c r="A360" s="182"/>
      <c r="B360" s="6"/>
      <c r="C360" s="6"/>
      <c r="D360" s="15"/>
      <c r="E360" s="22"/>
      <c r="F360" s="22"/>
      <c r="G360" s="22"/>
      <c r="I360" s="5"/>
      <c r="J360" s="5"/>
      <c r="K360" s="22"/>
      <c r="L360" s="22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19"/>
      <c r="AH360" s="5"/>
      <c r="AI360" s="5"/>
      <c r="AJ360" s="5"/>
      <c r="AK360" s="5"/>
    </row>
    <row r="361" spans="1:37" x14ac:dyDescent="0.25">
      <c r="A361" s="182"/>
      <c r="B361" s="6"/>
      <c r="C361" s="6"/>
      <c r="D361" s="15"/>
      <c r="E361" s="22"/>
      <c r="F361" s="22"/>
      <c r="G361" s="22"/>
      <c r="I361" s="5"/>
      <c r="J361" s="5"/>
      <c r="K361" s="22"/>
      <c r="L361" s="22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19"/>
      <c r="AH361" s="5"/>
      <c r="AI361" s="5"/>
      <c r="AJ361" s="5"/>
      <c r="AK361" s="5"/>
    </row>
    <row r="362" spans="1:37" x14ac:dyDescent="0.25">
      <c r="A362" s="182"/>
      <c r="B362" s="6"/>
      <c r="C362" s="6"/>
      <c r="D362" s="15"/>
      <c r="E362" s="22"/>
      <c r="F362" s="22"/>
      <c r="G362" s="22"/>
      <c r="I362" s="5"/>
      <c r="J362" s="5"/>
      <c r="K362" s="22"/>
      <c r="L362" s="22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19"/>
      <c r="AH362" s="5"/>
      <c r="AI362" s="5"/>
      <c r="AJ362" s="5"/>
      <c r="AK362" s="5"/>
    </row>
    <row r="363" spans="1:37" x14ac:dyDescent="0.25">
      <c r="A363" s="182"/>
      <c r="B363" s="6"/>
      <c r="C363" s="6"/>
      <c r="D363" s="15"/>
      <c r="E363" s="22"/>
      <c r="F363" s="22"/>
      <c r="G363" s="22"/>
      <c r="I363" s="5"/>
      <c r="J363" s="5"/>
      <c r="K363" s="22"/>
      <c r="L363" s="22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19"/>
      <c r="AH363" s="5"/>
      <c r="AI363" s="5"/>
      <c r="AJ363" s="5"/>
      <c r="AK363" s="5"/>
    </row>
    <row r="364" spans="1:37" x14ac:dyDescent="0.25">
      <c r="A364" s="182"/>
      <c r="B364" s="6"/>
      <c r="C364" s="6"/>
      <c r="D364" s="15"/>
      <c r="E364" s="22"/>
      <c r="F364" s="22"/>
      <c r="G364" s="22"/>
      <c r="I364" s="5"/>
      <c r="J364" s="5"/>
      <c r="K364" s="22"/>
      <c r="L364" s="22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19"/>
      <c r="AH364" s="5"/>
      <c r="AI364" s="5"/>
      <c r="AJ364" s="5"/>
      <c r="AK364" s="5"/>
    </row>
    <row r="365" spans="1:37" x14ac:dyDescent="0.25">
      <c r="A365" s="182"/>
      <c r="B365" s="6"/>
      <c r="C365" s="6"/>
      <c r="D365" s="15"/>
      <c r="E365" s="22"/>
      <c r="F365" s="22"/>
      <c r="G365" s="22"/>
      <c r="I365" s="5"/>
      <c r="J365" s="5"/>
      <c r="K365" s="22"/>
      <c r="L365" s="22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19"/>
      <c r="AH365" s="5"/>
      <c r="AI365" s="5"/>
      <c r="AJ365" s="5"/>
      <c r="AK365" s="5"/>
    </row>
    <row r="366" spans="1:37" x14ac:dyDescent="0.25">
      <c r="A366" s="182"/>
      <c r="B366" s="6"/>
      <c r="C366" s="6"/>
      <c r="D366" s="15"/>
      <c r="E366" s="22"/>
      <c r="F366" s="22"/>
      <c r="G366" s="22"/>
      <c r="I366" s="5"/>
      <c r="J366" s="5"/>
      <c r="K366" s="22"/>
      <c r="L366" s="22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19"/>
      <c r="AH366" s="5"/>
      <c r="AI366" s="5"/>
      <c r="AJ366" s="5"/>
      <c r="AK366" s="5"/>
    </row>
    <row r="367" spans="1:37" x14ac:dyDescent="0.25">
      <c r="A367" s="182"/>
      <c r="B367" s="6"/>
      <c r="C367" s="6"/>
      <c r="D367" s="15"/>
      <c r="E367" s="22"/>
      <c r="F367" s="22"/>
      <c r="G367" s="22"/>
      <c r="I367" s="5"/>
      <c r="J367" s="5"/>
      <c r="K367" s="22"/>
      <c r="L367" s="22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19"/>
      <c r="AH367" s="5"/>
      <c r="AI367" s="5"/>
      <c r="AJ367" s="5"/>
      <c r="AK367" s="5"/>
    </row>
    <row r="368" spans="1:37" x14ac:dyDescent="0.25">
      <c r="A368" s="182"/>
      <c r="B368" s="6"/>
      <c r="C368" s="6"/>
      <c r="D368" s="15"/>
      <c r="E368" s="22"/>
      <c r="F368" s="22"/>
      <c r="G368" s="22"/>
      <c r="I368" s="5"/>
      <c r="J368" s="5"/>
      <c r="K368" s="22"/>
      <c r="L368" s="22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19"/>
      <c r="AH368" s="5"/>
      <c r="AI368" s="5"/>
      <c r="AJ368" s="5"/>
      <c r="AK368" s="5"/>
    </row>
    <row r="369" spans="1:37" x14ac:dyDescent="0.25">
      <c r="A369" s="182"/>
      <c r="B369" s="6"/>
      <c r="C369" s="6"/>
      <c r="D369" s="15"/>
      <c r="E369" s="22"/>
      <c r="F369" s="22"/>
      <c r="G369" s="22"/>
      <c r="I369" s="5"/>
      <c r="J369" s="5"/>
      <c r="K369" s="22"/>
      <c r="L369" s="22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19"/>
      <c r="AH369" s="5"/>
      <c r="AI369" s="5"/>
      <c r="AJ369" s="5"/>
      <c r="AK369" s="5"/>
    </row>
    <row r="370" spans="1:37" x14ac:dyDescent="0.25">
      <c r="A370" s="182"/>
      <c r="B370" s="6"/>
      <c r="C370" s="6"/>
      <c r="D370" s="15"/>
      <c r="E370" s="22"/>
      <c r="F370" s="22"/>
      <c r="G370" s="22"/>
      <c r="I370" s="5"/>
      <c r="J370" s="5"/>
      <c r="K370" s="22"/>
      <c r="L370" s="22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19"/>
      <c r="AH370" s="5"/>
      <c r="AI370" s="5"/>
      <c r="AJ370" s="5"/>
      <c r="AK370" s="5"/>
    </row>
    <row r="371" spans="1:37" x14ac:dyDescent="0.25">
      <c r="A371" s="182"/>
      <c r="B371" s="6"/>
      <c r="C371" s="6"/>
      <c r="D371" s="15"/>
      <c r="E371" s="22"/>
      <c r="F371" s="22"/>
      <c r="G371" s="22"/>
      <c r="I371" s="5"/>
      <c r="J371" s="5"/>
      <c r="K371" s="22"/>
      <c r="L371" s="22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19"/>
      <c r="AH371" s="5"/>
      <c r="AI371" s="5"/>
      <c r="AJ371" s="5"/>
      <c r="AK371" s="5"/>
    </row>
    <row r="372" spans="1:37" x14ac:dyDescent="0.25">
      <c r="A372" s="182"/>
      <c r="B372" s="6"/>
      <c r="C372" s="6"/>
      <c r="D372" s="15"/>
      <c r="E372" s="22"/>
      <c r="F372" s="22"/>
      <c r="G372" s="22"/>
      <c r="I372" s="5"/>
      <c r="J372" s="5"/>
      <c r="K372" s="22"/>
      <c r="L372" s="22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19"/>
      <c r="AH372" s="5"/>
      <c r="AI372" s="5"/>
      <c r="AJ372" s="5"/>
      <c r="AK372" s="5"/>
    </row>
    <row r="373" spans="1:37" x14ac:dyDescent="0.25">
      <c r="A373" s="182"/>
      <c r="B373" s="6"/>
      <c r="C373" s="6"/>
      <c r="D373" s="15"/>
      <c r="E373" s="22"/>
      <c r="F373" s="22"/>
      <c r="G373" s="22"/>
      <c r="I373" s="5"/>
      <c r="J373" s="5"/>
      <c r="K373" s="22"/>
      <c r="L373" s="22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19"/>
      <c r="AH373" s="5"/>
      <c r="AI373" s="5"/>
      <c r="AJ373" s="5"/>
      <c r="AK373" s="5"/>
    </row>
    <row r="374" spans="1:37" x14ac:dyDescent="0.25">
      <c r="A374" s="182"/>
      <c r="B374" s="6"/>
      <c r="C374" s="6"/>
      <c r="D374" s="15"/>
      <c r="E374" s="22"/>
      <c r="F374" s="22"/>
      <c r="G374" s="22"/>
      <c r="I374" s="5"/>
      <c r="J374" s="5"/>
      <c r="K374" s="22"/>
      <c r="L374" s="22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19"/>
      <c r="AH374" s="5"/>
      <c r="AI374" s="5"/>
      <c r="AJ374" s="5"/>
      <c r="AK374" s="5"/>
    </row>
    <row r="375" spans="1:37" x14ac:dyDescent="0.25">
      <c r="A375" s="182"/>
      <c r="B375" s="6"/>
      <c r="C375" s="6"/>
      <c r="D375" s="15"/>
      <c r="E375" s="22"/>
      <c r="F375" s="22"/>
      <c r="G375" s="22"/>
      <c r="I375" s="5"/>
      <c r="J375" s="5"/>
      <c r="K375" s="22"/>
      <c r="L375" s="22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19"/>
      <c r="AH375" s="5"/>
      <c r="AI375" s="5"/>
      <c r="AJ375" s="5"/>
      <c r="AK375" s="5"/>
    </row>
    <row r="376" spans="1:37" x14ac:dyDescent="0.25">
      <c r="A376" s="182"/>
      <c r="B376" s="6"/>
      <c r="C376" s="6"/>
      <c r="D376" s="15"/>
      <c r="E376" s="22"/>
      <c r="F376" s="22"/>
      <c r="G376" s="22"/>
      <c r="I376" s="5"/>
      <c r="J376" s="5"/>
      <c r="K376" s="22"/>
      <c r="L376" s="22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19"/>
      <c r="AH376" s="5"/>
      <c r="AI376" s="5"/>
      <c r="AJ376" s="5"/>
      <c r="AK376" s="5"/>
    </row>
    <row r="377" spans="1:37" x14ac:dyDescent="0.25">
      <c r="A377" s="182"/>
      <c r="B377" s="6"/>
      <c r="C377" s="6"/>
      <c r="D377" s="15"/>
      <c r="E377" s="22"/>
      <c r="F377" s="22"/>
      <c r="G377" s="22"/>
      <c r="I377" s="5"/>
      <c r="J377" s="5"/>
      <c r="K377" s="22"/>
      <c r="L377" s="22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19"/>
      <c r="AH377" s="5"/>
      <c r="AI377" s="5"/>
      <c r="AJ377" s="5"/>
      <c r="AK377" s="5"/>
    </row>
    <row r="378" spans="1:37" x14ac:dyDescent="0.25">
      <c r="A378" s="182"/>
      <c r="B378" s="6"/>
      <c r="C378" s="6"/>
      <c r="D378" s="15"/>
      <c r="E378" s="22"/>
      <c r="F378" s="22"/>
      <c r="G378" s="22"/>
      <c r="I378" s="5"/>
      <c r="J378" s="5"/>
      <c r="K378" s="22"/>
      <c r="L378" s="22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19"/>
      <c r="AH378" s="5"/>
      <c r="AI378" s="5"/>
      <c r="AJ378" s="5"/>
      <c r="AK378" s="5"/>
    </row>
    <row r="379" spans="1:37" x14ac:dyDescent="0.25">
      <c r="A379" s="182"/>
      <c r="B379" s="6"/>
      <c r="C379" s="6"/>
      <c r="D379" s="15"/>
      <c r="E379" s="22"/>
      <c r="F379" s="22"/>
      <c r="G379" s="22"/>
      <c r="I379" s="5"/>
      <c r="J379" s="5"/>
      <c r="K379" s="22"/>
      <c r="L379" s="22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19"/>
      <c r="AH379" s="5"/>
      <c r="AI379" s="5"/>
      <c r="AJ379" s="5"/>
      <c r="AK379" s="5"/>
    </row>
    <row r="380" spans="1:37" x14ac:dyDescent="0.25">
      <c r="A380" s="182"/>
      <c r="B380" s="6"/>
      <c r="C380" s="6"/>
      <c r="D380" s="15"/>
      <c r="E380" s="22"/>
      <c r="F380" s="22"/>
      <c r="G380" s="22"/>
      <c r="I380" s="5"/>
      <c r="J380" s="5"/>
      <c r="K380" s="22"/>
      <c r="L380" s="22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19"/>
      <c r="AH380" s="5"/>
      <c r="AI380" s="5"/>
      <c r="AJ380" s="5"/>
      <c r="AK380" s="5"/>
    </row>
    <row r="381" spans="1:37" x14ac:dyDescent="0.25">
      <c r="A381" s="182"/>
      <c r="B381" s="6"/>
      <c r="C381" s="6"/>
      <c r="D381" s="15"/>
      <c r="E381" s="22"/>
      <c r="F381" s="22"/>
      <c r="G381" s="22"/>
      <c r="I381" s="5"/>
      <c r="J381" s="5"/>
      <c r="K381" s="22"/>
      <c r="L381" s="22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19"/>
      <c r="AH381" s="5"/>
      <c r="AI381" s="5"/>
      <c r="AJ381" s="5"/>
      <c r="AK381" s="5"/>
    </row>
    <row r="382" spans="1:37" x14ac:dyDescent="0.25">
      <c r="A382" s="182"/>
      <c r="B382" s="6"/>
      <c r="C382" s="6"/>
      <c r="D382" s="15"/>
      <c r="E382" s="22"/>
      <c r="F382" s="22"/>
      <c r="G382" s="22"/>
      <c r="I382" s="5"/>
      <c r="J382" s="5"/>
      <c r="K382" s="22"/>
      <c r="L382" s="22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19"/>
      <c r="AH382" s="5"/>
      <c r="AI382" s="5"/>
      <c r="AJ382" s="5"/>
      <c r="AK382" s="5"/>
    </row>
    <row r="383" spans="1:37" x14ac:dyDescent="0.25">
      <c r="A383" s="182"/>
      <c r="B383" s="6"/>
      <c r="C383" s="6"/>
      <c r="D383" s="15"/>
      <c r="E383" s="22"/>
      <c r="F383" s="22"/>
      <c r="G383" s="22"/>
      <c r="I383" s="5"/>
      <c r="J383" s="5"/>
      <c r="K383" s="22"/>
      <c r="L383" s="22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19"/>
      <c r="AH383" s="5"/>
      <c r="AI383" s="5"/>
      <c r="AJ383" s="5"/>
      <c r="AK383" s="5"/>
    </row>
    <row r="384" spans="1:37" x14ac:dyDescent="0.25">
      <c r="A384" s="182"/>
      <c r="B384" s="6"/>
      <c r="C384" s="6"/>
      <c r="D384" s="15"/>
      <c r="E384" s="22"/>
      <c r="F384" s="22"/>
      <c r="G384" s="22"/>
      <c r="I384" s="5"/>
      <c r="J384" s="5"/>
      <c r="K384" s="22"/>
      <c r="L384" s="22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19"/>
      <c r="AH384" s="5"/>
      <c r="AI384" s="5"/>
      <c r="AJ384" s="5"/>
      <c r="AK384" s="5"/>
    </row>
    <row r="385" spans="1:37" x14ac:dyDescent="0.25">
      <c r="A385" s="182"/>
      <c r="B385" s="6"/>
      <c r="C385" s="6"/>
      <c r="D385" s="15"/>
      <c r="E385" s="22"/>
      <c r="F385" s="22"/>
      <c r="G385" s="22"/>
      <c r="I385" s="5"/>
      <c r="J385" s="5"/>
      <c r="K385" s="22"/>
      <c r="L385" s="22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19"/>
      <c r="AH385" s="5"/>
      <c r="AI385" s="5"/>
      <c r="AJ385" s="5"/>
      <c r="AK385" s="5"/>
    </row>
    <row r="386" spans="1:37" x14ac:dyDescent="0.25">
      <c r="A386" s="182"/>
      <c r="B386" s="6"/>
      <c r="C386" s="6"/>
      <c r="D386" s="15"/>
      <c r="E386" s="22"/>
      <c r="F386" s="22"/>
      <c r="G386" s="22"/>
      <c r="I386" s="5"/>
      <c r="J386" s="5"/>
      <c r="K386" s="22"/>
      <c r="L386" s="22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19"/>
      <c r="AH386" s="5"/>
      <c r="AI386" s="5"/>
      <c r="AJ386" s="5"/>
      <c r="AK386" s="5"/>
    </row>
    <row r="387" spans="1:37" x14ac:dyDescent="0.25">
      <c r="A387" s="182"/>
      <c r="B387" s="6"/>
      <c r="C387" s="6"/>
      <c r="D387" s="15"/>
      <c r="E387" s="22"/>
      <c r="F387" s="22"/>
      <c r="G387" s="22"/>
      <c r="I387" s="5"/>
      <c r="J387" s="5"/>
      <c r="K387" s="22"/>
      <c r="L387" s="22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19"/>
      <c r="AH387" s="5"/>
      <c r="AI387" s="5"/>
      <c r="AJ387" s="5"/>
      <c r="AK387" s="5"/>
    </row>
    <row r="388" spans="1:37" x14ac:dyDescent="0.25">
      <c r="A388" s="182"/>
      <c r="B388" s="6"/>
      <c r="C388" s="6"/>
      <c r="D388" s="15"/>
      <c r="E388" s="22"/>
      <c r="F388" s="22"/>
      <c r="G388" s="22"/>
      <c r="I388" s="5"/>
      <c r="J388" s="5"/>
      <c r="K388" s="22"/>
      <c r="L388" s="22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19"/>
      <c r="AH388" s="5"/>
      <c r="AI388" s="5"/>
      <c r="AJ388" s="5"/>
      <c r="AK388" s="5"/>
    </row>
    <row r="389" spans="1:37" x14ac:dyDescent="0.25">
      <c r="A389" s="182"/>
      <c r="B389" s="6"/>
      <c r="C389" s="6"/>
      <c r="D389" s="15"/>
      <c r="E389" s="22"/>
      <c r="F389" s="22"/>
      <c r="G389" s="22"/>
      <c r="I389" s="5"/>
      <c r="J389" s="5"/>
      <c r="K389" s="22"/>
      <c r="L389" s="22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19"/>
      <c r="AH389" s="5"/>
      <c r="AI389" s="5"/>
      <c r="AJ389" s="5"/>
      <c r="AK389" s="5"/>
    </row>
    <row r="390" spans="1:37" x14ac:dyDescent="0.25">
      <c r="A390" s="182"/>
      <c r="B390" s="6"/>
      <c r="C390" s="6"/>
      <c r="D390" s="15"/>
      <c r="E390" s="22"/>
      <c r="F390" s="22"/>
      <c r="G390" s="22"/>
      <c r="I390" s="5"/>
      <c r="J390" s="5"/>
      <c r="K390" s="22"/>
      <c r="L390" s="22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19"/>
      <c r="AH390" s="5"/>
      <c r="AI390" s="5"/>
      <c r="AJ390" s="5"/>
      <c r="AK390" s="5"/>
    </row>
    <row r="391" spans="1:37" x14ac:dyDescent="0.25">
      <c r="A391" s="182"/>
      <c r="B391" s="6"/>
      <c r="C391" s="6"/>
      <c r="D391" s="15"/>
      <c r="E391" s="22"/>
      <c r="F391" s="22"/>
      <c r="G391" s="22"/>
      <c r="I391" s="5"/>
      <c r="J391" s="5"/>
      <c r="K391" s="22"/>
      <c r="L391" s="22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19"/>
      <c r="AH391" s="5"/>
      <c r="AI391" s="5"/>
      <c r="AJ391" s="5"/>
      <c r="AK391" s="5"/>
    </row>
    <row r="392" spans="1:37" x14ac:dyDescent="0.25">
      <c r="A392" s="182"/>
      <c r="B392" s="6"/>
      <c r="C392" s="6"/>
      <c r="D392" s="15"/>
      <c r="E392" s="22"/>
      <c r="F392" s="22"/>
      <c r="G392" s="22"/>
      <c r="I392" s="5"/>
      <c r="J392" s="5"/>
      <c r="K392" s="22"/>
      <c r="L392" s="22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19"/>
      <c r="AH392" s="5"/>
      <c r="AI392" s="5"/>
      <c r="AJ392" s="5"/>
      <c r="AK392" s="5"/>
    </row>
    <row r="393" spans="1:37" x14ac:dyDescent="0.25">
      <c r="A393" s="182"/>
      <c r="B393" s="6"/>
      <c r="C393" s="6"/>
      <c r="D393" s="15"/>
      <c r="E393" s="22"/>
      <c r="F393" s="22"/>
      <c r="G393" s="22"/>
      <c r="I393" s="5"/>
      <c r="J393" s="5"/>
      <c r="K393" s="22"/>
      <c r="L393" s="22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19"/>
      <c r="AH393" s="5"/>
      <c r="AI393" s="5"/>
      <c r="AJ393" s="5"/>
      <c r="AK393" s="5"/>
    </row>
    <row r="394" spans="1:37" x14ac:dyDescent="0.25">
      <c r="A394" s="182"/>
      <c r="B394" s="6"/>
      <c r="C394" s="6"/>
      <c r="D394" s="15"/>
      <c r="E394" s="22"/>
      <c r="F394" s="22"/>
      <c r="G394" s="22"/>
      <c r="I394" s="5"/>
      <c r="J394" s="5"/>
      <c r="K394" s="22"/>
      <c r="L394" s="22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19"/>
      <c r="AH394" s="5"/>
      <c r="AI394" s="5"/>
      <c r="AJ394" s="5"/>
      <c r="AK394" s="5"/>
    </row>
    <row r="395" spans="1:37" x14ac:dyDescent="0.25">
      <c r="A395" s="182"/>
      <c r="B395" s="6"/>
      <c r="C395" s="6"/>
      <c r="D395" s="15"/>
      <c r="E395" s="22"/>
      <c r="F395" s="22"/>
      <c r="G395" s="22"/>
      <c r="I395" s="5"/>
      <c r="J395" s="5"/>
      <c r="K395" s="22"/>
      <c r="L395" s="22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19"/>
      <c r="AH395" s="5"/>
      <c r="AI395" s="5"/>
      <c r="AJ395" s="5"/>
      <c r="AK395" s="5"/>
    </row>
    <row r="396" spans="1:37" x14ac:dyDescent="0.25">
      <c r="A396" s="182"/>
      <c r="B396" s="6"/>
      <c r="C396" s="6"/>
      <c r="D396" s="15"/>
      <c r="E396" s="22"/>
      <c r="F396" s="22"/>
      <c r="G396" s="22"/>
      <c r="I396" s="5"/>
      <c r="J396" s="5"/>
      <c r="K396" s="22"/>
      <c r="L396" s="22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19"/>
      <c r="AH396" s="5"/>
      <c r="AI396" s="5"/>
      <c r="AJ396" s="5"/>
      <c r="AK396" s="5"/>
    </row>
    <row r="397" spans="1:37" x14ac:dyDescent="0.25">
      <c r="A397" s="182"/>
      <c r="B397" s="6"/>
      <c r="C397" s="6"/>
      <c r="D397" s="15"/>
      <c r="E397" s="22"/>
      <c r="F397" s="22"/>
      <c r="G397" s="22"/>
      <c r="I397" s="5"/>
      <c r="J397" s="5"/>
      <c r="K397" s="22"/>
      <c r="L397" s="22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19"/>
      <c r="AH397" s="5"/>
      <c r="AI397" s="5"/>
      <c r="AJ397" s="5"/>
      <c r="AK397" s="5"/>
    </row>
    <row r="398" spans="1:37" x14ac:dyDescent="0.25">
      <c r="A398" s="182"/>
      <c r="B398" s="6"/>
      <c r="C398" s="6"/>
      <c r="D398" s="15"/>
      <c r="E398" s="22"/>
      <c r="F398" s="22"/>
      <c r="G398" s="22"/>
      <c r="I398" s="5"/>
      <c r="J398" s="5"/>
      <c r="K398" s="22"/>
      <c r="L398" s="22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19"/>
      <c r="AH398" s="5"/>
      <c r="AI398" s="5"/>
      <c r="AJ398" s="5"/>
      <c r="AK398" s="5"/>
    </row>
    <row r="399" spans="1:37" x14ac:dyDescent="0.25">
      <c r="A399" s="182"/>
      <c r="B399" s="6"/>
      <c r="C399" s="6"/>
      <c r="D399" s="15"/>
      <c r="E399" s="22"/>
      <c r="F399" s="22"/>
      <c r="G399" s="22"/>
      <c r="I399" s="5"/>
      <c r="J399" s="5"/>
      <c r="K399" s="22"/>
      <c r="L399" s="22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19"/>
      <c r="AH399" s="5"/>
      <c r="AI399" s="5"/>
      <c r="AJ399" s="5"/>
      <c r="AK399" s="5"/>
    </row>
    <row r="400" spans="1:37" x14ac:dyDescent="0.25">
      <c r="A400" s="182"/>
      <c r="B400" s="6"/>
      <c r="C400" s="6"/>
      <c r="D400" s="15"/>
      <c r="E400" s="22"/>
      <c r="F400" s="22"/>
      <c r="G400" s="22"/>
      <c r="I400" s="5"/>
      <c r="J400" s="5"/>
      <c r="K400" s="22"/>
      <c r="L400" s="22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19"/>
      <c r="AH400" s="5"/>
      <c r="AI400" s="5"/>
      <c r="AJ400" s="5"/>
      <c r="AK400" s="5"/>
    </row>
    <row r="401" spans="1:37" x14ac:dyDescent="0.25">
      <c r="A401" s="182"/>
      <c r="B401" s="6"/>
      <c r="C401" s="6"/>
      <c r="D401" s="15"/>
      <c r="E401" s="22"/>
      <c r="F401" s="22"/>
      <c r="G401" s="22"/>
      <c r="I401" s="5"/>
      <c r="J401" s="5"/>
      <c r="K401" s="22"/>
      <c r="L401" s="22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19"/>
      <c r="AH401" s="5"/>
      <c r="AI401" s="5"/>
      <c r="AJ401" s="5"/>
      <c r="AK401" s="5"/>
    </row>
    <row r="402" spans="1:37" x14ac:dyDescent="0.25">
      <c r="A402" s="182"/>
      <c r="B402" s="6"/>
      <c r="C402" s="6"/>
      <c r="D402" s="15"/>
      <c r="E402" s="22"/>
      <c r="F402" s="22"/>
      <c r="G402" s="22"/>
      <c r="I402" s="5"/>
      <c r="J402" s="5"/>
      <c r="K402" s="22"/>
      <c r="L402" s="22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19"/>
      <c r="AH402" s="5"/>
      <c r="AI402" s="5"/>
      <c r="AJ402" s="5"/>
      <c r="AK402" s="5"/>
    </row>
    <row r="403" spans="1:37" x14ac:dyDescent="0.25">
      <c r="A403" s="182"/>
      <c r="B403" s="6"/>
      <c r="C403" s="6"/>
      <c r="D403" s="15"/>
      <c r="E403" s="22"/>
      <c r="F403" s="22"/>
      <c r="G403" s="22"/>
      <c r="I403" s="5"/>
      <c r="J403" s="5"/>
      <c r="K403" s="22"/>
      <c r="L403" s="22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19"/>
      <c r="AH403" s="5"/>
      <c r="AI403" s="5"/>
      <c r="AJ403" s="5"/>
      <c r="AK403" s="5"/>
    </row>
    <row r="404" spans="1:37" x14ac:dyDescent="0.25">
      <c r="A404" s="182"/>
      <c r="B404" s="6"/>
      <c r="C404" s="6"/>
      <c r="D404" s="15"/>
      <c r="E404" s="22"/>
      <c r="F404" s="22"/>
      <c r="G404" s="22"/>
      <c r="I404" s="5"/>
      <c r="J404" s="5"/>
      <c r="K404" s="22"/>
      <c r="L404" s="22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19"/>
      <c r="AH404" s="5"/>
      <c r="AI404" s="5"/>
      <c r="AJ404" s="5"/>
      <c r="AK404" s="5"/>
    </row>
    <row r="405" spans="1:37" x14ac:dyDescent="0.25">
      <c r="A405" s="182"/>
      <c r="B405" s="6"/>
      <c r="C405" s="6"/>
      <c r="D405" s="15"/>
      <c r="E405" s="22"/>
      <c r="F405" s="22"/>
      <c r="G405" s="22"/>
      <c r="I405" s="5"/>
      <c r="J405" s="5"/>
      <c r="K405" s="22"/>
      <c r="L405" s="22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19"/>
      <c r="AH405" s="5"/>
      <c r="AI405" s="5"/>
      <c r="AJ405" s="5"/>
      <c r="AK405" s="5"/>
    </row>
    <row r="406" spans="1:37" x14ac:dyDescent="0.25">
      <c r="A406" s="182"/>
      <c r="B406" s="6"/>
      <c r="C406" s="6"/>
      <c r="D406" s="15"/>
      <c r="E406" s="22"/>
      <c r="F406" s="22"/>
      <c r="G406" s="22"/>
      <c r="I406" s="5"/>
      <c r="J406" s="5"/>
      <c r="K406" s="22"/>
      <c r="L406" s="22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19"/>
      <c r="AH406" s="5"/>
      <c r="AI406" s="5"/>
      <c r="AJ406" s="5"/>
      <c r="AK406" s="5"/>
    </row>
    <row r="407" spans="1:37" x14ac:dyDescent="0.25">
      <c r="A407" s="182"/>
      <c r="B407" s="6"/>
      <c r="C407" s="6"/>
      <c r="D407" s="15"/>
      <c r="E407" s="22"/>
      <c r="F407" s="22"/>
      <c r="G407" s="22"/>
      <c r="I407" s="5"/>
      <c r="J407" s="5"/>
      <c r="K407" s="22"/>
      <c r="L407" s="22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19"/>
      <c r="AH407" s="5"/>
      <c r="AI407" s="5"/>
      <c r="AJ407" s="5"/>
      <c r="AK407" s="5"/>
    </row>
    <row r="408" spans="1:37" x14ac:dyDescent="0.25">
      <c r="A408" s="182"/>
      <c r="B408" s="6"/>
      <c r="C408" s="6"/>
      <c r="D408" s="15"/>
      <c r="E408" s="22"/>
      <c r="F408" s="22"/>
      <c r="G408" s="22"/>
      <c r="I408" s="5"/>
      <c r="J408" s="5"/>
      <c r="K408" s="22"/>
      <c r="L408" s="22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19"/>
      <c r="AH408" s="5"/>
      <c r="AI408" s="5"/>
      <c r="AJ408" s="5"/>
      <c r="AK408" s="5"/>
    </row>
    <row r="409" spans="1:37" x14ac:dyDescent="0.25">
      <c r="A409" s="182"/>
      <c r="B409" s="6"/>
      <c r="C409" s="6"/>
      <c r="D409" s="15"/>
      <c r="E409" s="22"/>
      <c r="F409" s="22"/>
      <c r="G409" s="22"/>
      <c r="I409" s="5"/>
      <c r="J409" s="5"/>
      <c r="K409" s="22"/>
      <c r="L409" s="22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19"/>
      <c r="AH409" s="5"/>
      <c r="AI409" s="5"/>
      <c r="AJ409" s="5"/>
      <c r="AK409" s="5"/>
    </row>
    <row r="410" spans="1:37" x14ac:dyDescent="0.25">
      <c r="A410" s="182"/>
      <c r="B410" s="6"/>
      <c r="C410" s="6"/>
      <c r="D410" s="15"/>
      <c r="E410" s="22"/>
      <c r="F410" s="22"/>
      <c r="G410" s="22"/>
      <c r="I410" s="5"/>
      <c r="J410" s="5"/>
      <c r="K410" s="22"/>
      <c r="L410" s="22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19"/>
      <c r="AH410" s="5"/>
      <c r="AI410" s="5"/>
      <c r="AJ410" s="5"/>
      <c r="AK410" s="5"/>
    </row>
    <row r="411" spans="1:37" x14ac:dyDescent="0.25">
      <c r="A411" s="182"/>
      <c r="B411" s="6"/>
      <c r="C411" s="6"/>
      <c r="D411" s="15"/>
      <c r="E411" s="22"/>
      <c r="F411" s="22"/>
      <c r="G411" s="22"/>
      <c r="I411" s="5"/>
      <c r="J411" s="5"/>
      <c r="K411" s="22"/>
      <c r="L411" s="22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19"/>
      <c r="AH411" s="5"/>
      <c r="AI411" s="5"/>
      <c r="AJ411" s="5"/>
      <c r="AK411" s="5"/>
    </row>
    <row r="412" spans="1:37" x14ac:dyDescent="0.25">
      <c r="A412" s="182"/>
      <c r="B412" s="6"/>
      <c r="C412" s="6"/>
      <c r="D412" s="15"/>
      <c r="E412" s="22"/>
      <c r="F412" s="22"/>
      <c r="G412" s="22"/>
      <c r="I412" s="5"/>
      <c r="J412" s="5"/>
      <c r="K412" s="22"/>
      <c r="L412" s="22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19"/>
      <c r="AH412" s="5"/>
      <c r="AI412" s="5"/>
      <c r="AJ412" s="5"/>
      <c r="AK412" s="5"/>
    </row>
    <row r="413" spans="1:37" x14ac:dyDescent="0.25">
      <c r="A413" s="182"/>
      <c r="B413" s="6"/>
      <c r="C413" s="6"/>
      <c r="D413" s="15"/>
      <c r="E413" s="22"/>
      <c r="F413" s="22"/>
      <c r="G413" s="22"/>
      <c r="I413" s="5"/>
      <c r="J413" s="5"/>
      <c r="K413" s="22"/>
      <c r="L413" s="22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19"/>
      <c r="AH413" s="5"/>
      <c r="AI413" s="5"/>
      <c r="AJ413" s="5"/>
      <c r="AK413" s="5"/>
    </row>
    <row r="414" spans="1:37" x14ac:dyDescent="0.25">
      <c r="A414" s="182"/>
      <c r="B414" s="6"/>
      <c r="C414" s="6"/>
      <c r="D414" s="15"/>
      <c r="E414" s="22"/>
      <c r="F414" s="22"/>
      <c r="G414" s="22"/>
      <c r="I414" s="5"/>
      <c r="J414" s="5"/>
      <c r="K414" s="22"/>
      <c r="L414" s="22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19"/>
      <c r="AH414" s="5"/>
      <c r="AI414" s="5"/>
      <c r="AJ414" s="5"/>
      <c r="AK414" s="5"/>
    </row>
    <row r="415" spans="1:37" x14ac:dyDescent="0.25">
      <c r="A415" s="182"/>
      <c r="B415" s="6"/>
      <c r="C415" s="6"/>
      <c r="D415" s="15"/>
      <c r="E415" s="22"/>
      <c r="F415" s="22"/>
      <c r="G415" s="22"/>
      <c r="I415" s="5"/>
      <c r="J415" s="5"/>
      <c r="K415" s="22"/>
      <c r="L415" s="22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19"/>
      <c r="AH415" s="5"/>
      <c r="AI415" s="5"/>
      <c r="AJ415" s="5"/>
      <c r="AK415" s="5"/>
    </row>
    <row r="416" spans="1:37" x14ac:dyDescent="0.25">
      <c r="A416" s="182"/>
      <c r="B416" s="6"/>
      <c r="C416" s="6"/>
      <c r="D416" s="15"/>
      <c r="E416" s="22"/>
      <c r="F416" s="22"/>
      <c r="G416" s="22"/>
      <c r="I416" s="5"/>
      <c r="J416" s="5"/>
      <c r="K416" s="22"/>
      <c r="L416" s="22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19"/>
      <c r="AH416" s="5"/>
      <c r="AI416" s="5"/>
      <c r="AJ416" s="5"/>
      <c r="AK416" s="5"/>
    </row>
    <row r="417" spans="1:37" x14ac:dyDescent="0.25">
      <c r="A417" s="182"/>
      <c r="B417" s="6"/>
      <c r="C417" s="6"/>
      <c r="D417" s="15"/>
      <c r="E417" s="22"/>
      <c r="F417" s="22"/>
      <c r="G417" s="22"/>
      <c r="I417" s="5"/>
      <c r="J417" s="5"/>
      <c r="K417" s="22"/>
      <c r="L417" s="22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19"/>
      <c r="AH417" s="5"/>
      <c r="AI417" s="5"/>
      <c r="AJ417" s="5"/>
      <c r="AK417" s="5"/>
    </row>
    <row r="418" spans="1:37" x14ac:dyDescent="0.25">
      <c r="A418" s="182"/>
      <c r="B418" s="6"/>
      <c r="C418" s="6"/>
      <c r="D418" s="15"/>
      <c r="E418" s="22"/>
      <c r="F418" s="22"/>
      <c r="G418" s="22"/>
      <c r="I418" s="5"/>
      <c r="J418" s="5"/>
      <c r="K418" s="22"/>
      <c r="L418" s="22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19"/>
      <c r="AH418" s="5"/>
      <c r="AI418" s="5"/>
      <c r="AJ418" s="5"/>
      <c r="AK418" s="5"/>
    </row>
    <row r="419" spans="1:37" x14ac:dyDescent="0.25">
      <c r="A419" s="182"/>
      <c r="B419" s="6"/>
      <c r="C419" s="6"/>
      <c r="D419" s="15"/>
      <c r="E419" s="22"/>
      <c r="F419" s="22"/>
      <c r="G419" s="22"/>
      <c r="I419" s="5"/>
      <c r="J419" s="5"/>
      <c r="K419" s="22"/>
      <c r="L419" s="22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19"/>
      <c r="AH419" s="5"/>
      <c r="AI419" s="5"/>
      <c r="AJ419" s="5"/>
      <c r="AK419" s="5"/>
    </row>
    <row r="420" spans="1:37" x14ac:dyDescent="0.25">
      <c r="A420" s="182"/>
      <c r="B420" s="6"/>
      <c r="C420" s="6"/>
      <c r="D420" s="15"/>
      <c r="E420" s="22"/>
      <c r="F420" s="22"/>
      <c r="G420" s="22"/>
      <c r="I420" s="5"/>
      <c r="J420" s="5"/>
      <c r="K420" s="22"/>
      <c r="L420" s="22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19"/>
      <c r="AH420" s="5"/>
      <c r="AI420" s="5"/>
      <c r="AJ420" s="5"/>
      <c r="AK420" s="5"/>
    </row>
    <row r="421" spans="1:37" x14ac:dyDescent="0.25">
      <c r="A421" s="182"/>
      <c r="B421" s="6"/>
      <c r="C421" s="6"/>
      <c r="D421" s="15"/>
      <c r="E421" s="22"/>
      <c r="F421" s="22"/>
      <c r="G421" s="22"/>
      <c r="I421" s="5"/>
      <c r="J421" s="5"/>
      <c r="K421" s="22"/>
      <c r="L421" s="22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19"/>
      <c r="AH421" s="5"/>
      <c r="AI421" s="5"/>
      <c r="AJ421" s="5"/>
      <c r="AK421" s="5"/>
    </row>
    <row r="422" spans="1:37" x14ac:dyDescent="0.25">
      <c r="A422" s="182"/>
      <c r="B422" s="6"/>
      <c r="C422" s="6"/>
      <c r="D422" s="15"/>
      <c r="E422" s="22"/>
      <c r="F422" s="22"/>
      <c r="G422" s="22"/>
      <c r="I422" s="5"/>
      <c r="J422" s="5"/>
      <c r="K422" s="22"/>
      <c r="L422" s="22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19"/>
      <c r="AH422" s="5"/>
      <c r="AI422" s="5"/>
      <c r="AJ422" s="5"/>
      <c r="AK422" s="5"/>
    </row>
    <row r="423" spans="1:37" x14ac:dyDescent="0.25">
      <c r="A423" s="182"/>
      <c r="B423" s="6"/>
      <c r="C423" s="6"/>
      <c r="D423" s="15"/>
      <c r="E423" s="22"/>
      <c r="F423" s="22"/>
      <c r="G423" s="22"/>
      <c r="I423" s="5"/>
      <c r="J423" s="5"/>
      <c r="K423" s="22"/>
      <c r="L423" s="22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19"/>
      <c r="AH423" s="5"/>
      <c r="AI423" s="5"/>
      <c r="AJ423" s="5"/>
      <c r="AK423" s="5"/>
    </row>
    <row r="424" spans="1:37" x14ac:dyDescent="0.25">
      <c r="A424" s="182"/>
      <c r="B424" s="6"/>
      <c r="C424" s="6"/>
      <c r="D424" s="15"/>
      <c r="E424" s="22"/>
      <c r="F424" s="22"/>
      <c r="G424" s="22"/>
      <c r="I424" s="5"/>
      <c r="J424" s="5"/>
      <c r="K424" s="22"/>
      <c r="L424" s="22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19"/>
      <c r="AH424" s="5"/>
      <c r="AI424" s="5"/>
      <c r="AJ424" s="5"/>
      <c r="AK424" s="5"/>
    </row>
    <row r="425" spans="1:37" x14ac:dyDescent="0.25">
      <c r="A425" s="182"/>
      <c r="B425" s="6"/>
      <c r="C425" s="6"/>
      <c r="D425" s="15"/>
      <c r="E425" s="22"/>
      <c r="F425" s="22"/>
      <c r="G425" s="22"/>
      <c r="I425" s="5"/>
      <c r="J425" s="5"/>
      <c r="K425" s="22"/>
      <c r="L425" s="22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19"/>
      <c r="AH425" s="5"/>
      <c r="AI425" s="5"/>
      <c r="AJ425" s="5"/>
      <c r="AK425" s="5"/>
    </row>
    <row r="426" spans="1:37" x14ac:dyDescent="0.25">
      <c r="A426" s="182"/>
      <c r="B426" s="6"/>
      <c r="C426" s="6"/>
      <c r="D426" s="15"/>
      <c r="E426" s="22"/>
      <c r="F426" s="22"/>
      <c r="G426" s="22"/>
      <c r="I426" s="5"/>
      <c r="J426" s="5"/>
      <c r="K426" s="22"/>
      <c r="L426" s="22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19"/>
      <c r="AH426" s="5"/>
      <c r="AI426" s="5"/>
      <c r="AJ426" s="5"/>
      <c r="AK426" s="5"/>
    </row>
    <row r="427" spans="1:37" x14ac:dyDescent="0.25">
      <c r="A427" s="182"/>
      <c r="B427" s="6"/>
      <c r="C427" s="6"/>
      <c r="D427" s="15"/>
      <c r="E427" s="22"/>
      <c r="F427" s="22"/>
      <c r="G427" s="22"/>
      <c r="I427" s="5"/>
      <c r="J427" s="5"/>
      <c r="K427" s="22"/>
      <c r="L427" s="22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19"/>
      <c r="AH427" s="5"/>
      <c r="AI427" s="5"/>
      <c r="AJ427" s="5"/>
      <c r="AK427" s="5"/>
    </row>
    <row r="428" spans="1:37" x14ac:dyDescent="0.25">
      <c r="A428" s="182"/>
      <c r="B428" s="6"/>
      <c r="C428" s="6"/>
      <c r="D428" s="15"/>
      <c r="E428" s="22"/>
      <c r="F428" s="22"/>
      <c r="G428" s="22"/>
      <c r="I428" s="5"/>
      <c r="J428" s="5"/>
      <c r="K428" s="22"/>
      <c r="L428" s="22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19"/>
      <c r="AH428" s="5"/>
      <c r="AI428" s="5"/>
      <c r="AJ428" s="5"/>
      <c r="AK428" s="5"/>
    </row>
    <row r="429" spans="1:37" x14ac:dyDescent="0.25">
      <c r="A429" s="182"/>
      <c r="B429" s="6"/>
      <c r="C429" s="6"/>
      <c r="D429" s="15"/>
      <c r="E429" s="22"/>
      <c r="F429" s="22"/>
      <c r="G429" s="22"/>
      <c r="I429" s="5"/>
      <c r="J429" s="5"/>
      <c r="K429" s="22"/>
      <c r="L429" s="22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19"/>
      <c r="AH429" s="5"/>
      <c r="AI429" s="5"/>
      <c r="AJ429" s="5"/>
      <c r="AK429" s="5"/>
    </row>
    <row r="430" spans="1:37" x14ac:dyDescent="0.25">
      <c r="A430" s="182"/>
      <c r="B430" s="6"/>
      <c r="C430" s="6"/>
      <c r="D430" s="15"/>
      <c r="E430" s="22"/>
      <c r="F430" s="22"/>
      <c r="G430" s="22"/>
      <c r="I430" s="5"/>
      <c r="J430" s="5"/>
      <c r="K430" s="22"/>
      <c r="L430" s="22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19"/>
      <c r="AH430" s="5"/>
      <c r="AI430" s="5"/>
      <c r="AJ430" s="5"/>
      <c r="AK430" s="5"/>
    </row>
    <row r="431" spans="1:37" x14ac:dyDescent="0.25">
      <c r="A431" s="182"/>
      <c r="B431" s="6"/>
      <c r="C431" s="6"/>
      <c r="D431" s="15"/>
      <c r="E431" s="22"/>
      <c r="F431" s="22"/>
      <c r="G431" s="22"/>
      <c r="I431" s="5"/>
      <c r="J431" s="5"/>
      <c r="K431" s="22"/>
      <c r="L431" s="22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19"/>
      <c r="AH431" s="5"/>
      <c r="AI431" s="5"/>
      <c r="AJ431" s="5"/>
      <c r="AK431" s="5"/>
    </row>
    <row r="432" spans="1:37" x14ac:dyDescent="0.25">
      <c r="A432" s="182"/>
      <c r="B432" s="6"/>
      <c r="C432" s="6"/>
      <c r="D432" s="15"/>
      <c r="E432" s="22"/>
      <c r="F432" s="22"/>
      <c r="G432" s="22"/>
      <c r="I432" s="5"/>
      <c r="J432" s="5"/>
      <c r="K432" s="22"/>
      <c r="L432" s="22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19"/>
      <c r="AH432" s="5"/>
      <c r="AI432" s="5"/>
      <c r="AJ432" s="5"/>
      <c r="AK432" s="5"/>
    </row>
    <row r="433" spans="1:37" x14ac:dyDescent="0.25">
      <c r="A433" s="182"/>
      <c r="B433" s="6"/>
      <c r="C433" s="6"/>
      <c r="D433" s="15"/>
      <c r="E433" s="22"/>
      <c r="F433" s="22"/>
      <c r="G433" s="22"/>
      <c r="I433" s="5"/>
      <c r="J433" s="5"/>
      <c r="K433" s="22"/>
      <c r="L433" s="22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19"/>
      <c r="AH433" s="5"/>
      <c r="AI433" s="5"/>
      <c r="AJ433" s="5"/>
      <c r="AK433" s="5"/>
    </row>
    <row r="434" spans="1:37" x14ac:dyDescent="0.25">
      <c r="A434" s="182"/>
      <c r="B434" s="6"/>
      <c r="C434" s="6"/>
      <c r="D434" s="15"/>
      <c r="E434" s="22"/>
      <c r="F434" s="22"/>
      <c r="G434" s="22"/>
      <c r="I434" s="5"/>
      <c r="J434" s="5"/>
      <c r="K434" s="22"/>
      <c r="L434" s="22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19"/>
      <c r="AH434" s="5"/>
      <c r="AI434" s="5"/>
      <c r="AJ434" s="5"/>
      <c r="AK434" s="5"/>
    </row>
    <row r="435" spans="1:37" x14ac:dyDescent="0.25">
      <c r="A435" s="182"/>
      <c r="B435" s="6"/>
      <c r="C435" s="6"/>
      <c r="D435" s="15"/>
      <c r="E435" s="22"/>
      <c r="F435" s="22"/>
      <c r="G435" s="22"/>
      <c r="I435" s="5"/>
      <c r="J435" s="5"/>
      <c r="K435" s="22"/>
      <c r="L435" s="22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19"/>
      <c r="AH435" s="5"/>
      <c r="AI435" s="5"/>
      <c r="AJ435" s="5"/>
      <c r="AK435" s="5"/>
    </row>
    <row r="436" spans="1:37" x14ac:dyDescent="0.25">
      <c r="A436" s="182"/>
      <c r="B436" s="6"/>
      <c r="C436" s="6"/>
      <c r="D436" s="15"/>
      <c r="E436" s="22"/>
      <c r="F436" s="22"/>
      <c r="G436" s="22"/>
      <c r="I436" s="5"/>
      <c r="J436" s="5"/>
      <c r="K436" s="22"/>
      <c r="L436" s="22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19"/>
      <c r="AH436" s="5"/>
      <c r="AI436" s="5"/>
      <c r="AJ436" s="5"/>
      <c r="AK436" s="5"/>
    </row>
    <row r="437" spans="1:37" x14ac:dyDescent="0.25">
      <c r="A437" s="182"/>
      <c r="B437" s="6"/>
      <c r="C437" s="6"/>
      <c r="D437" s="15"/>
      <c r="E437" s="22"/>
      <c r="F437" s="22"/>
      <c r="G437" s="22"/>
      <c r="I437" s="5"/>
      <c r="J437" s="5"/>
      <c r="K437" s="22"/>
      <c r="L437" s="22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19"/>
      <c r="AH437" s="5"/>
      <c r="AI437" s="5"/>
      <c r="AJ437" s="5"/>
      <c r="AK437" s="5"/>
    </row>
    <row r="438" spans="1:37" x14ac:dyDescent="0.25">
      <c r="A438" s="182"/>
      <c r="B438" s="6"/>
      <c r="C438" s="6"/>
      <c r="D438" s="15"/>
      <c r="E438" s="22"/>
      <c r="F438" s="22"/>
      <c r="G438" s="22"/>
      <c r="I438" s="5"/>
      <c r="J438" s="5"/>
      <c r="K438" s="22"/>
      <c r="L438" s="22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19"/>
      <c r="AH438" s="5"/>
      <c r="AI438" s="5"/>
      <c r="AJ438" s="5"/>
      <c r="AK438" s="5"/>
    </row>
    <row r="439" spans="1:37" x14ac:dyDescent="0.25">
      <c r="A439" s="182"/>
      <c r="B439" s="6"/>
      <c r="C439" s="6"/>
      <c r="D439" s="15"/>
      <c r="E439" s="22"/>
      <c r="F439" s="22"/>
      <c r="G439" s="22"/>
      <c r="I439" s="5"/>
      <c r="J439" s="5"/>
      <c r="K439" s="22"/>
      <c r="L439" s="22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19"/>
      <c r="AH439" s="5"/>
      <c r="AI439" s="5"/>
      <c r="AJ439" s="5"/>
      <c r="AK439" s="5"/>
    </row>
    <row r="440" spans="1:37" x14ac:dyDescent="0.25">
      <c r="A440" s="182"/>
      <c r="B440" s="6"/>
      <c r="C440" s="6"/>
      <c r="D440" s="15"/>
      <c r="E440" s="22"/>
      <c r="F440" s="22"/>
      <c r="G440" s="22"/>
      <c r="I440" s="5"/>
      <c r="J440" s="5"/>
      <c r="K440" s="22"/>
      <c r="L440" s="22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19"/>
      <c r="AH440" s="5"/>
      <c r="AI440" s="5"/>
      <c r="AJ440" s="5"/>
      <c r="AK440" s="5"/>
    </row>
    <row r="441" spans="1:37" x14ac:dyDescent="0.25">
      <c r="A441" s="182"/>
      <c r="B441" s="6"/>
      <c r="C441" s="6"/>
      <c r="D441" s="15"/>
      <c r="E441" s="22"/>
      <c r="F441" s="22"/>
      <c r="G441" s="22"/>
      <c r="I441" s="5"/>
      <c r="J441" s="5"/>
      <c r="K441" s="22"/>
      <c r="L441" s="22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19"/>
      <c r="AH441" s="5"/>
      <c r="AI441" s="5"/>
      <c r="AJ441" s="5"/>
      <c r="AK441" s="5"/>
    </row>
    <row r="442" spans="1:37" x14ac:dyDescent="0.25">
      <c r="A442" s="182"/>
      <c r="B442" s="6"/>
      <c r="C442" s="6"/>
      <c r="D442" s="15"/>
      <c r="E442" s="22"/>
      <c r="F442" s="22"/>
      <c r="G442" s="22"/>
      <c r="I442" s="5"/>
      <c r="J442" s="5"/>
      <c r="K442" s="22"/>
      <c r="L442" s="22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19"/>
      <c r="AH442" s="5"/>
      <c r="AI442" s="5"/>
      <c r="AJ442" s="5"/>
      <c r="AK442" s="5"/>
    </row>
    <row r="443" spans="1:37" x14ac:dyDescent="0.25">
      <c r="A443" s="182"/>
      <c r="B443" s="6"/>
      <c r="C443" s="6"/>
      <c r="D443" s="15"/>
      <c r="E443" s="22"/>
      <c r="F443" s="22"/>
      <c r="G443" s="22"/>
      <c r="I443" s="5"/>
      <c r="J443" s="5"/>
      <c r="K443" s="22"/>
      <c r="L443" s="22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19"/>
      <c r="AH443" s="5"/>
      <c r="AI443" s="5"/>
      <c r="AJ443" s="5"/>
      <c r="AK443" s="5"/>
    </row>
    <row r="444" spans="1:37" x14ac:dyDescent="0.25">
      <c r="A444" s="182"/>
      <c r="B444" s="6"/>
      <c r="C444" s="6"/>
      <c r="D444" s="15"/>
      <c r="E444" s="22"/>
      <c r="F444" s="22"/>
      <c r="G444" s="22"/>
      <c r="I444" s="5"/>
      <c r="J444" s="5"/>
      <c r="K444" s="22"/>
      <c r="L444" s="22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19"/>
      <c r="AH444" s="5"/>
      <c r="AI444" s="5"/>
      <c r="AJ444" s="5"/>
      <c r="AK444" s="5"/>
    </row>
    <row r="445" spans="1:37" x14ac:dyDescent="0.25">
      <c r="A445" s="182"/>
      <c r="B445" s="6"/>
      <c r="C445" s="6"/>
      <c r="D445" s="15"/>
      <c r="E445" s="22"/>
      <c r="F445" s="22"/>
      <c r="G445" s="22"/>
      <c r="I445" s="5"/>
      <c r="J445" s="5"/>
      <c r="K445" s="22"/>
      <c r="L445" s="22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19"/>
      <c r="AH445" s="5"/>
      <c r="AI445" s="5"/>
      <c r="AJ445" s="5"/>
      <c r="AK445" s="5"/>
    </row>
    <row r="446" spans="1:37" x14ac:dyDescent="0.25">
      <c r="A446" s="182"/>
      <c r="B446" s="6"/>
      <c r="C446" s="6"/>
      <c r="D446" s="15"/>
      <c r="E446" s="22"/>
      <c r="F446" s="22"/>
      <c r="G446" s="22"/>
      <c r="I446" s="5"/>
      <c r="J446" s="5"/>
      <c r="K446" s="22"/>
      <c r="L446" s="22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19"/>
      <c r="AH446" s="5"/>
      <c r="AI446" s="5"/>
      <c r="AJ446" s="5"/>
      <c r="AK446" s="5"/>
    </row>
    <row r="447" spans="1:37" x14ac:dyDescent="0.25">
      <c r="A447" s="182"/>
      <c r="B447" s="6"/>
      <c r="C447" s="6"/>
      <c r="D447" s="15"/>
      <c r="E447" s="22"/>
      <c r="F447" s="22"/>
      <c r="G447" s="22"/>
      <c r="I447" s="5"/>
      <c r="J447" s="5"/>
      <c r="K447" s="22"/>
      <c r="L447" s="22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19"/>
      <c r="AH447" s="5"/>
      <c r="AI447" s="5"/>
      <c r="AJ447" s="5"/>
      <c r="AK447" s="5"/>
    </row>
    <row r="448" spans="1:37" x14ac:dyDescent="0.25">
      <c r="A448" s="182"/>
      <c r="B448" s="6"/>
      <c r="C448" s="6"/>
      <c r="D448" s="15"/>
      <c r="E448" s="22"/>
      <c r="F448" s="22"/>
      <c r="G448" s="22"/>
      <c r="I448" s="5"/>
      <c r="J448" s="5"/>
      <c r="K448" s="22"/>
      <c r="L448" s="22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19"/>
      <c r="AH448" s="5"/>
      <c r="AI448" s="5"/>
      <c r="AJ448" s="5"/>
      <c r="AK448" s="5"/>
    </row>
    <row r="449" spans="1:37" x14ac:dyDescent="0.25">
      <c r="A449" s="182"/>
      <c r="B449" s="6"/>
      <c r="C449" s="6"/>
      <c r="D449" s="15"/>
      <c r="E449" s="22"/>
      <c r="F449" s="22"/>
      <c r="G449" s="22"/>
      <c r="I449" s="5"/>
      <c r="J449" s="5"/>
      <c r="K449" s="22"/>
      <c r="L449" s="22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19"/>
      <c r="AH449" s="5"/>
      <c r="AI449" s="5"/>
      <c r="AJ449" s="5"/>
      <c r="AK449" s="5"/>
    </row>
    <row r="450" spans="1:37" x14ac:dyDescent="0.25">
      <c r="A450" s="182"/>
      <c r="B450" s="6"/>
      <c r="C450" s="6"/>
      <c r="D450" s="15"/>
      <c r="E450" s="22"/>
      <c r="F450" s="22"/>
      <c r="G450" s="22"/>
      <c r="I450" s="5"/>
      <c r="J450" s="5"/>
      <c r="K450" s="22"/>
      <c r="L450" s="22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19"/>
      <c r="AH450" s="5"/>
      <c r="AI450" s="5"/>
      <c r="AJ450" s="5"/>
      <c r="AK450" s="5"/>
    </row>
    <row r="451" spans="1:37" x14ac:dyDescent="0.25">
      <c r="A451" s="182"/>
      <c r="B451" s="6"/>
      <c r="C451" s="6"/>
      <c r="D451" s="15"/>
      <c r="E451" s="22"/>
      <c r="F451" s="22"/>
      <c r="G451" s="22"/>
      <c r="I451" s="5"/>
      <c r="J451" s="5"/>
      <c r="K451" s="22"/>
      <c r="L451" s="22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19"/>
      <c r="AH451" s="5"/>
      <c r="AI451" s="5"/>
      <c r="AJ451" s="5"/>
      <c r="AK451" s="5"/>
    </row>
    <row r="452" spans="1:37" x14ac:dyDescent="0.25">
      <c r="A452" s="182"/>
      <c r="B452" s="6"/>
      <c r="C452" s="6"/>
      <c r="D452" s="15"/>
      <c r="E452" s="22"/>
      <c r="F452" s="22"/>
      <c r="G452" s="22"/>
      <c r="I452" s="5"/>
      <c r="J452" s="5"/>
      <c r="K452" s="22"/>
      <c r="L452" s="22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19"/>
      <c r="AH452" s="5"/>
      <c r="AI452" s="5"/>
      <c r="AJ452" s="5"/>
      <c r="AK452" s="5"/>
    </row>
    <row r="453" spans="1:37" x14ac:dyDescent="0.25">
      <c r="A453" s="182"/>
      <c r="B453" s="6"/>
      <c r="C453" s="6"/>
      <c r="D453" s="15"/>
      <c r="E453" s="22"/>
      <c r="F453" s="22"/>
      <c r="G453" s="22"/>
      <c r="I453" s="5"/>
      <c r="J453" s="5"/>
      <c r="K453" s="22"/>
      <c r="L453" s="22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19"/>
      <c r="AH453" s="5"/>
      <c r="AI453" s="5"/>
      <c r="AJ453" s="5"/>
      <c r="AK453" s="5"/>
    </row>
    <row r="454" spans="1:37" x14ac:dyDescent="0.25">
      <c r="A454" s="182"/>
      <c r="B454" s="6"/>
      <c r="C454" s="6"/>
      <c r="D454" s="15"/>
      <c r="E454" s="22"/>
      <c r="F454" s="22"/>
      <c r="G454" s="22"/>
      <c r="I454" s="5"/>
      <c r="J454" s="5"/>
      <c r="K454" s="22"/>
      <c r="L454" s="22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19"/>
      <c r="AH454" s="5"/>
      <c r="AI454" s="5"/>
      <c r="AJ454" s="5"/>
      <c r="AK454" s="5"/>
    </row>
    <row r="455" spans="1:37" x14ac:dyDescent="0.25">
      <c r="A455" s="182"/>
      <c r="B455" s="6"/>
      <c r="C455" s="6"/>
      <c r="D455" s="15"/>
      <c r="E455" s="22"/>
      <c r="F455" s="22"/>
      <c r="G455" s="22"/>
      <c r="I455" s="5"/>
      <c r="J455" s="5"/>
      <c r="K455" s="22"/>
      <c r="L455" s="22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19"/>
      <c r="AH455" s="5"/>
      <c r="AI455" s="5"/>
      <c r="AJ455" s="5"/>
      <c r="AK455" s="5"/>
    </row>
    <row r="456" spans="1:37" x14ac:dyDescent="0.25">
      <c r="A456" s="182"/>
      <c r="B456" s="6"/>
      <c r="C456" s="6"/>
      <c r="D456" s="15"/>
      <c r="E456" s="22"/>
      <c r="F456" s="22"/>
      <c r="G456" s="22"/>
      <c r="I456" s="5"/>
      <c r="J456" s="5"/>
      <c r="K456" s="22"/>
      <c r="L456" s="22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19"/>
      <c r="AH456" s="5"/>
      <c r="AI456" s="5"/>
      <c r="AJ456" s="5"/>
      <c r="AK456" s="5"/>
    </row>
    <row r="457" spans="1:37" x14ac:dyDescent="0.25">
      <c r="A457" s="182"/>
      <c r="B457" s="6"/>
      <c r="C457" s="6"/>
      <c r="D457" s="15"/>
      <c r="E457" s="22"/>
      <c r="F457" s="22"/>
      <c r="G457" s="22"/>
      <c r="I457" s="5"/>
      <c r="J457" s="5"/>
      <c r="K457" s="22"/>
      <c r="L457" s="22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19"/>
      <c r="AH457" s="5"/>
      <c r="AI457" s="5"/>
      <c r="AJ457" s="5"/>
      <c r="AK457" s="5"/>
    </row>
    <row r="458" spans="1:37" x14ac:dyDescent="0.25">
      <c r="A458" s="182"/>
      <c r="B458" s="6"/>
      <c r="C458" s="6"/>
      <c r="D458" s="15"/>
      <c r="E458" s="22"/>
      <c r="F458" s="22"/>
      <c r="G458" s="22"/>
      <c r="I458" s="5"/>
      <c r="J458" s="5"/>
      <c r="K458" s="22"/>
      <c r="L458" s="22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19"/>
      <c r="AH458" s="5"/>
      <c r="AI458" s="5"/>
      <c r="AJ458" s="5"/>
      <c r="AK458" s="5"/>
    </row>
    <row r="459" spans="1:37" x14ac:dyDescent="0.25">
      <c r="A459" s="182"/>
      <c r="B459" s="6"/>
      <c r="C459" s="6"/>
      <c r="D459" s="15"/>
      <c r="E459" s="22"/>
      <c r="F459" s="22"/>
      <c r="G459" s="22"/>
      <c r="I459" s="5"/>
      <c r="J459" s="5"/>
      <c r="K459" s="22"/>
      <c r="L459" s="22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19"/>
      <c r="AH459" s="5"/>
      <c r="AI459" s="5"/>
      <c r="AJ459" s="5"/>
      <c r="AK459" s="5"/>
    </row>
    <row r="460" spans="1:37" x14ac:dyDescent="0.25">
      <c r="A460" s="182"/>
      <c r="B460" s="6"/>
      <c r="C460" s="6"/>
      <c r="D460" s="15"/>
      <c r="E460" s="22"/>
      <c r="F460" s="22"/>
      <c r="G460" s="22"/>
      <c r="I460" s="5"/>
      <c r="J460" s="5"/>
      <c r="K460" s="22"/>
      <c r="L460" s="22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19"/>
      <c r="AH460" s="5"/>
      <c r="AI460" s="5"/>
      <c r="AJ460" s="5"/>
      <c r="AK460" s="5"/>
    </row>
    <row r="461" spans="1:37" x14ac:dyDescent="0.25">
      <c r="A461" s="182"/>
      <c r="B461" s="6"/>
      <c r="C461" s="6"/>
      <c r="D461" s="15"/>
      <c r="E461" s="22"/>
      <c r="F461" s="22"/>
      <c r="G461" s="22"/>
      <c r="I461" s="5"/>
      <c r="J461" s="5"/>
      <c r="K461" s="22"/>
      <c r="L461" s="22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19"/>
      <c r="AH461" s="5"/>
      <c r="AI461" s="5"/>
      <c r="AJ461" s="5"/>
      <c r="AK461" s="5"/>
    </row>
    <row r="462" spans="1:37" x14ac:dyDescent="0.25">
      <c r="A462" s="182"/>
      <c r="B462" s="6"/>
      <c r="C462" s="6"/>
      <c r="D462" s="15"/>
      <c r="E462" s="22"/>
      <c r="F462" s="22"/>
      <c r="G462" s="22"/>
      <c r="I462" s="5"/>
      <c r="J462" s="5"/>
      <c r="K462" s="22"/>
      <c r="L462" s="22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19"/>
      <c r="AH462" s="5"/>
      <c r="AI462" s="5"/>
      <c r="AJ462" s="5"/>
      <c r="AK462" s="5"/>
    </row>
    <row r="463" spans="1:37" x14ac:dyDescent="0.25">
      <c r="A463" s="182"/>
      <c r="B463" s="6"/>
      <c r="C463" s="6"/>
      <c r="D463" s="15"/>
      <c r="E463" s="22"/>
      <c r="F463" s="22"/>
      <c r="G463" s="22"/>
      <c r="I463" s="5"/>
      <c r="J463" s="5"/>
      <c r="K463" s="22"/>
      <c r="L463" s="22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19"/>
      <c r="AH463" s="5"/>
      <c r="AI463" s="5"/>
      <c r="AJ463" s="5"/>
      <c r="AK463" s="5"/>
    </row>
    <row r="464" spans="1:37" x14ac:dyDescent="0.25">
      <c r="A464" s="182"/>
      <c r="B464" s="6"/>
      <c r="C464" s="6"/>
      <c r="D464" s="15"/>
      <c r="E464" s="22"/>
      <c r="F464" s="22"/>
      <c r="G464" s="22"/>
      <c r="I464" s="5"/>
      <c r="J464" s="5"/>
      <c r="K464" s="22"/>
      <c r="L464" s="22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19"/>
      <c r="AH464" s="5"/>
      <c r="AI464" s="5"/>
      <c r="AJ464" s="5"/>
      <c r="AK464" s="5"/>
    </row>
    <row r="465" spans="1:37" x14ac:dyDescent="0.25">
      <c r="A465" s="182"/>
      <c r="B465" s="6"/>
      <c r="C465" s="6"/>
      <c r="D465" s="15"/>
      <c r="E465" s="22"/>
      <c r="F465" s="22"/>
      <c r="G465" s="22"/>
      <c r="I465" s="5"/>
      <c r="J465" s="5"/>
      <c r="K465" s="22"/>
      <c r="L465" s="22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19"/>
      <c r="AH465" s="5"/>
      <c r="AI465" s="5"/>
      <c r="AJ465" s="5"/>
      <c r="AK465" s="5"/>
    </row>
    <row r="466" spans="1:37" x14ac:dyDescent="0.25">
      <c r="A466" s="182"/>
      <c r="B466" s="6"/>
      <c r="C466" s="6"/>
      <c r="D466" s="15"/>
      <c r="E466" s="22"/>
      <c r="F466" s="22"/>
      <c r="G466" s="22"/>
      <c r="I466" s="5"/>
      <c r="J466" s="5"/>
      <c r="K466" s="22"/>
      <c r="L466" s="22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19"/>
      <c r="AH466" s="5"/>
      <c r="AI466" s="5"/>
      <c r="AJ466" s="5"/>
      <c r="AK466" s="5"/>
    </row>
    <row r="467" spans="1:37" x14ac:dyDescent="0.25">
      <c r="A467" s="182"/>
      <c r="B467" s="6"/>
      <c r="C467" s="6"/>
      <c r="D467" s="15"/>
      <c r="E467" s="22"/>
      <c r="F467" s="22"/>
      <c r="G467" s="22"/>
      <c r="I467" s="5"/>
      <c r="J467" s="5"/>
      <c r="K467" s="22"/>
      <c r="L467" s="22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19"/>
      <c r="AH467" s="5"/>
      <c r="AI467" s="5"/>
      <c r="AJ467" s="5"/>
      <c r="AK467" s="5"/>
    </row>
    <row r="468" spans="1:37" x14ac:dyDescent="0.25">
      <c r="A468" s="182"/>
      <c r="B468" s="6"/>
      <c r="C468" s="6"/>
      <c r="D468" s="15"/>
      <c r="E468" s="22"/>
      <c r="F468" s="22"/>
      <c r="G468" s="22"/>
      <c r="I468" s="5"/>
      <c r="J468" s="5"/>
      <c r="K468" s="22"/>
      <c r="L468" s="22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19"/>
      <c r="AH468" s="5"/>
      <c r="AI468" s="5"/>
      <c r="AJ468" s="5"/>
      <c r="AK468" s="5"/>
    </row>
    <row r="469" spans="1:37" x14ac:dyDescent="0.25">
      <c r="A469" s="182"/>
      <c r="B469" s="6"/>
      <c r="C469" s="6"/>
      <c r="D469" s="15"/>
      <c r="E469" s="22"/>
      <c r="F469" s="22"/>
      <c r="G469" s="22"/>
      <c r="I469" s="5"/>
      <c r="J469" s="5"/>
      <c r="K469" s="22"/>
      <c r="L469" s="22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19"/>
      <c r="AH469" s="5"/>
      <c r="AI469" s="5"/>
      <c r="AJ469" s="5"/>
      <c r="AK469" s="5"/>
    </row>
    <row r="470" spans="1:37" x14ac:dyDescent="0.25">
      <c r="A470" s="182"/>
      <c r="B470" s="6"/>
      <c r="C470" s="6"/>
      <c r="D470" s="15"/>
      <c r="E470" s="22"/>
      <c r="F470" s="22"/>
      <c r="G470" s="22"/>
      <c r="I470" s="5"/>
      <c r="J470" s="5"/>
      <c r="K470" s="22"/>
      <c r="L470" s="22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19"/>
      <c r="AH470" s="5"/>
      <c r="AI470" s="5"/>
      <c r="AJ470" s="5"/>
      <c r="AK470" s="5"/>
    </row>
    <row r="471" spans="1:37" x14ac:dyDescent="0.25">
      <c r="A471" s="182"/>
      <c r="B471" s="6"/>
      <c r="C471" s="6"/>
      <c r="D471" s="15"/>
      <c r="E471" s="22"/>
      <c r="F471" s="22"/>
      <c r="G471" s="22"/>
      <c r="I471" s="5"/>
      <c r="J471" s="5"/>
      <c r="K471" s="22"/>
      <c r="L471" s="22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19"/>
      <c r="AH471" s="5"/>
      <c r="AI471" s="5"/>
      <c r="AJ471" s="5"/>
      <c r="AK471" s="5"/>
    </row>
    <row r="472" spans="1:37" x14ac:dyDescent="0.25">
      <c r="A472" s="182"/>
      <c r="B472" s="6"/>
      <c r="C472" s="6"/>
      <c r="D472" s="15"/>
      <c r="E472" s="22"/>
      <c r="F472" s="22"/>
      <c r="G472" s="22"/>
      <c r="I472" s="5"/>
      <c r="J472" s="5"/>
      <c r="K472" s="22"/>
      <c r="L472" s="22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19"/>
      <c r="AH472" s="5"/>
      <c r="AI472" s="5"/>
      <c r="AJ472" s="5"/>
      <c r="AK472" s="5"/>
    </row>
    <row r="473" spans="1:37" x14ac:dyDescent="0.25">
      <c r="A473" s="182"/>
      <c r="B473" s="6"/>
      <c r="C473" s="6"/>
      <c r="D473" s="15"/>
      <c r="E473" s="22"/>
      <c r="F473" s="22"/>
      <c r="G473" s="22"/>
      <c r="I473" s="5"/>
      <c r="J473" s="5"/>
      <c r="K473" s="22"/>
      <c r="L473" s="22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19"/>
      <c r="AH473" s="5"/>
      <c r="AI473" s="5"/>
      <c r="AJ473" s="5"/>
      <c r="AK473" s="5"/>
    </row>
    <row r="474" spans="1:37" x14ac:dyDescent="0.25">
      <c r="A474" s="182"/>
      <c r="B474" s="6"/>
      <c r="C474" s="6"/>
      <c r="D474" s="15"/>
      <c r="E474" s="22"/>
      <c r="F474" s="22"/>
      <c r="G474" s="22"/>
      <c r="I474" s="5"/>
      <c r="J474" s="5"/>
      <c r="K474" s="22"/>
      <c r="L474" s="22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19"/>
      <c r="AH474" s="5"/>
      <c r="AI474" s="5"/>
      <c r="AJ474" s="5"/>
      <c r="AK474" s="5"/>
    </row>
    <row r="475" spans="1:37" x14ac:dyDescent="0.25">
      <c r="A475" s="182"/>
      <c r="B475" s="6"/>
      <c r="C475" s="6"/>
      <c r="D475" s="15"/>
      <c r="E475" s="22"/>
      <c r="F475" s="22"/>
      <c r="G475" s="22"/>
      <c r="I475" s="5"/>
      <c r="J475" s="5"/>
      <c r="K475" s="22"/>
      <c r="L475" s="22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19"/>
      <c r="AH475" s="5"/>
      <c r="AI475" s="5"/>
      <c r="AJ475" s="5"/>
      <c r="AK475" s="5"/>
    </row>
    <row r="476" spans="1:37" x14ac:dyDescent="0.25">
      <c r="A476" s="182"/>
      <c r="B476" s="6"/>
      <c r="C476" s="6"/>
      <c r="D476" s="15"/>
      <c r="E476" s="22"/>
      <c r="F476" s="22"/>
      <c r="G476" s="22"/>
      <c r="I476" s="5"/>
      <c r="J476" s="5"/>
      <c r="K476" s="22"/>
      <c r="L476" s="22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19"/>
      <c r="AH476" s="5"/>
      <c r="AI476" s="5"/>
      <c r="AJ476" s="5"/>
      <c r="AK476" s="5"/>
    </row>
    <row r="477" spans="1:37" x14ac:dyDescent="0.25">
      <c r="A477" s="182"/>
      <c r="B477" s="6"/>
      <c r="C477" s="6"/>
      <c r="D477" s="15"/>
      <c r="E477" s="22"/>
      <c r="F477" s="22"/>
      <c r="G477" s="22"/>
      <c r="I477" s="5"/>
      <c r="J477" s="5"/>
      <c r="K477" s="22"/>
      <c r="L477" s="22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19"/>
      <c r="AH477" s="5"/>
      <c r="AI477" s="5"/>
      <c r="AJ477" s="5"/>
      <c r="AK477" s="5"/>
    </row>
    <row r="478" spans="1:37" x14ac:dyDescent="0.25">
      <c r="A478" s="182"/>
      <c r="B478" s="6"/>
      <c r="C478" s="6"/>
      <c r="D478" s="15"/>
      <c r="E478" s="22"/>
      <c r="F478" s="22"/>
      <c r="G478" s="22"/>
      <c r="I478" s="5"/>
      <c r="J478" s="5"/>
      <c r="K478" s="22"/>
      <c r="L478" s="22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19"/>
      <c r="AH478" s="5"/>
      <c r="AI478" s="5"/>
      <c r="AJ478" s="5"/>
      <c r="AK478" s="5"/>
    </row>
    <row r="479" spans="1:37" x14ac:dyDescent="0.25">
      <c r="A479" s="182"/>
      <c r="B479" s="6"/>
      <c r="C479" s="6"/>
      <c r="D479" s="15"/>
      <c r="E479" s="22"/>
      <c r="F479" s="22"/>
      <c r="G479" s="22"/>
      <c r="I479" s="5"/>
      <c r="J479" s="5"/>
      <c r="K479" s="22"/>
      <c r="L479" s="22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19"/>
      <c r="AH479" s="5"/>
      <c r="AI479" s="5"/>
      <c r="AJ479" s="5"/>
      <c r="AK479" s="5"/>
    </row>
    <row r="480" spans="1:37" x14ac:dyDescent="0.25">
      <c r="A480" s="182"/>
      <c r="B480" s="6"/>
      <c r="C480" s="6"/>
      <c r="D480" s="15"/>
      <c r="E480" s="22"/>
      <c r="F480" s="22"/>
      <c r="G480" s="22"/>
      <c r="I480" s="5"/>
      <c r="J480" s="5"/>
      <c r="K480" s="22"/>
      <c r="L480" s="22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19"/>
      <c r="AH480" s="5"/>
      <c r="AI480" s="5"/>
      <c r="AJ480" s="5"/>
      <c r="AK480" s="5"/>
    </row>
    <row r="481" spans="1:37" x14ac:dyDescent="0.25">
      <c r="A481" s="182"/>
      <c r="B481" s="6"/>
      <c r="C481" s="6"/>
      <c r="D481" s="15"/>
      <c r="E481" s="22"/>
      <c r="F481" s="22"/>
      <c r="G481" s="22"/>
      <c r="I481" s="5"/>
      <c r="J481" s="5"/>
      <c r="K481" s="22"/>
      <c r="L481" s="22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19"/>
      <c r="AH481" s="5"/>
      <c r="AI481" s="5"/>
      <c r="AJ481" s="5"/>
      <c r="AK481" s="5"/>
    </row>
    <row r="482" spans="1:37" x14ac:dyDescent="0.25">
      <c r="A482" s="182"/>
      <c r="B482" s="6"/>
      <c r="C482" s="6"/>
      <c r="D482" s="15"/>
      <c r="E482" s="22"/>
      <c r="F482" s="22"/>
      <c r="G482" s="22"/>
      <c r="I482" s="5"/>
      <c r="J482" s="5"/>
      <c r="K482" s="22"/>
      <c r="L482" s="22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19"/>
      <c r="AH482" s="5"/>
      <c r="AI482" s="5"/>
      <c r="AJ482" s="5"/>
      <c r="AK482" s="5"/>
    </row>
    <row r="483" spans="1:37" x14ac:dyDescent="0.25">
      <c r="A483" s="182"/>
      <c r="B483" s="6"/>
      <c r="C483" s="6"/>
      <c r="D483" s="15"/>
      <c r="E483" s="22"/>
      <c r="F483" s="22"/>
      <c r="G483" s="22"/>
      <c r="I483" s="5"/>
      <c r="J483" s="5"/>
      <c r="K483" s="22"/>
      <c r="L483" s="22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19"/>
      <c r="AH483" s="5"/>
      <c r="AI483" s="5"/>
      <c r="AJ483" s="5"/>
      <c r="AK483" s="5"/>
    </row>
    <row r="484" spans="1:37" x14ac:dyDescent="0.25">
      <c r="A484" s="182"/>
      <c r="B484" s="6"/>
      <c r="C484" s="6"/>
      <c r="D484" s="15"/>
      <c r="E484" s="22"/>
      <c r="F484" s="22"/>
      <c r="G484" s="22"/>
      <c r="I484" s="5"/>
      <c r="J484" s="5"/>
      <c r="K484" s="22"/>
      <c r="L484" s="22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19"/>
      <c r="AH484" s="5"/>
      <c r="AI484" s="5"/>
      <c r="AJ484" s="5"/>
      <c r="AK484" s="5"/>
    </row>
    <row r="485" spans="1:37" x14ac:dyDescent="0.25">
      <c r="A485" s="182"/>
      <c r="B485" s="6"/>
      <c r="C485" s="6"/>
      <c r="D485" s="15"/>
      <c r="E485" s="22"/>
      <c r="F485" s="22"/>
      <c r="G485" s="22"/>
      <c r="I485" s="5"/>
      <c r="J485" s="5"/>
      <c r="K485" s="22"/>
      <c r="L485" s="22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19"/>
      <c r="AH485" s="5"/>
      <c r="AI485" s="5"/>
      <c r="AJ485" s="5"/>
      <c r="AK485" s="5"/>
    </row>
    <row r="486" spans="1:37" x14ac:dyDescent="0.25">
      <c r="A486" s="182"/>
      <c r="B486" s="6"/>
      <c r="C486" s="6"/>
      <c r="D486" s="15"/>
      <c r="E486" s="22"/>
      <c r="F486" s="22"/>
      <c r="G486" s="22"/>
      <c r="I486" s="5"/>
      <c r="J486" s="5"/>
      <c r="K486" s="22"/>
      <c r="L486" s="22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19"/>
      <c r="AH486" s="5"/>
      <c r="AI486" s="5"/>
      <c r="AJ486" s="5"/>
      <c r="AK486" s="5"/>
    </row>
    <row r="487" spans="1:37" x14ac:dyDescent="0.25">
      <c r="A487" s="182"/>
      <c r="B487" s="6"/>
      <c r="C487" s="6"/>
      <c r="D487" s="15"/>
      <c r="E487" s="22"/>
      <c r="F487" s="22"/>
      <c r="G487" s="22"/>
      <c r="I487" s="5"/>
      <c r="J487" s="5"/>
      <c r="K487" s="22"/>
      <c r="L487" s="22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19"/>
      <c r="AH487" s="5"/>
      <c r="AI487" s="5"/>
      <c r="AJ487" s="5"/>
      <c r="AK487" s="5"/>
    </row>
    <row r="488" spans="1:37" x14ac:dyDescent="0.25">
      <c r="A488" s="182"/>
      <c r="B488" s="6"/>
      <c r="C488" s="6"/>
      <c r="D488" s="15"/>
      <c r="E488" s="22"/>
      <c r="F488" s="22"/>
      <c r="G488" s="22"/>
      <c r="I488" s="5"/>
      <c r="J488" s="5"/>
      <c r="K488" s="22"/>
      <c r="L488" s="22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19"/>
      <c r="AH488" s="5"/>
      <c r="AI488" s="5"/>
      <c r="AJ488" s="5"/>
      <c r="AK488" s="5"/>
    </row>
    <row r="489" spans="1:37" x14ac:dyDescent="0.25">
      <c r="A489" s="182"/>
      <c r="B489" s="6"/>
      <c r="C489" s="6"/>
      <c r="D489" s="15"/>
      <c r="E489" s="22"/>
      <c r="F489" s="22"/>
      <c r="G489" s="22"/>
      <c r="I489" s="5"/>
      <c r="J489" s="5"/>
      <c r="K489" s="22"/>
      <c r="L489" s="22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19"/>
      <c r="AH489" s="5"/>
      <c r="AI489" s="5"/>
      <c r="AJ489" s="5"/>
      <c r="AK489" s="5"/>
    </row>
    <row r="490" spans="1:37" x14ac:dyDescent="0.25">
      <c r="A490" s="182"/>
      <c r="B490" s="6"/>
      <c r="C490" s="6"/>
      <c r="D490" s="15"/>
      <c r="E490" s="22"/>
      <c r="F490" s="22"/>
      <c r="G490" s="22"/>
      <c r="I490" s="5"/>
      <c r="J490" s="5"/>
      <c r="K490" s="22"/>
      <c r="L490" s="22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19"/>
      <c r="AH490" s="5"/>
      <c r="AI490" s="5"/>
      <c r="AJ490" s="5"/>
      <c r="AK490" s="5"/>
    </row>
    <row r="491" spans="1:37" x14ac:dyDescent="0.25">
      <c r="A491" s="182"/>
      <c r="B491" s="6"/>
      <c r="C491" s="6"/>
      <c r="D491" s="15"/>
      <c r="E491" s="22"/>
      <c r="F491" s="22"/>
      <c r="G491" s="22"/>
      <c r="I491" s="5"/>
      <c r="J491" s="5"/>
      <c r="K491" s="22"/>
      <c r="L491" s="22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19"/>
      <c r="AH491" s="5"/>
      <c r="AI491" s="5"/>
      <c r="AJ491" s="5"/>
      <c r="AK491" s="5"/>
    </row>
    <row r="492" spans="1:37" x14ac:dyDescent="0.25">
      <c r="A492" s="182"/>
      <c r="B492" s="6"/>
      <c r="C492" s="6"/>
      <c r="D492" s="15"/>
      <c r="E492" s="22"/>
      <c r="F492" s="22"/>
      <c r="G492" s="22"/>
      <c r="I492" s="5"/>
      <c r="J492" s="5"/>
      <c r="K492" s="22"/>
      <c r="L492" s="22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19"/>
      <c r="AH492" s="5"/>
      <c r="AI492" s="5"/>
      <c r="AJ492" s="5"/>
      <c r="AK492" s="5"/>
    </row>
    <row r="493" spans="1:37" x14ac:dyDescent="0.25">
      <c r="A493" s="182"/>
      <c r="B493" s="6"/>
      <c r="C493" s="6"/>
      <c r="D493" s="15"/>
      <c r="E493" s="22"/>
      <c r="F493" s="22"/>
      <c r="G493" s="22"/>
      <c r="I493" s="5"/>
      <c r="J493" s="5"/>
      <c r="K493" s="22"/>
      <c r="L493" s="22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19"/>
      <c r="AH493" s="5"/>
      <c r="AI493" s="5"/>
      <c r="AJ493" s="5"/>
      <c r="AK493" s="5"/>
    </row>
    <row r="494" spans="1:37" x14ac:dyDescent="0.25">
      <c r="A494" s="182"/>
      <c r="B494" s="6"/>
      <c r="C494" s="6"/>
      <c r="D494" s="15"/>
      <c r="E494" s="22"/>
      <c r="F494" s="22"/>
      <c r="G494" s="22"/>
      <c r="I494" s="5"/>
      <c r="J494" s="5"/>
      <c r="K494" s="22"/>
      <c r="L494" s="22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19"/>
      <c r="AH494" s="5"/>
      <c r="AI494" s="5"/>
      <c r="AJ494" s="5"/>
      <c r="AK494" s="5"/>
    </row>
    <row r="495" spans="1:37" x14ac:dyDescent="0.25">
      <c r="A495" s="182"/>
      <c r="B495" s="6"/>
      <c r="C495" s="6"/>
      <c r="D495" s="15"/>
      <c r="E495" s="22"/>
      <c r="F495" s="22"/>
      <c r="G495" s="22"/>
      <c r="I495" s="5"/>
      <c r="J495" s="5"/>
      <c r="K495" s="22"/>
      <c r="L495" s="22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19"/>
      <c r="AH495" s="5"/>
      <c r="AI495" s="5"/>
      <c r="AJ495" s="5"/>
      <c r="AK495" s="5"/>
    </row>
    <row r="496" spans="1:37" x14ac:dyDescent="0.25">
      <c r="A496" s="182"/>
      <c r="B496" s="6"/>
      <c r="C496" s="6"/>
      <c r="D496" s="15"/>
      <c r="E496" s="22"/>
      <c r="F496" s="22"/>
      <c r="G496" s="22"/>
      <c r="I496" s="5"/>
      <c r="J496" s="5"/>
      <c r="K496" s="22"/>
      <c r="L496" s="22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19"/>
      <c r="AH496" s="5"/>
      <c r="AI496" s="5"/>
      <c r="AJ496" s="5"/>
      <c r="AK496" s="5"/>
    </row>
    <row r="497" spans="1:37" x14ac:dyDescent="0.25">
      <c r="A497" s="182"/>
      <c r="B497" s="6"/>
      <c r="C497" s="6"/>
      <c r="D497" s="15"/>
      <c r="E497" s="22"/>
      <c r="F497" s="22"/>
      <c r="G497" s="22"/>
      <c r="I497" s="5"/>
      <c r="J497" s="5"/>
      <c r="K497" s="22"/>
      <c r="L497" s="22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19"/>
      <c r="AH497" s="5"/>
      <c r="AI497" s="5"/>
      <c r="AJ497" s="5"/>
      <c r="AK497" s="5"/>
    </row>
    <row r="498" spans="1:37" x14ac:dyDescent="0.25">
      <c r="A498" s="182"/>
      <c r="B498" s="6"/>
      <c r="C498" s="6"/>
      <c r="D498" s="15"/>
      <c r="E498" s="22"/>
      <c r="F498" s="22"/>
      <c r="G498" s="22"/>
      <c r="I498" s="5"/>
      <c r="J498" s="5"/>
      <c r="K498" s="22"/>
      <c r="L498" s="22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19"/>
      <c r="AH498" s="5"/>
      <c r="AI498" s="5"/>
      <c r="AJ498" s="5"/>
      <c r="AK498" s="5"/>
    </row>
    <row r="499" spans="1:37" x14ac:dyDescent="0.25">
      <c r="A499" s="182"/>
      <c r="B499" s="6"/>
      <c r="C499" s="6"/>
      <c r="D499" s="15"/>
      <c r="E499" s="22"/>
      <c r="F499" s="22"/>
      <c r="G499" s="22"/>
      <c r="I499" s="5"/>
      <c r="J499" s="5"/>
      <c r="K499" s="22"/>
      <c r="L499" s="22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19"/>
      <c r="AH499" s="5"/>
      <c r="AI499" s="5"/>
      <c r="AJ499" s="5"/>
      <c r="AK499" s="5"/>
    </row>
    <row r="500" spans="1:37" x14ac:dyDescent="0.25">
      <c r="A500" s="182"/>
      <c r="B500" s="6"/>
      <c r="C500" s="6"/>
      <c r="D500" s="15"/>
      <c r="E500" s="22"/>
      <c r="F500" s="22"/>
      <c r="G500" s="22"/>
      <c r="I500" s="5"/>
      <c r="J500" s="5"/>
      <c r="K500" s="22"/>
      <c r="L500" s="22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19"/>
      <c r="AH500" s="5"/>
      <c r="AI500" s="5"/>
      <c r="AJ500" s="5"/>
      <c r="AK500" s="5"/>
    </row>
    <row r="501" spans="1:37" x14ac:dyDescent="0.25">
      <c r="A501" s="182"/>
      <c r="B501" s="6"/>
      <c r="C501" s="6"/>
      <c r="D501" s="15"/>
      <c r="E501" s="22"/>
      <c r="F501" s="22"/>
      <c r="G501" s="22"/>
      <c r="I501" s="5"/>
      <c r="J501" s="5"/>
      <c r="K501" s="22"/>
      <c r="L501" s="22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19"/>
      <c r="AH501" s="5"/>
      <c r="AI501" s="5"/>
      <c r="AJ501" s="5"/>
      <c r="AK501" s="5"/>
    </row>
    <row r="502" spans="1:37" x14ac:dyDescent="0.25">
      <c r="A502" s="182"/>
      <c r="B502" s="6"/>
      <c r="C502" s="6"/>
      <c r="D502" s="15"/>
      <c r="E502" s="22"/>
      <c r="F502" s="22"/>
      <c r="G502" s="22"/>
      <c r="I502" s="5"/>
      <c r="J502" s="5"/>
      <c r="K502" s="22"/>
      <c r="L502" s="22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19"/>
      <c r="AH502" s="5"/>
      <c r="AI502" s="5"/>
      <c r="AJ502" s="5"/>
      <c r="AK502" s="5"/>
    </row>
    <row r="503" spans="1:37" x14ac:dyDescent="0.25">
      <c r="A503" s="182"/>
      <c r="B503" s="6"/>
      <c r="C503" s="6"/>
      <c r="D503" s="15"/>
      <c r="E503" s="22"/>
      <c r="F503" s="22"/>
      <c r="G503" s="22"/>
      <c r="I503" s="5"/>
      <c r="J503" s="5"/>
      <c r="K503" s="22"/>
      <c r="L503" s="22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19"/>
      <c r="AH503" s="5"/>
      <c r="AI503" s="5"/>
      <c r="AJ503" s="5"/>
      <c r="AK503" s="5"/>
    </row>
    <row r="504" spans="1:37" x14ac:dyDescent="0.25">
      <c r="A504" s="182"/>
      <c r="B504" s="6"/>
      <c r="C504" s="6"/>
      <c r="D504" s="15"/>
      <c r="E504" s="22"/>
      <c r="F504" s="22"/>
      <c r="G504" s="22"/>
      <c r="I504" s="5"/>
      <c r="J504" s="5"/>
      <c r="K504" s="22"/>
      <c r="L504" s="22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19"/>
      <c r="AH504" s="5"/>
      <c r="AI504" s="5"/>
      <c r="AJ504" s="5"/>
      <c r="AK504" s="5"/>
    </row>
    <row r="505" spans="1:37" x14ac:dyDescent="0.25">
      <c r="A505" s="182"/>
      <c r="B505" s="6"/>
      <c r="C505" s="6"/>
      <c r="D505" s="15"/>
      <c r="E505" s="22"/>
      <c r="F505" s="22"/>
      <c r="G505" s="22"/>
      <c r="I505" s="5"/>
      <c r="J505" s="5"/>
      <c r="K505" s="22"/>
      <c r="L505" s="22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19"/>
      <c r="AH505" s="5"/>
      <c r="AI505" s="5"/>
      <c r="AJ505" s="5"/>
      <c r="AK505" s="5"/>
    </row>
    <row r="506" spans="1:37" x14ac:dyDescent="0.25">
      <c r="A506" s="182"/>
      <c r="B506" s="6"/>
      <c r="C506" s="6"/>
      <c r="D506" s="15"/>
      <c r="E506" s="22"/>
      <c r="F506" s="22"/>
      <c r="G506" s="22"/>
      <c r="I506" s="5"/>
      <c r="J506" s="5"/>
      <c r="K506" s="22"/>
      <c r="L506" s="22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19"/>
      <c r="AH506" s="5"/>
      <c r="AI506" s="5"/>
      <c r="AJ506" s="5"/>
      <c r="AK506" s="5"/>
    </row>
    <row r="507" spans="1:37" x14ac:dyDescent="0.25">
      <c r="A507" s="182"/>
      <c r="B507" s="6"/>
      <c r="C507" s="6"/>
      <c r="D507" s="15"/>
      <c r="E507" s="22"/>
      <c r="F507" s="22"/>
      <c r="G507" s="22"/>
      <c r="I507" s="5"/>
      <c r="J507" s="5"/>
      <c r="K507" s="22"/>
      <c r="L507" s="22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19"/>
      <c r="AH507" s="5"/>
      <c r="AI507" s="5"/>
      <c r="AJ507" s="5"/>
      <c r="AK507" s="5"/>
    </row>
    <row r="508" spans="1:37" x14ac:dyDescent="0.25">
      <c r="A508" s="182"/>
      <c r="B508" s="6"/>
      <c r="C508" s="6"/>
      <c r="D508" s="15"/>
      <c r="E508" s="22"/>
      <c r="F508" s="22"/>
      <c r="G508" s="22"/>
      <c r="I508" s="5"/>
      <c r="J508" s="5"/>
      <c r="K508" s="22"/>
      <c r="L508" s="22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19"/>
      <c r="AH508" s="5"/>
      <c r="AI508" s="5"/>
      <c r="AJ508" s="5"/>
      <c r="AK508" s="5"/>
    </row>
    <row r="509" spans="1:37" x14ac:dyDescent="0.25">
      <c r="A509" s="182"/>
      <c r="B509" s="6"/>
      <c r="C509" s="6"/>
      <c r="D509" s="15"/>
      <c r="E509" s="22"/>
      <c r="F509" s="22"/>
      <c r="G509" s="22"/>
      <c r="I509" s="5"/>
      <c r="J509" s="5"/>
      <c r="K509" s="22"/>
      <c r="L509" s="22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19"/>
      <c r="AH509" s="5"/>
      <c r="AI509" s="5"/>
      <c r="AJ509" s="5"/>
      <c r="AK509" s="5"/>
    </row>
    <row r="510" spans="1:37" x14ac:dyDescent="0.25">
      <c r="A510" s="182"/>
      <c r="B510" s="6"/>
      <c r="C510" s="6"/>
      <c r="D510" s="15"/>
      <c r="E510" s="22"/>
      <c r="F510" s="22"/>
      <c r="G510" s="22"/>
      <c r="I510" s="5"/>
      <c r="J510" s="5"/>
      <c r="K510" s="22"/>
      <c r="L510" s="22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19"/>
      <c r="AH510" s="5"/>
      <c r="AI510" s="5"/>
      <c r="AJ510" s="5"/>
      <c r="AK510" s="5"/>
    </row>
    <row r="511" spans="1:37" x14ac:dyDescent="0.25">
      <c r="A511" s="182"/>
      <c r="B511" s="6"/>
      <c r="C511" s="6"/>
      <c r="D511" s="15"/>
      <c r="E511" s="22"/>
      <c r="F511" s="22"/>
      <c r="G511" s="22"/>
      <c r="I511" s="5"/>
      <c r="J511" s="5"/>
      <c r="K511" s="22"/>
      <c r="L511" s="22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19"/>
      <c r="AH511" s="5"/>
      <c r="AI511" s="5"/>
      <c r="AJ511" s="5"/>
      <c r="AK511" s="5"/>
    </row>
    <row r="512" spans="1:37" x14ac:dyDescent="0.25">
      <c r="A512" s="182"/>
      <c r="B512" s="6"/>
      <c r="C512" s="6"/>
      <c r="D512" s="15"/>
      <c r="E512" s="22"/>
      <c r="F512" s="22"/>
      <c r="G512" s="22"/>
      <c r="I512" s="5"/>
      <c r="J512" s="5"/>
      <c r="K512" s="22"/>
      <c r="L512" s="22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19"/>
      <c r="AH512" s="5"/>
      <c r="AI512" s="5"/>
      <c r="AJ512" s="5"/>
      <c r="AK512" s="5"/>
    </row>
    <row r="513" spans="1:37" x14ac:dyDescent="0.25">
      <c r="A513" s="182"/>
      <c r="B513" s="6"/>
      <c r="C513" s="6"/>
      <c r="D513" s="15"/>
      <c r="E513" s="22"/>
      <c r="F513" s="22"/>
      <c r="G513" s="22"/>
      <c r="I513" s="5"/>
      <c r="J513" s="5"/>
      <c r="K513" s="22"/>
      <c r="L513" s="22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19"/>
      <c r="AH513" s="5"/>
      <c r="AI513" s="5"/>
      <c r="AJ513" s="5"/>
      <c r="AK513" s="5"/>
    </row>
    <row r="514" spans="1:37" x14ac:dyDescent="0.25">
      <c r="A514" s="182"/>
      <c r="B514" s="6"/>
      <c r="C514" s="6"/>
      <c r="D514" s="15"/>
      <c r="E514" s="22"/>
      <c r="F514" s="22"/>
      <c r="G514" s="22"/>
      <c r="I514" s="5"/>
      <c r="J514" s="5"/>
      <c r="K514" s="22"/>
      <c r="L514" s="22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19"/>
      <c r="AH514" s="5"/>
      <c r="AI514" s="5"/>
      <c r="AJ514" s="5"/>
      <c r="AK514" s="5"/>
    </row>
    <row r="515" spans="1:37" x14ac:dyDescent="0.25">
      <c r="A515" s="182"/>
      <c r="B515" s="6"/>
      <c r="C515" s="6"/>
      <c r="D515" s="15"/>
      <c r="E515" s="22"/>
      <c r="F515" s="22"/>
      <c r="G515" s="22"/>
      <c r="I515" s="5"/>
      <c r="J515" s="5"/>
      <c r="K515" s="22"/>
      <c r="L515" s="22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19"/>
      <c r="AH515" s="5"/>
      <c r="AI515" s="5"/>
      <c r="AJ515" s="5"/>
      <c r="AK515" s="5"/>
    </row>
    <row r="516" spans="1:37" x14ac:dyDescent="0.25">
      <c r="A516" s="182"/>
      <c r="B516" s="6"/>
      <c r="C516" s="6"/>
      <c r="D516" s="15"/>
      <c r="E516" s="22"/>
      <c r="F516" s="22"/>
      <c r="G516" s="22"/>
      <c r="I516" s="5"/>
      <c r="J516" s="5"/>
      <c r="K516" s="22"/>
      <c r="L516" s="22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19"/>
      <c r="AH516" s="5"/>
      <c r="AI516" s="5"/>
      <c r="AJ516" s="5"/>
      <c r="AK516" s="5"/>
    </row>
    <row r="517" spans="1:37" x14ac:dyDescent="0.25">
      <c r="A517" s="182"/>
      <c r="B517" s="6"/>
      <c r="C517" s="6"/>
      <c r="D517" s="15"/>
      <c r="E517" s="22"/>
      <c r="F517" s="22"/>
      <c r="G517" s="22"/>
      <c r="I517" s="5"/>
      <c r="J517" s="5"/>
      <c r="K517" s="22"/>
      <c r="L517" s="22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19"/>
      <c r="AH517" s="5"/>
      <c r="AI517" s="5"/>
      <c r="AJ517" s="5"/>
      <c r="AK517" s="5"/>
    </row>
    <row r="518" spans="1:37" x14ac:dyDescent="0.25">
      <c r="A518" s="182"/>
      <c r="B518" s="6"/>
      <c r="C518" s="6"/>
      <c r="D518" s="15"/>
      <c r="E518" s="22"/>
      <c r="F518" s="22"/>
      <c r="G518" s="22"/>
      <c r="I518" s="5"/>
      <c r="J518" s="5"/>
      <c r="K518" s="22"/>
      <c r="L518" s="22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19"/>
      <c r="AH518" s="5"/>
      <c r="AI518" s="5"/>
      <c r="AJ518" s="5"/>
      <c r="AK518" s="5"/>
    </row>
    <row r="519" spans="1:37" x14ac:dyDescent="0.25">
      <c r="A519" s="182"/>
      <c r="B519" s="6"/>
      <c r="C519" s="6"/>
      <c r="D519" s="15"/>
      <c r="E519" s="22"/>
      <c r="F519" s="22"/>
      <c r="G519" s="22"/>
      <c r="I519" s="5"/>
      <c r="J519" s="5"/>
      <c r="K519" s="22"/>
      <c r="L519" s="22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19"/>
      <c r="AH519" s="5"/>
      <c r="AI519" s="5"/>
      <c r="AJ519" s="5"/>
      <c r="AK519" s="5"/>
    </row>
    <row r="520" spans="1:37" x14ac:dyDescent="0.25">
      <c r="A520" s="182"/>
      <c r="B520" s="6"/>
      <c r="C520" s="6"/>
      <c r="D520" s="15"/>
      <c r="E520" s="22"/>
      <c r="F520" s="22"/>
      <c r="G520" s="22"/>
      <c r="I520" s="5"/>
      <c r="J520" s="5"/>
      <c r="K520" s="22"/>
      <c r="L520" s="22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19"/>
      <c r="AH520" s="5"/>
      <c r="AI520" s="5"/>
      <c r="AJ520" s="5"/>
      <c r="AK520" s="5"/>
    </row>
    <row r="521" spans="1:37" x14ac:dyDescent="0.25">
      <c r="A521" s="182"/>
      <c r="B521" s="6"/>
      <c r="C521" s="6"/>
      <c r="D521" s="15"/>
      <c r="E521" s="22"/>
      <c r="F521" s="22"/>
      <c r="G521" s="22"/>
      <c r="I521" s="5"/>
      <c r="J521" s="5"/>
      <c r="K521" s="22"/>
      <c r="L521" s="22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19"/>
      <c r="AH521" s="5"/>
      <c r="AI521" s="5"/>
      <c r="AJ521" s="5"/>
      <c r="AK521" s="5"/>
    </row>
    <row r="522" spans="1:37" x14ac:dyDescent="0.25">
      <c r="A522" s="182"/>
      <c r="B522" s="6"/>
      <c r="C522" s="6"/>
      <c r="D522" s="15"/>
      <c r="E522" s="22"/>
      <c r="F522" s="22"/>
      <c r="G522" s="22"/>
      <c r="I522" s="5"/>
      <c r="J522" s="5"/>
      <c r="K522" s="22"/>
      <c r="L522" s="22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19"/>
      <c r="AH522" s="5"/>
      <c r="AI522" s="5"/>
      <c r="AJ522" s="5"/>
      <c r="AK522" s="5"/>
    </row>
    <row r="523" spans="1:37" x14ac:dyDescent="0.25">
      <c r="A523" s="182"/>
      <c r="B523" s="6"/>
      <c r="C523" s="6"/>
      <c r="D523" s="15"/>
      <c r="E523" s="22"/>
      <c r="F523" s="22"/>
      <c r="G523" s="22"/>
      <c r="I523" s="5"/>
      <c r="J523" s="5"/>
      <c r="K523" s="22"/>
      <c r="L523" s="22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19"/>
      <c r="AH523" s="5"/>
      <c r="AI523" s="5"/>
      <c r="AJ523" s="5"/>
      <c r="AK523" s="5"/>
    </row>
    <row r="524" spans="1:37" x14ac:dyDescent="0.25">
      <c r="A524" s="182"/>
      <c r="B524" s="6"/>
      <c r="C524" s="6"/>
      <c r="D524" s="15"/>
      <c r="E524" s="22"/>
      <c r="F524" s="22"/>
      <c r="G524" s="22"/>
      <c r="I524" s="5"/>
      <c r="J524" s="5"/>
      <c r="K524" s="22"/>
      <c r="L524" s="22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19"/>
      <c r="AH524" s="5"/>
      <c r="AI524" s="5"/>
      <c r="AJ524" s="5"/>
      <c r="AK524" s="5"/>
    </row>
    <row r="525" spans="1:37" x14ac:dyDescent="0.25">
      <c r="A525" s="182"/>
      <c r="B525" s="6"/>
      <c r="C525" s="6"/>
      <c r="D525" s="15"/>
      <c r="E525" s="22"/>
      <c r="F525" s="22"/>
      <c r="G525" s="22"/>
      <c r="I525" s="5"/>
      <c r="J525" s="5"/>
      <c r="K525" s="22"/>
      <c r="L525" s="22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19"/>
      <c r="AH525" s="5"/>
      <c r="AI525" s="5"/>
      <c r="AJ525" s="5"/>
      <c r="AK525" s="5"/>
    </row>
    <row r="526" spans="1:37" x14ac:dyDescent="0.25">
      <c r="A526" s="182"/>
      <c r="B526" s="6"/>
      <c r="C526" s="6"/>
      <c r="D526" s="15"/>
      <c r="E526" s="22"/>
      <c r="F526" s="22"/>
      <c r="G526" s="22"/>
      <c r="I526" s="5"/>
      <c r="J526" s="5"/>
      <c r="K526" s="22"/>
      <c r="L526" s="22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19"/>
      <c r="AH526" s="5"/>
      <c r="AI526" s="5"/>
      <c r="AJ526" s="5"/>
      <c r="AK526" s="5"/>
    </row>
    <row r="527" spans="1:37" x14ac:dyDescent="0.25">
      <c r="A527" s="182"/>
      <c r="B527" s="6"/>
      <c r="C527" s="6"/>
      <c r="D527" s="15"/>
      <c r="E527" s="22"/>
      <c r="F527" s="22"/>
      <c r="G527" s="22"/>
      <c r="I527" s="5"/>
      <c r="J527" s="5"/>
      <c r="K527" s="22"/>
      <c r="L527" s="22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19"/>
      <c r="AH527" s="5"/>
      <c r="AI527" s="5"/>
      <c r="AJ527" s="5"/>
      <c r="AK527" s="5"/>
    </row>
    <row r="528" spans="1:37" x14ac:dyDescent="0.25">
      <c r="A528" s="182"/>
      <c r="B528" s="6"/>
      <c r="C528" s="6"/>
      <c r="D528" s="15"/>
      <c r="E528" s="22"/>
      <c r="F528" s="22"/>
      <c r="G528" s="22"/>
      <c r="I528" s="5"/>
      <c r="J528" s="5"/>
      <c r="K528" s="22"/>
      <c r="L528" s="22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19"/>
      <c r="AH528" s="5"/>
      <c r="AI528" s="5"/>
      <c r="AJ528" s="5"/>
      <c r="AK528" s="5"/>
    </row>
    <row r="529" spans="1:37" x14ac:dyDescent="0.25">
      <c r="A529" s="182"/>
      <c r="B529" s="6"/>
      <c r="C529" s="6"/>
      <c r="D529" s="15"/>
      <c r="E529" s="22"/>
      <c r="F529" s="22"/>
      <c r="G529" s="22"/>
      <c r="I529" s="5"/>
      <c r="J529" s="5"/>
      <c r="K529" s="22"/>
      <c r="L529" s="22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19"/>
      <c r="AH529" s="5"/>
      <c r="AI529" s="5"/>
      <c r="AJ529" s="5"/>
      <c r="AK529" s="5"/>
    </row>
    <row r="530" spans="1:37" x14ac:dyDescent="0.25">
      <c r="A530" s="182"/>
      <c r="B530" s="6"/>
      <c r="C530" s="6"/>
      <c r="D530" s="15"/>
      <c r="E530" s="22"/>
      <c r="F530" s="22"/>
      <c r="G530" s="22"/>
      <c r="I530" s="5"/>
      <c r="J530" s="5"/>
      <c r="K530" s="22"/>
      <c r="L530" s="22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19"/>
      <c r="AH530" s="5"/>
      <c r="AI530" s="5"/>
      <c r="AJ530" s="5"/>
      <c r="AK530" s="5"/>
    </row>
    <row r="531" spans="1:37" x14ac:dyDescent="0.25">
      <c r="A531" s="182"/>
      <c r="B531" s="6"/>
      <c r="C531" s="6"/>
      <c r="D531" s="15"/>
      <c r="E531" s="22"/>
      <c r="F531" s="22"/>
      <c r="G531" s="22"/>
      <c r="I531" s="5"/>
      <c r="J531" s="5"/>
      <c r="K531" s="22"/>
      <c r="L531" s="22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19"/>
      <c r="AH531" s="5"/>
      <c r="AI531" s="5"/>
      <c r="AJ531" s="5"/>
      <c r="AK531" s="5"/>
    </row>
    <row r="532" spans="1:37" x14ac:dyDescent="0.25">
      <c r="A532" s="182"/>
      <c r="B532" s="6"/>
      <c r="C532" s="6"/>
      <c r="D532" s="15"/>
      <c r="E532" s="22"/>
      <c r="F532" s="22"/>
      <c r="G532" s="22"/>
      <c r="I532" s="5"/>
      <c r="J532" s="5"/>
      <c r="K532" s="22"/>
      <c r="L532" s="22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19"/>
      <c r="AH532" s="5"/>
      <c r="AI532" s="5"/>
      <c r="AJ532" s="5"/>
      <c r="AK532" s="5"/>
    </row>
    <row r="533" spans="1:37" x14ac:dyDescent="0.25">
      <c r="A533" s="182"/>
      <c r="B533" s="6"/>
      <c r="C533" s="6"/>
      <c r="D533" s="15"/>
      <c r="E533" s="22"/>
      <c r="F533" s="22"/>
      <c r="G533" s="22"/>
      <c r="I533" s="5"/>
      <c r="J533" s="5"/>
      <c r="K533" s="22"/>
      <c r="L533" s="22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19"/>
      <c r="AH533" s="5"/>
      <c r="AI533" s="5"/>
      <c r="AJ533" s="5"/>
      <c r="AK533" s="5"/>
    </row>
    <row r="534" spans="1:37" x14ac:dyDescent="0.25">
      <c r="A534" s="182"/>
      <c r="B534" s="6"/>
      <c r="C534" s="6"/>
      <c r="D534" s="15"/>
      <c r="E534" s="22"/>
      <c r="F534" s="22"/>
      <c r="G534" s="22"/>
      <c r="I534" s="5"/>
      <c r="J534" s="5"/>
      <c r="K534" s="22"/>
      <c r="L534" s="22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19"/>
      <c r="AH534" s="5"/>
      <c r="AI534" s="5"/>
      <c r="AJ534" s="5"/>
      <c r="AK534" s="5"/>
    </row>
    <row r="535" spans="1:37" x14ac:dyDescent="0.25">
      <c r="A535" s="182"/>
      <c r="B535" s="6"/>
      <c r="C535" s="6"/>
      <c r="D535" s="15"/>
      <c r="E535" s="22"/>
      <c r="F535" s="22"/>
      <c r="G535" s="22"/>
      <c r="I535" s="5"/>
      <c r="J535" s="5"/>
      <c r="K535" s="22"/>
      <c r="L535" s="22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19"/>
      <c r="AH535" s="5"/>
      <c r="AI535" s="5"/>
      <c r="AJ535" s="5"/>
      <c r="AK535" s="5"/>
    </row>
    <row r="536" spans="1:37" x14ac:dyDescent="0.25">
      <c r="A536" s="182"/>
      <c r="B536" s="6"/>
      <c r="C536" s="6"/>
      <c r="D536" s="15"/>
      <c r="E536" s="22"/>
      <c r="F536" s="22"/>
      <c r="G536" s="22"/>
      <c r="I536" s="5"/>
      <c r="J536" s="5"/>
      <c r="K536" s="22"/>
      <c r="L536" s="22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19"/>
      <c r="AH536" s="5"/>
      <c r="AI536" s="5"/>
      <c r="AJ536" s="5"/>
      <c r="AK536" s="5"/>
    </row>
    <row r="537" spans="1:37" x14ac:dyDescent="0.25">
      <c r="A537" s="182"/>
      <c r="B537" s="6"/>
      <c r="C537" s="6"/>
      <c r="D537" s="15"/>
      <c r="E537" s="22"/>
      <c r="F537" s="22"/>
      <c r="G537" s="22"/>
      <c r="I537" s="5"/>
      <c r="J537" s="5"/>
      <c r="K537" s="22"/>
      <c r="L537" s="22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19"/>
      <c r="AH537" s="5"/>
      <c r="AI537" s="5"/>
      <c r="AJ537" s="5"/>
      <c r="AK537" s="5"/>
    </row>
    <row r="538" spans="1:37" x14ac:dyDescent="0.25">
      <c r="A538" s="182"/>
      <c r="B538" s="6"/>
      <c r="C538" s="6"/>
      <c r="D538" s="15"/>
      <c r="E538" s="22"/>
      <c r="F538" s="22"/>
      <c r="G538" s="22"/>
      <c r="I538" s="5"/>
      <c r="J538" s="5"/>
      <c r="K538" s="22"/>
      <c r="L538" s="22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19"/>
      <c r="AH538" s="5"/>
      <c r="AI538" s="5"/>
      <c r="AJ538" s="5"/>
      <c r="AK538" s="5"/>
    </row>
    <row r="539" spans="1:37" x14ac:dyDescent="0.25">
      <c r="A539" s="182"/>
      <c r="B539" s="6"/>
      <c r="C539" s="6"/>
      <c r="D539" s="15"/>
      <c r="E539" s="22"/>
      <c r="F539" s="22"/>
      <c r="G539" s="22"/>
      <c r="I539" s="5"/>
      <c r="J539" s="5"/>
      <c r="K539" s="22"/>
      <c r="L539" s="22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19"/>
      <c r="AH539" s="5"/>
      <c r="AI539" s="5"/>
      <c r="AJ539" s="5"/>
      <c r="AK539" s="5"/>
    </row>
    <row r="540" spans="1:37" x14ac:dyDescent="0.25">
      <c r="A540" s="182"/>
      <c r="B540" s="6"/>
      <c r="C540" s="6"/>
      <c r="D540" s="15"/>
      <c r="E540" s="22"/>
      <c r="F540" s="22"/>
      <c r="G540" s="22"/>
      <c r="I540" s="5"/>
      <c r="J540" s="5"/>
      <c r="K540" s="22"/>
      <c r="L540" s="22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19"/>
      <c r="AH540" s="5"/>
      <c r="AI540" s="5"/>
      <c r="AJ540" s="5"/>
      <c r="AK540" s="5"/>
    </row>
    <row r="541" spans="1:37" x14ac:dyDescent="0.25">
      <c r="A541" s="182"/>
      <c r="B541" s="6"/>
      <c r="C541" s="6"/>
      <c r="D541" s="15"/>
      <c r="E541" s="22"/>
      <c r="F541" s="22"/>
      <c r="G541" s="22"/>
      <c r="I541" s="5"/>
      <c r="J541" s="5"/>
      <c r="K541" s="22"/>
      <c r="L541" s="22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19"/>
      <c r="AH541" s="5"/>
      <c r="AI541" s="5"/>
      <c r="AJ541" s="5"/>
      <c r="AK541" s="5"/>
    </row>
    <row r="542" spans="1:37" x14ac:dyDescent="0.25">
      <c r="A542" s="182"/>
      <c r="B542" s="6"/>
      <c r="C542" s="6"/>
      <c r="D542" s="15"/>
      <c r="E542" s="22"/>
      <c r="F542" s="22"/>
      <c r="G542" s="22"/>
      <c r="I542" s="5"/>
      <c r="J542" s="5"/>
      <c r="K542" s="22"/>
      <c r="L542" s="22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19"/>
      <c r="AH542" s="5"/>
      <c r="AI542" s="5"/>
      <c r="AJ542" s="5"/>
      <c r="AK542" s="5"/>
    </row>
    <row r="543" spans="1:37" x14ac:dyDescent="0.25">
      <c r="A543" s="182"/>
      <c r="B543" s="6"/>
      <c r="C543" s="6"/>
      <c r="D543" s="15"/>
      <c r="E543" s="22"/>
      <c r="F543" s="22"/>
      <c r="G543" s="22"/>
      <c r="I543" s="5"/>
      <c r="J543" s="5"/>
      <c r="K543" s="22"/>
      <c r="L543" s="22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19"/>
      <c r="AH543" s="5"/>
      <c r="AI543" s="5"/>
      <c r="AJ543" s="5"/>
      <c r="AK543" s="5"/>
    </row>
    <row r="544" spans="1:37" x14ac:dyDescent="0.25">
      <c r="A544" s="182"/>
      <c r="B544" s="6"/>
      <c r="C544" s="6"/>
      <c r="D544" s="15"/>
      <c r="E544" s="22"/>
      <c r="F544" s="22"/>
      <c r="G544" s="22"/>
      <c r="I544" s="5"/>
      <c r="J544" s="5"/>
      <c r="K544" s="22"/>
      <c r="L544" s="22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19"/>
      <c r="AH544" s="5"/>
      <c r="AI544" s="5"/>
      <c r="AJ544" s="5"/>
      <c r="AK544" s="5"/>
    </row>
    <row r="545" spans="1:37" x14ac:dyDescent="0.25">
      <c r="A545" s="182"/>
      <c r="B545" s="6"/>
      <c r="C545" s="6"/>
      <c r="D545" s="15"/>
      <c r="E545" s="22"/>
      <c r="F545" s="22"/>
      <c r="G545" s="22"/>
      <c r="I545" s="5"/>
      <c r="J545" s="5"/>
      <c r="K545" s="22"/>
      <c r="L545" s="22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19"/>
      <c r="AH545" s="5"/>
      <c r="AI545" s="5"/>
      <c r="AJ545" s="5"/>
      <c r="AK545" s="5"/>
    </row>
    <row r="546" spans="1:37" x14ac:dyDescent="0.25">
      <c r="A546" s="182"/>
      <c r="B546" s="6"/>
      <c r="C546" s="6"/>
      <c r="D546" s="15"/>
      <c r="E546" s="22"/>
      <c r="F546" s="22"/>
      <c r="G546" s="22"/>
      <c r="I546" s="5"/>
      <c r="J546" s="5"/>
      <c r="K546" s="22"/>
      <c r="L546" s="22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19"/>
      <c r="AH546" s="5"/>
      <c r="AI546" s="5"/>
      <c r="AJ546" s="5"/>
      <c r="AK546" s="5"/>
    </row>
    <row r="547" spans="1:37" x14ac:dyDescent="0.25">
      <c r="A547" s="182"/>
      <c r="B547" s="6"/>
      <c r="C547" s="6"/>
      <c r="D547" s="15"/>
      <c r="E547" s="22"/>
      <c r="F547" s="22"/>
      <c r="G547" s="22"/>
      <c r="I547" s="5"/>
      <c r="J547" s="5"/>
      <c r="K547" s="22"/>
      <c r="L547" s="22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19"/>
      <c r="AH547" s="5"/>
      <c r="AI547" s="5"/>
      <c r="AJ547" s="5"/>
      <c r="AK547" s="5"/>
    </row>
    <row r="548" spans="1:37" x14ac:dyDescent="0.25">
      <c r="A548" s="182"/>
      <c r="B548" s="6"/>
      <c r="C548" s="6"/>
      <c r="D548" s="15"/>
      <c r="E548" s="22"/>
      <c r="F548" s="22"/>
      <c r="G548" s="22"/>
      <c r="I548" s="5"/>
      <c r="J548" s="5"/>
      <c r="K548" s="22"/>
      <c r="L548" s="22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19"/>
      <c r="AH548" s="5"/>
      <c r="AI548" s="5"/>
      <c r="AJ548" s="5"/>
      <c r="AK548" s="5"/>
    </row>
    <row r="549" spans="1:37" x14ac:dyDescent="0.25">
      <c r="A549" s="182"/>
      <c r="B549" s="6"/>
      <c r="C549" s="6"/>
      <c r="D549" s="15"/>
      <c r="E549" s="22"/>
      <c r="F549" s="22"/>
      <c r="G549" s="22"/>
      <c r="I549" s="5"/>
      <c r="J549" s="5"/>
      <c r="K549" s="22"/>
      <c r="L549" s="22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19"/>
      <c r="AH549" s="5"/>
      <c r="AI549" s="5"/>
      <c r="AJ549" s="5"/>
      <c r="AK549" s="5"/>
    </row>
    <row r="550" spans="1:37" x14ac:dyDescent="0.25">
      <c r="A550" s="182"/>
      <c r="B550" s="6"/>
      <c r="C550" s="6"/>
      <c r="D550" s="15"/>
      <c r="E550" s="22"/>
      <c r="F550" s="22"/>
      <c r="G550" s="22"/>
      <c r="I550" s="5"/>
      <c r="J550" s="5"/>
      <c r="K550" s="22"/>
      <c r="L550" s="22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19"/>
      <c r="AH550" s="5"/>
      <c r="AI550" s="5"/>
      <c r="AJ550" s="5"/>
      <c r="AK550" s="5"/>
    </row>
    <row r="551" spans="1:37" x14ac:dyDescent="0.25">
      <c r="A551" s="182"/>
      <c r="B551" s="6"/>
      <c r="C551" s="6"/>
      <c r="D551" s="15"/>
      <c r="E551" s="22"/>
      <c r="F551" s="22"/>
      <c r="G551" s="22"/>
      <c r="I551" s="5"/>
      <c r="J551" s="5"/>
      <c r="K551" s="22"/>
      <c r="L551" s="22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19"/>
      <c r="AH551" s="5"/>
      <c r="AI551" s="5"/>
      <c r="AJ551" s="5"/>
      <c r="AK551" s="5"/>
    </row>
    <row r="552" spans="1:37" x14ac:dyDescent="0.25">
      <c r="A552" s="182"/>
      <c r="B552" s="6"/>
      <c r="C552" s="6"/>
      <c r="D552" s="15"/>
      <c r="E552" s="22"/>
      <c r="F552" s="22"/>
      <c r="G552" s="22"/>
      <c r="I552" s="5"/>
      <c r="J552" s="5"/>
      <c r="K552" s="22"/>
      <c r="L552" s="22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19"/>
      <c r="AH552" s="5"/>
      <c r="AI552" s="5"/>
      <c r="AJ552" s="5"/>
      <c r="AK552" s="5"/>
    </row>
    <row r="553" spans="1:37" x14ac:dyDescent="0.25">
      <c r="A553" s="182"/>
      <c r="B553" s="6"/>
      <c r="C553" s="6"/>
      <c r="D553" s="15"/>
      <c r="E553" s="22"/>
      <c r="F553" s="22"/>
      <c r="G553" s="22"/>
      <c r="I553" s="5"/>
      <c r="J553" s="5"/>
      <c r="K553" s="22"/>
      <c r="L553" s="22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19"/>
      <c r="AH553" s="5"/>
      <c r="AI553" s="5"/>
      <c r="AJ553" s="5"/>
      <c r="AK553" s="5"/>
    </row>
    <row r="554" spans="1:37" x14ac:dyDescent="0.25">
      <c r="A554" s="182"/>
      <c r="B554" s="6"/>
      <c r="C554" s="6"/>
      <c r="D554" s="15"/>
      <c r="E554" s="22"/>
      <c r="F554" s="22"/>
      <c r="G554" s="22"/>
      <c r="I554" s="5"/>
      <c r="J554" s="5"/>
      <c r="K554" s="22"/>
      <c r="L554" s="22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19"/>
      <c r="AH554" s="5"/>
      <c r="AI554" s="5"/>
      <c r="AJ554" s="5"/>
      <c r="AK554" s="5"/>
    </row>
    <row r="555" spans="1:37" x14ac:dyDescent="0.25">
      <c r="A555" s="182"/>
      <c r="B555" s="6"/>
      <c r="C555" s="6"/>
      <c r="D555" s="15"/>
      <c r="E555" s="22"/>
      <c r="F555" s="22"/>
      <c r="G555" s="22"/>
      <c r="I555" s="5"/>
      <c r="J555" s="5"/>
      <c r="K555" s="22"/>
      <c r="L555" s="22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19"/>
      <c r="AH555" s="5"/>
      <c r="AI555" s="5"/>
      <c r="AJ555" s="5"/>
      <c r="AK555" s="5"/>
    </row>
    <row r="556" spans="1:37" x14ac:dyDescent="0.25">
      <c r="A556" s="182"/>
      <c r="B556" s="6"/>
      <c r="C556" s="6"/>
      <c r="D556" s="15"/>
      <c r="E556" s="22"/>
      <c r="F556" s="22"/>
      <c r="G556" s="22"/>
      <c r="I556" s="5"/>
      <c r="J556" s="5"/>
      <c r="K556" s="22"/>
      <c r="L556" s="22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19"/>
      <c r="AH556" s="5"/>
      <c r="AI556" s="5"/>
      <c r="AJ556" s="5"/>
      <c r="AK556" s="5"/>
    </row>
    <row r="557" spans="1:37" x14ac:dyDescent="0.25">
      <c r="A557" s="182"/>
      <c r="B557" s="6"/>
      <c r="C557" s="6"/>
      <c r="D557" s="15"/>
      <c r="E557" s="22"/>
      <c r="F557" s="22"/>
      <c r="G557" s="22"/>
      <c r="I557" s="5"/>
      <c r="J557" s="5"/>
      <c r="K557" s="22"/>
      <c r="L557" s="22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19"/>
      <c r="AH557" s="5"/>
      <c r="AI557" s="5"/>
      <c r="AJ557" s="5"/>
      <c r="AK557" s="5"/>
    </row>
    <row r="558" spans="1:37" x14ac:dyDescent="0.25">
      <c r="A558" s="182"/>
      <c r="B558" s="6"/>
      <c r="C558" s="6"/>
      <c r="D558" s="15"/>
      <c r="E558" s="22"/>
      <c r="F558" s="22"/>
      <c r="G558" s="22"/>
      <c r="I558" s="5"/>
      <c r="J558" s="5"/>
      <c r="K558" s="22"/>
      <c r="L558" s="22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19"/>
      <c r="AH558" s="5"/>
      <c r="AI558" s="5"/>
      <c r="AJ558" s="5"/>
      <c r="AK558" s="5"/>
    </row>
    <row r="559" spans="1:37" x14ac:dyDescent="0.25">
      <c r="A559" s="182"/>
      <c r="B559" s="6"/>
      <c r="C559" s="6"/>
      <c r="D559" s="15"/>
      <c r="E559" s="22"/>
      <c r="F559" s="22"/>
      <c r="G559" s="22"/>
      <c r="I559" s="5"/>
      <c r="J559" s="5"/>
      <c r="K559" s="22"/>
      <c r="L559" s="22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19"/>
      <c r="AH559" s="5"/>
      <c r="AI559" s="5"/>
      <c r="AJ559" s="5"/>
      <c r="AK559" s="5"/>
    </row>
    <row r="560" spans="1:37" x14ac:dyDescent="0.25">
      <c r="A560" s="182"/>
      <c r="B560" s="6"/>
      <c r="C560" s="6"/>
      <c r="D560" s="15"/>
      <c r="E560" s="22"/>
      <c r="F560" s="22"/>
      <c r="G560" s="22"/>
      <c r="I560" s="5"/>
      <c r="J560" s="5"/>
      <c r="K560" s="22"/>
      <c r="L560" s="22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19"/>
      <c r="AH560" s="5"/>
      <c r="AI560" s="5"/>
      <c r="AJ560" s="5"/>
      <c r="AK560" s="5"/>
    </row>
    <row r="561" spans="1:37" x14ac:dyDescent="0.25">
      <c r="A561" s="182"/>
      <c r="B561" s="6"/>
      <c r="C561" s="6"/>
      <c r="D561" s="15"/>
      <c r="E561" s="22"/>
      <c r="F561" s="22"/>
      <c r="G561" s="22"/>
      <c r="I561" s="5"/>
      <c r="J561" s="5"/>
      <c r="K561" s="22"/>
      <c r="L561" s="22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19"/>
      <c r="AH561" s="5"/>
      <c r="AI561" s="5"/>
      <c r="AJ561" s="5"/>
      <c r="AK561" s="5"/>
    </row>
    <row r="562" spans="1:37" x14ac:dyDescent="0.25">
      <c r="A562" s="182"/>
      <c r="B562" s="6"/>
      <c r="C562" s="6"/>
      <c r="D562" s="15"/>
      <c r="E562" s="22"/>
      <c r="F562" s="22"/>
      <c r="G562" s="22"/>
      <c r="I562" s="5"/>
      <c r="J562" s="5"/>
      <c r="K562" s="22"/>
      <c r="L562" s="22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19"/>
      <c r="AH562" s="5"/>
      <c r="AI562" s="5"/>
      <c r="AJ562" s="5"/>
      <c r="AK562" s="5"/>
    </row>
    <row r="563" spans="1:37" x14ac:dyDescent="0.25">
      <c r="A563" s="182"/>
      <c r="B563" s="6"/>
      <c r="C563" s="6"/>
      <c r="D563" s="15"/>
      <c r="E563" s="22"/>
      <c r="F563" s="22"/>
      <c r="G563" s="22"/>
      <c r="I563" s="5"/>
      <c r="J563" s="5"/>
      <c r="K563" s="22"/>
      <c r="L563" s="22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19"/>
      <c r="AH563" s="5"/>
      <c r="AI563" s="5"/>
      <c r="AJ563" s="5"/>
      <c r="AK563" s="5"/>
    </row>
    <row r="564" spans="1:37" x14ac:dyDescent="0.25">
      <c r="A564" s="182"/>
      <c r="B564" s="6"/>
      <c r="C564" s="6"/>
      <c r="D564" s="15"/>
      <c r="E564" s="22"/>
      <c r="F564" s="22"/>
      <c r="G564" s="22"/>
      <c r="I564" s="5"/>
      <c r="J564" s="5"/>
      <c r="K564" s="22"/>
      <c r="L564" s="22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19"/>
      <c r="AH564" s="5"/>
      <c r="AI564" s="5"/>
      <c r="AJ564" s="5"/>
      <c r="AK564" s="5"/>
    </row>
    <row r="565" spans="1:37" x14ac:dyDescent="0.25">
      <c r="A565" s="182"/>
      <c r="B565" s="6"/>
      <c r="C565" s="6"/>
      <c r="D565" s="15"/>
      <c r="E565" s="22"/>
      <c r="F565" s="22"/>
      <c r="G565" s="22"/>
      <c r="I565" s="5"/>
      <c r="J565" s="5"/>
      <c r="K565" s="22"/>
      <c r="L565" s="22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19"/>
      <c r="AH565" s="5"/>
      <c r="AI565" s="5"/>
      <c r="AJ565" s="5"/>
      <c r="AK565" s="5"/>
    </row>
    <row r="566" spans="1:37" x14ac:dyDescent="0.25">
      <c r="A566" s="182"/>
      <c r="B566" s="6"/>
      <c r="C566" s="6"/>
      <c r="D566" s="15"/>
      <c r="E566" s="22"/>
      <c r="F566" s="22"/>
      <c r="G566" s="22"/>
      <c r="I566" s="5"/>
      <c r="J566" s="5"/>
      <c r="K566" s="22"/>
      <c r="L566" s="22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19"/>
      <c r="AH566" s="5"/>
      <c r="AI566" s="5"/>
      <c r="AJ566" s="5"/>
      <c r="AK566" s="5"/>
    </row>
    <row r="567" spans="1:37" x14ac:dyDescent="0.25">
      <c r="A567" s="182"/>
      <c r="B567" s="6"/>
      <c r="C567" s="6"/>
      <c r="D567" s="15"/>
      <c r="E567" s="22"/>
      <c r="F567" s="22"/>
      <c r="G567" s="22"/>
      <c r="I567" s="5"/>
      <c r="J567" s="5"/>
      <c r="K567" s="22"/>
      <c r="L567" s="22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19"/>
      <c r="AH567" s="5"/>
      <c r="AI567" s="5"/>
      <c r="AJ567" s="5"/>
      <c r="AK567" s="5"/>
    </row>
    <row r="568" spans="1:37" x14ac:dyDescent="0.25">
      <c r="A568" s="182"/>
      <c r="B568" s="6"/>
      <c r="C568" s="6"/>
      <c r="D568" s="15"/>
      <c r="E568" s="22"/>
      <c r="F568" s="22"/>
      <c r="G568" s="22"/>
      <c r="I568" s="5"/>
      <c r="J568" s="5"/>
      <c r="K568" s="22"/>
      <c r="L568" s="22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19"/>
      <c r="AH568" s="5"/>
      <c r="AI568" s="5"/>
      <c r="AJ568" s="5"/>
      <c r="AK568" s="5"/>
    </row>
    <row r="569" spans="1:37" x14ac:dyDescent="0.25">
      <c r="A569" s="182"/>
      <c r="B569" s="6"/>
      <c r="C569" s="6"/>
      <c r="D569" s="15"/>
      <c r="E569" s="22"/>
      <c r="F569" s="22"/>
      <c r="G569" s="22"/>
      <c r="I569" s="5"/>
      <c r="J569" s="5"/>
      <c r="K569" s="22"/>
      <c r="L569" s="22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19"/>
      <c r="AH569" s="5"/>
      <c r="AI569" s="5"/>
      <c r="AJ569" s="5"/>
      <c r="AK569" s="5"/>
    </row>
    <row r="570" spans="1:37" x14ac:dyDescent="0.25">
      <c r="A570" s="182"/>
      <c r="B570" s="6"/>
      <c r="C570" s="6"/>
      <c r="D570" s="15"/>
      <c r="E570" s="22"/>
      <c r="F570" s="22"/>
      <c r="G570" s="22"/>
      <c r="I570" s="5"/>
      <c r="J570" s="5"/>
      <c r="K570" s="22"/>
      <c r="L570" s="22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19"/>
      <c r="AH570" s="5"/>
      <c r="AI570" s="5"/>
      <c r="AJ570" s="5"/>
      <c r="AK570" s="5"/>
    </row>
    <row r="571" spans="1:37" x14ac:dyDescent="0.25">
      <c r="A571" s="182"/>
      <c r="B571" s="6"/>
      <c r="C571" s="6"/>
      <c r="D571" s="15"/>
      <c r="E571" s="22"/>
      <c r="F571" s="22"/>
      <c r="G571" s="22"/>
      <c r="I571" s="5"/>
      <c r="J571" s="5"/>
      <c r="K571" s="22"/>
      <c r="L571" s="22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19"/>
      <c r="AH571" s="5"/>
      <c r="AI571" s="5"/>
      <c r="AJ571" s="5"/>
      <c r="AK571" s="5"/>
    </row>
    <row r="572" spans="1:37" x14ac:dyDescent="0.25">
      <c r="A572" s="182"/>
      <c r="B572" s="6"/>
      <c r="C572" s="6"/>
      <c r="D572" s="15"/>
      <c r="E572" s="22"/>
      <c r="F572" s="22"/>
      <c r="G572" s="22"/>
      <c r="I572" s="5"/>
      <c r="J572" s="5"/>
      <c r="K572" s="22"/>
      <c r="L572" s="22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19"/>
      <c r="AH572" s="5"/>
      <c r="AI572" s="5"/>
      <c r="AJ572" s="5"/>
      <c r="AK572" s="5"/>
    </row>
    <row r="573" spans="1:37" x14ac:dyDescent="0.25">
      <c r="A573" s="182"/>
      <c r="B573" s="6"/>
      <c r="C573" s="6"/>
      <c r="D573" s="15"/>
      <c r="E573" s="22"/>
      <c r="F573" s="22"/>
      <c r="G573" s="22"/>
      <c r="I573" s="5"/>
      <c r="J573" s="5"/>
      <c r="K573" s="22"/>
      <c r="L573" s="22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19"/>
      <c r="AH573" s="5"/>
      <c r="AI573" s="5"/>
      <c r="AJ573" s="5"/>
      <c r="AK573" s="5"/>
    </row>
    <row r="574" spans="1:37" x14ac:dyDescent="0.25">
      <c r="A574" s="182"/>
      <c r="B574" s="6"/>
      <c r="C574" s="6"/>
      <c r="D574" s="15"/>
      <c r="E574" s="22"/>
      <c r="F574" s="22"/>
      <c r="G574" s="22"/>
      <c r="I574" s="5"/>
      <c r="J574" s="5"/>
      <c r="K574" s="22"/>
      <c r="L574" s="22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19"/>
      <c r="AH574" s="5"/>
      <c r="AI574" s="5"/>
      <c r="AJ574" s="5"/>
      <c r="AK574" s="5"/>
    </row>
    <row r="575" spans="1:37" x14ac:dyDescent="0.25">
      <c r="A575" s="182"/>
      <c r="B575" s="6"/>
      <c r="C575" s="6"/>
      <c r="D575" s="15"/>
      <c r="E575" s="22"/>
      <c r="F575" s="22"/>
      <c r="G575" s="22"/>
      <c r="I575" s="5"/>
      <c r="J575" s="5"/>
      <c r="K575" s="22"/>
      <c r="L575" s="22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19"/>
      <c r="AH575" s="5"/>
      <c r="AI575" s="5"/>
      <c r="AJ575" s="5"/>
      <c r="AK575" s="5"/>
    </row>
    <row r="576" spans="1:37" x14ac:dyDescent="0.25">
      <c r="A576" s="182"/>
      <c r="B576" s="6"/>
      <c r="C576" s="6"/>
      <c r="D576" s="15"/>
      <c r="E576" s="22"/>
      <c r="F576" s="22"/>
      <c r="G576" s="22"/>
      <c r="I576" s="5"/>
      <c r="J576" s="5"/>
      <c r="K576" s="22"/>
      <c r="L576" s="22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19"/>
      <c r="AH576" s="5"/>
      <c r="AI576" s="5"/>
      <c r="AJ576" s="5"/>
      <c r="AK576" s="5"/>
    </row>
    <row r="577" spans="1:37" x14ac:dyDescent="0.25">
      <c r="A577" s="182"/>
      <c r="B577" s="6"/>
      <c r="C577" s="6"/>
      <c r="D577" s="15"/>
      <c r="E577" s="22"/>
      <c r="F577" s="22"/>
      <c r="G577" s="22"/>
      <c r="I577" s="5"/>
      <c r="J577" s="5"/>
      <c r="K577" s="22"/>
      <c r="L577" s="22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19"/>
      <c r="AH577" s="5"/>
      <c r="AI577" s="5"/>
      <c r="AJ577" s="5"/>
      <c r="AK577" s="5"/>
    </row>
    <row r="578" spans="1:37" x14ac:dyDescent="0.25">
      <c r="A578" s="182"/>
      <c r="B578" s="6"/>
      <c r="C578" s="6"/>
      <c r="D578" s="15"/>
      <c r="E578" s="22"/>
      <c r="F578" s="22"/>
      <c r="G578" s="22"/>
      <c r="I578" s="5"/>
      <c r="J578" s="5"/>
      <c r="K578" s="22"/>
      <c r="L578" s="22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19"/>
      <c r="AH578" s="5"/>
      <c r="AI578" s="5"/>
      <c r="AJ578" s="5"/>
      <c r="AK578" s="5"/>
    </row>
    <row r="579" spans="1:37" x14ac:dyDescent="0.25">
      <c r="A579" s="182"/>
      <c r="B579" s="6"/>
      <c r="C579" s="6"/>
      <c r="D579" s="15"/>
      <c r="E579" s="22"/>
      <c r="F579" s="22"/>
      <c r="G579" s="22"/>
      <c r="I579" s="5"/>
      <c r="J579" s="5"/>
      <c r="K579" s="22"/>
      <c r="L579" s="22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19"/>
      <c r="AH579" s="5"/>
      <c r="AI579" s="5"/>
      <c r="AJ579" s="5"/>
      <c r="AK579" s="5"/>
    </row>
    <row r="580" spans="1:37" x14ac:dyDescent="0.25">
      <c r="A580" s="182"/>
      <c r="B580" s="6"/>
      <c r="C580" s="6"/>
      <c r="D580" s="15"/>
      <c r="E580" s="22"/>
      <c r="F580" s="22"/>
      <c r="G580" s="22"/>
      <c r="I580" s="5"/>
      <c r="J580" s="5"/>
      <c r="K580" s="22"/>
      <c r="L580" s="22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19"/>
      <c r="AH580" s="5"/>
      <c r="AI580" s="5"/>
      <c r="AJ580" s="5"/>
      <c r="AK580" s="5"/>
    </row>
    <row r="581" spans="1:37" x14ac:dyDescent="0.25">
      <c r="A581" s="182"/>
      <c r="B581" s="6"/>
      <c r="C581" s="6"/>
      <c r="D581" s="15"/>
      <c r="E581" s="22"/>
      <c r="F581" s="22"/>
      <c r="G581" s="22"/>
      <c r="I581" s="5"/>
      <c r="J581" s="5"/>
      <c r="K581" s="22"/>
      <c r="L581" s="22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19"/>
      <c r="AH581" s="5"/>
      <c r="AI581" s="5"/>
      <c r="AJ581" s="5"/>
      <c r="AK581" s="5"/>
    </row>
    <row r="582" spans="1:37" x14ac:dyDescent="0.25">
      <c r="A582" s="182"/>
      <c r="B582" s="6"/>
      <c r="C582" s="6"/>
      <c r="D582" s="15"/>
      <c r="E582" s="22"/>
      <c r="F582" s="22"/>
      <c r="G582" s="22"/>
      <c r="I582" s="5"/>
      <c r="J582" s="5"/>
      <c r="K582" s="22"/>
      <c r="L582" s="22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19"/>
      <c r="AH582" s="5"/>
      <c r="AI582" s="5"/>
      <c r="AJ582" s="5"/>
      <c r="AK582" s="5"/>
    </row>
    <row r="583" spans="1:37" x14ac:dyDescent="0.25">
      <c r="A583" s="182"/>
      <c r="B583" s="6"/>
      <c r="C583" s="6"/>
      <c r="D583" s="15"/>
      <c r="E583" s="22"/>
      <c r="F583" s="22"/>
      <c r="G583" s="22"/>
      <c r="I583" s="5"/>
      <c r="J583" s="5"/>
      <c r="K583" s="22"/>
      <c r="L583" s="22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19"/>
      <c r="AH583" s="5"/>
      <c r="AI583" s="5"/>
      <c r="AJ583" s="5"/>
      <c r="AK583" s="5"/>
    </row>
    <row r="584" spans="1:37" x14ac:dyDescent="0.25">
      <c r="A584" s="182"/>
      <c r="B584" s="6"/>
      <c r="C584" s="6"/>
      <c r="D584" s="15"/>
      <c r="E584" s="22"/>
      <c r="F584" s="22"/>
      <c r="G584" s="22"/>
      <c r="I584" s="5"/>
      <c r="J584" s="5"/>
      <c r="K584" s="22"/>
      <c r="L584" s="22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19"/>
      <c r="AH584" s="5"/>
      <c r="AI584" s="5"/>
      <c r="AJ584" s="5"/>
      <c r="AK584" s="5"/>
    </row>
    <row r="585" spans="1:37" x14ac:dyDescent="0.25">
      <c r="A585" s="182"/>
      <c r="B585" s="6"/>
      <c r="C585" s="6"/>
      <c r="D585" s="15"/>
      <c r="E585" s="22"/>
      <c r="F585" s="22"/>
      <c r="G585" s="22"/>
      <c r="I585" s="5"/>
      <c r="J585" s="5"/>
      <c r="K585" s="22"/>
      <c r="L585" s="22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19"/>
      <c r="AH585" s="5"/>
      <c r="AI585" s="5"/>
      <c r="AJ585" s="5"/>
      <c r="AK585" s="5"/>
    </row>
    <row r="586" spans="1:37" x14ac:dyDescent="0.25">
      <c r="A586" s="182"/>
      <c r="B586" s="6"/>
      <c r="C586" s="6"/>
      <c r="D586" s="15"/>
      <c r="E586" s="22"/>
      <c r="F586" s="22"/>
      <c r="G586" s="22"/>
      <c r="I586" s="5"/>
      <c r="J586" s="5"/>
      <c r="K586" s="22"/>
      <c r="L586" s="22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19"/>
      <c r="AH586" s="5"/>
      <c r="AI586" s="5"/>
      <c r="AJ586" s="5"/>
      <c r="AK586" s="5"/>
    </row>
    <row r="587" spans="1:37" x14ac:dyDescent="0.25">
      <c r="A587" s="182"/>
      <c r="B587" s="6"/>
      <c r="C587" s="6"/>
      <c r="D587" s="15"/>
      <c r="E587" s="22"/>
      <c r="F587" s="22"/>
      <c r="G587" s="22"/>
      <c r="I587" s="5"/>
      <c r="J587" s="5"/>
      <c r="K587" s="22"/>
      <c r="L587" s="22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19"/>
      <c r="AH587" s="5"/>
      <c r="AI587" s="5"/>
      <c r="AJ587" s="5"/>
      <c r="AK587" s="5"/>
    </row>
    <row r="588" spans="1:37" x14ac:dyDescent="0.25">
      <c r="A588" s="182"/>
      <c r="B588" s="6"/>
      <c r="C588" s="6"/>
      <c r="D588" s="15"/>
      <c r="E588" s="22"/>
      <c r="F588" s="22"/>
      <c r="G588" s="22"/>
      <c r="I588" s="5"/>
      <c r="J588" s="5"/>
      <c r="K588" s="22"/>
      <c r="L588" s="22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19"/>
      <c r="AH588" s="5"/>
      <c r="AI588" s="5"/>
      <c r="AJ588" s="5"/>
      <c r="AK588" s="5"/>
    </row>
    <row r="589" spans="1:37" x14ac:dyDescent="0.25">
      <c r="A589" s="182"/>
      <c r="B589" s="6"/>
      <c r="C589" s="6"/>
      <c r="D589" s="15"/>
      <c r="E589" s="22"/>
      <c r="F589" s="22"/>
      <c r="G589" s="22"/>
      <c r="I589" s="5"/>
      <c r="J589" s="5"/>
      <c r="K589" s="22"/>
      <c r="L589" s="22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19"/>
      <c r="AH589" s="5"/>
      <c r="AI589" s="5"/>
      <c r="AJ589" s="5"/>
      <c r="AK589" s="5"/>
    </row>
    <row r="590" spans="1:37" x14ac:dyDescent="0.25">
      <c r="A590" s="182"/>
      <c r="B590" s="6"/>
      <c r="C590" s="6"/>
      <c r="D590" s="15"/>
      <c r="E590" s="22"/>
      <c r="F590" s="22"/>
      <c r="G590" s="22"/>
      <c r="I590" s="5"/>
      <c r="J590" s="5"/>
      <c r="K590" s="22"/>
      <c r="L590" s="22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19"/>
      <c r="AH590" s="5"/>
      <c r="AI590" s="5"/>
      <c r="AJ590" s="5"/>
      <c r="AK590" s="5"/>
    </row>
    <row r="591" spans="1:37" x14ac:dyDescent="0.25">
      <c r="A591" s="182"/>
      <c r="B591" s="6"/>
      <c r="C591" s="6"/>
      <c r="D591" s="15"/>
      <c r="E591" s="22"/>
      <c r="F591" s="22"/>
      <c r="G591" s="22"/>
      <c r="I591" s="5"/>
      <c r="J591" s="5"/>
      <c r="K591" s="22"/>
      <c r="L591" s="22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19"/>
      <c r="AH591" s="5"/>
      <c r="AI591" s="5"/>
      <c r="AJ591" s="5"/>
      <c r="AK591" s="5"/>
    </row>
    <row r="592" spans="1:37" x14ac:dyDescent="0.25">
      <c r="A592" s="182"/>
      <c r="B592" s="6"/>
      <c r="C592" s="6"/>
      <c r="D592" s="15"/>
      <c r="E592" s="22"/>
      <c r="F592" s="22"/>
      <c r="G592" s="22"/>
      <c r="I592" s="5"/>
      <c r="J592" s="5"/>
      <c r="K592" s="22"/>
      <c r="L592" s="22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19"/>
      <c r="AH592" s="5"/>
      <c r="AI592" s="5"/>
      <c r="AJ592" s="5"/>
      <c r="AK592" s="5"/>
    </row>
    <row r="593" spans="1:37" x14ac:dyDescent="0.25">
      <c r="A593" s="182"/>
      <c r="B593" s="6"/>
      <c r="C593" s="6"/>
      <c r="D593" s="15"/>
      <c r="E593" s="22"/>
      <c r="F593" s="22"/>
      <c r="G593" s="22"/>
      <c r="I593" s="5"/>
      <c r="J593" s="5"/>
      <c r="K593" s="22"/>
      <c r="L593" s="22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19"/>
      <c r="AH593" s="5"/>
      <c r="AI593" s="5"/>
      <c r="AJ593" s="5"/>
      <c r="AK593" s="5"/>
    </row>
    <row r="594" spans="1:37" x14ac:dyDescent="0.25">
      <c r="A594" s="182"/>
      <c r="B594" s="6"/>
      <c r="C594" s="6"/>
      <c r="D594" s="15"/>
      <c r="E594" s="22"/>
      <c r="F594" s="22"/>
      <c r="G594" s="22"/>
      <c r="I594" s="5"/>
      <c r="J594" s="5"/>
      <c r="K594" s="22"/>
      <c r="L594" s="22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19"/>
      <c r="AH594" s="5"/>
      <c r="AI594" s="5"/>
      <c r="AJ594" s="5"/>
      <c r="AK594" s="5"/>
    </row>
    <row r="595" spans="1:37" x14ac:dyDescent="0.25">
      <c r="A595" s="182"/>
      <c r="B595" s="6"/>
      <c r="C595" s="6"/>
      <c r="D595" s="15"/>
      <c r="E595" s="22"/>
      <c r="F595" s="22"/>
      <c r="G595" s="22"/>
      <c r="I595" s="5"/>
      <c r="J595" s="5"/>
      <c r="K595" s="22"/>
      <c r="L595" s="22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19"/>
      <c r="AH595" s="5"/>
      <c r="AI595" s="5"/>
      <c r="AJ595" s="5"/>
      <c r="AK595" s="5"/>
    </row>
    <row r="596" spans="1:37" x14ac:dyDescent="0.25">
      <c r="A596" s="182"/>
      <c r="B596" s="6"/>
      <c r="C596" s="6"/>
      <c r="D596" s="15"/>
      <c r="E596" s="22"/>
      <c r="F596" s="22"/>
      <c r="G596" s="22"/>
      <c r="I596" s="5"/>
      <c r="J596" s="5"/>
      <c r="K596" s="22"/>
      <c r="L596" s="22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19"/>
      <c r="AH596" s="5"/>
      <c r="AI596" s="5"/>
      <c r="AJ596" s="5"/>
      <c r="AK596" s="5"/>
    </row>
    <row r="597" spans="1:37" x14ac:dyDescent="0.25">
      <c r="A597" s="182"/>
      <c r="B597" s="6"/>
      <c r="C597" s="6"/>
      <c r="D597" s="15"/>
      <c r="E597" s="22"/>
      <c r="F597" s="22"/>
      <c r="G597" s="22"/>
      <c r="I597" s="5"/>
      <c r="J597" s="5"/>
      <c r="K597" s="22"/>
      <c r="L597" s="22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19"/>
      <c r="AH597" s="5"/>
      <c r="AI597" s="5"/>
      <c r="AJ597" s="5"/>
      <c r="AK597" s="5"/>
    </row>
    <row r="598" spans="1:37" x14ac:dyDescent="0.25">
      <c r="A598" s="182"/>
      <c r="B598" s="6"/>
      <c r="C598" s="6"/>
      <c r="D598" s="15"/>
      <c r="E598" s="22"/>
      <c r="F598" s="22"/>
      <c r="G598" s="22"/>
      <c r="I598" s="5"/>
      <c r="J598" s="5"/>
      <c r="K598" s="22"/>
      <c r="L598" s="22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19"/>
      <c r="AH598" s="5"/>
      <c r="AI598" s="5"/>
      <c r="AJ598" s="5"/>
      <c r="AK598" s="5"/>
    </row>
    <row r="599" spans="1:37" x14ac:dyDescent="0.25">
      <c r="A599" s="182"/>
      <c r="B599" s="6"/>
      <c r="C599" s="6"/>
      <c r="D599" s="15"/>
      <c r="E599" s="22"/>
      <c r="F599" s="22"/>
      <c r="G599" s="22"/>
      <c r="I599" s="5"/>
      <c r="J599" s="5"/>
      <c r="K599" s="22"/>
      <c r="L599" s="22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19"/>
      <c r="AH599" s="5"/>
      <c r="AI599" s="5"/>
      <c r="AJ599" s="5"/>
      <c r="AK599" s="5"/>
    </row>
    <row r="600" spans="1:37" x14ac:dyDescent="0.25">
      <c r="A600" s="182"/>
      <c r="B600" s="6"/>
      <c r="C600" s="6"/>
      <c r="D600" s="15"/>
      <c r="E600" s="22"/>
      <c r="F600" s="22"/>
      <c r="G600" s="22"/>
      <c r="I600" s="5"/>
      <c r="J600" s="5"/>
      <c r="K600" s="22"/>
      <c r="L600" s="22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19"/>
      <c r="AH600" s="5"/>
      <c r="AI600" s="5"/>
      <c r="AJ600" s="5"/>
      <c r="AK600" s="5"/>
    </row>
    <row r="601" spans="1:37" x14ac:dyDescent="0.25">
      <c r="A601" s="182"/>
      <c r="B601" s="6"/>
      <c r="C601" s="6"/>
      <c r="D601" s="15"/>
      <c r="E601" s="22"/>
      <c r="F601" s="22"/>
      <c r="G601" s="22"/>
      <c r="I601" s="5"/>
      <c r="J601" s="5"/>
      <c r="K601" s="22"/>
      <c r="L601" s="22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19"/>
      <c r="AH601" s="5"/>
      <c r="AI601" s="5"/>
      <c r="AJ601" s="5"/>
      <c r="AK601" s="5"/>
    </row>
    <row r="602" spans="1:37" x14ac:dyDescent="0.25">
      <c r="A602" s="182"/>
      <c r="B602" s="6"/>
      <c r="C602" s="6"/>
      <c r="D602" s="15"/>
      <c r="E602" s="22"/>
      <c r="F602" s="22"/>
      <c r="G602" s="22"/>
      <c r="I602" s="5"/>
      <c r="J602" s="5"/>
      <c r="K602" s="22"/>
      <c r="L602" s="22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19"/>
      <c r="AH602" s="5"/>
      <c r="AI602" s="5"/>
      <c r="AJ602" s="5"/>
      <c r="AK602" s="5"/>
    </row>
    <row r="603" spans="1:37" x14ac:dyDescent="0.25">
      <c r="A603" s="182"/>
      <c r="B603" s="6"/>
      <c r="C603" s="6"/>
      <c r="D603" s="15"/>
      <c r="E603" s="22"/>
      <c r="F603" s="22"/>
      <c r="G603" s="22"/>
      <c r="I603" s="5"/>
      <c r="J603" s="5"/>
      <c r="K603" s="22"/>
      <c r="L603" s="22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19"/>
      <c r="AH603" s="5"/>
      <c r="AI603" s="5"/>
      <c r="AJ603" s="5"/>
      <c r="AK603" s="5"/>
    </row>
    <row r="604" spans="1:37" x14ac:dyDescent="0.25">
      <c r="A604" s="182"/>
      <c r="B604" s="6"/>
      <c r="C604" s="6"/>
      <c r="D604" s="15"/>
      <c r="E604" s="22"/>
      <c r="F604" s="22"/>
      <c r="G604" s="22"/>
      <c r="I604" s="5"/>
      <c r="J604" s="5"/>
      <c r="K604" s="22"/>
      <c r="L604" s="22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19"/>
      <c r="AH604" s="5"/>
      <c r="AI604" s="5"/>
      <c r="AJ604" s="5"/>
      <c r="AK604" s="5"/>
    </row>
    <row r="605" spans="1:37" x14ac:dyDescent="0.25">
      <c r="A605" s="182"/>
      <c r="B605" s="6"/>
      <c r="C605" s="6"/>
      <c r="D605" s="15"/>
      <c r="E605" s="22"/>
      <c r="F605" s="22"/>
      <c r="G605" s="22"/>
      <c r="I605" s="5"/>
      <c r="J605" s="5"/>
      <c r="K605" s="22"/>
      <c r="L605" s="22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19"/>
      <c r="AH605" s="5"/>
      <c r="AI605" s="5"/>
      <c r="AJ605" s="5"/>
      <c r="AK605" s="5"/>
    </row>
    <row r="606" spans="1:37" x14ac:dyDescent="0.25">
      <c r="A606" s="182"/>
      <c r="B606" s="6"/>
      <c r="C606" s="6"/>
      <c r="D606" s="15"/>
      <c r="E606" s="22"/>
      <c r="F606" s="22"/>
      <c r="G606" s="22"/>
      <c r="I606" s="5"/>
      <c r="J606" s="5"/>
      <c r="K606" s="22"/>
      <c r="L606" s="22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19"/>
      <c r="AH606" s="5"/>
      <c r="AI606" s="5"/>
      <c r="AJ606" s="5"/>
      <c r="AK606" s="5"/>
    </row>
    <row r="607" spans="1:37" x14ac:dyDescent="0.25">
      <c r="A607" s="182"/>
      <c r="B607" s="6"/>
      <c r="C607" s="6"/>
      <c r="D607" s="15"/>
      <c r="E607" s="22"/>
      <c r="F607" s="22"/>
      <c r="G607" s="22"/>
      <c r="I607" s="5"/>
      <c r="J607" s="5"/>
      <c r="K607" s="22"/>
      <c r="L607" s="22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19"/>
      <c r="AH607" s="5"/>
      <c r="AI607" s="5"/>
      <c r="AJ607" s="5"/>
      <c r="AK607" s="5"/>
    </row>
    <row r="608" spans="1:37" x14ac:dyDescent="0.25">
      <c r="A608" s="182"/>
      <c r="B608" s="6"/>
      <c r="C608" s="6"/>
      <c r="D608" s="15"/>
      <c r="E608" s="22"/>
      <c r="F608" s="22"/>
      <c r="G608" s="22"/>
      <c r="I608" s="5"/>
      <c r="J608" s="5"/>
      <c r="K608" s="22"/>
      <c r="L608" s="22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19"/>
      <c r="AH608" s="5"/>
      <c r="AI608" s="5"/>
      <c r="AJ608" s="5"/>
      <c r="AK608" s="5"/>
    </row>
    <row r="609" spans="1:37" x14ac:dyDescent="0.25">
      <c r="A609" s="182"/>
      <c r="B609" s="6"/>
      <c r="C609" s="6"/>
      <c r="D609" s="15"/>
      <c r="E609" s="22"/>
      <c r="F609" s="22"/>
      <c r="G609" s="22"/>
      <c r="I609" s="5"/>
      <c r="J609" s="5"/>
      <c r="K609" s="22"/>
      <c r="L609" s="22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19"/>
      <c r="AH609" s="5"/>
      <c r="AI609" s="5"/>
      <c r="AJ609" s="5"/>
      <c r="AK609" s="5"/>
    </row>
    <row r="610" spans="1:37" x14ac:dyDescent="0.25">
      <c r="A610" s="182"/>
      <c r="B610" s="6"/>
      <c r="C610" s="6"/>
      <c r="D610" s="15"/>
      <c r="E610" s="22"/>
      <c r="F610" s="22"/>
      <c r="G610" s="22"/>
      <c r="I610" s="5"/>
      <c r="J610" s="5"/>
      <c r="K610" s="22"/>
      <c r="L610" s="22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19"/>
      <c r="AH610" s="5"/>
      <c r="AI610" s="5"/>
      <c r="AJ610" s="5"/>
      <c r="AK610" s="5"/>
    </row>
    <row r="611" spans="1:37" x14ac:dyDescent="0.25">
      <c r="A611" s="182"/>
      <c r="B611" s="6"/>
      <c r="C611" s="6"/>
      <c r="D611" s="15"/>
      <c r="E611" s="22"/>
      <c r="F611" s="22"/>
      <c r="G611" s="22"/>
      <c r="I611" s="5"/>
      <c r="J611" s="5"/>
      <c r="K611" s="22"/>
      <c r="L611" s="22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19"/>
      <c r="AH611" s="5"/>
      <c r="AI611" s="5"/>
      <c r="AJ611" s="5"/>
      <c r="AK611" s="5"/>
    </row>
    <row r="612" spans="1:37" x14ac:dyDescent="0.25">
      <c r="A612" s="182"/>
      <c r="B612" s="6"/>
      <c r="C612" s="6"/>
      <c r="D612" s="15"/>
      <c r="E612" s="22"/>
      <c r="F612" s="22"/>
      <c r="G612" s="22"/>
      <c r="I612" s="5"/>
      <c r="J612" s="5"/>
      <c r="K612" s="22"/>
      <c r="L612" s="22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19"/>
      <c r="AH612" s="5"/>
      <c r="AI612" s="5"/>
      <c r="AJ612" s="5"/>
      <c r="AK612" s="5"/>
    </row>
    <row r="613" spans="1:37" x14ac:dyDescent="0.25">
      <c r="A613" s="182"/>
      <c r="B613" s="6"/>
      <c r="C613" s="6"/>
      <c r="D613" s="15"/>
      <c r="E613" s="22"/>
      <c r="F613" s="22"/>
      <c r="G613" s="22"/>
      <c r="I613" s="5"/>
      <c r="J613" s="5"/>
      <c r="K613" s="22"/>
      <c r="L613" s="22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19"/>
      <c r="AH613" s="5"/>
      <c r="AI613" s="5"/>
      <c r="AJ613" s="5"/>
      <c r="AK613" s="5"/>
    </row>
    <row r="614" spans="1:37" x14ac:dyDescent="0.25">
      <c r="A614" s="182"/>
      <c r="B614" s="6"/>
      <c r="C614" s="6"/>
      <c r="D614" s="15"/>
      <c r="E614" s="22"/>
      <c r="F614" s="22"/>
      <c r="G614" s="22"/>
      <c r="I614" s="5"/>
      <c r="J614" s="5"/>
      <c r="K614" s="22"/>
      <c r="L614" s="22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19"/>
      <c r="AH614" s="5"/>
      <c r="AI614" s="5"/>
      <c r="AJ614" s="5"/>
      <c r="AK614" s="5"/>
    </row>
    <row r="615" spans="1:37" x14ac:dyDescent="0.25">
      <c r="A615" s="182"/>
      <c r="B615" s="6"/>
      <c r="C615" s="6"/>
      <c r="D615" s="15"/>
      <c r="E615" s="22"/>
      <c r="F615" s="22"/>
      <c r="G615" s="22"/>
      <c r="I615" s="5"/>
      <c r="J615" s="5"/>
      <c r="K615" s="22"/>
      <c r="L615" s="22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19"/>
      <c r="AH615" s="5"/>
      <c r="AI615" s="5"/>
      <c r="AJ615" s="5"/>
      <c r="AK615" s="5"/>
    </row>
    <row r="616" spans="1:37" x14ac:dyDescent="0.25">
      <c r="A616" s="182"/>
      <c r="B616" s="6"/>
      <c r="C616" s="6"/>
      <c r="D616" s="15"/>
      <c r="E616" s="22"/>
      <c r="F616" s="22"/>
      <c r="G616" s="22"/>
      <c r="I616" s="5"/>
      <c r="J616" s="5"/>
      <c r="K616" s="22"/>
      <c r="L616" s="22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19"/>
      <c r="AH616" s="5"/>
      <c r="AI616" s="5"/>
      <c r="AJ616" s="5"/>
      <c r="AK616" s="5"/>
    </row>
    <row r="617" spans="1:37" x14ac:dyDescent="0.25">
      <c r="A617" s="182"/>
      <c r="B617" s="6"/>
      <c r="C617" s="6"/>
      <c r="D617" s="15"/>
      <c r="E617" s="22"/>
      <c r="F617" s="22"/>
      <c r="G617" s="22"/>
      <c r="I617" s="5"/>
      <c r="J617" s="5"/>
      <c r="K617" s="22"/>
      <c r="L617" s="22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19"/>
      <c r="AH617" s="5"/>
      <c r="AI617" s="5"/>
      <c r="AJ617" s="5"/>
      <c r="AK617" s="5"/>
    </row>
    <row r="618" spans="1:37" x14ac:dyDescent="0.25">
      <c r="A618" s="182"/>
      <c r="B618" s="6"/>
      <c r="C618" s="6"/>
      <c r="D618" s="15"/>
      <c r="E618" s="22"/>
      <c r="F618" s="22"/>
      <c r="G618" s="22"/>
      <c r="I618" s="5"/>
      <c r="J618" s="5"/>
      <c r="K618" s="22"/>
      <c r="L618" s="22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19"/>
      <c r="AH618" s="5"/>
      <c r="AI618" s="5"/>
      <c r="AJ618" s="5"/>
      <c r="AK618" s="5"/>
    </row>
    <row r="619" spans="1:37" x14ac:dyDescent="0.25">
      <c r="A619" s="182"/>
      <c r="B619" s="6"/>
      <c r="C619" s="6"/>
      <c r="D619" s="15"/>
      <c r="E619" s="22"/>
      <c r="F619" s="22"/>
      <c r="G619" s="22"/>
      <c r="I619" s="5"/>
      <c r="J619" s="5"/>
      <c r="K619" s="22"/>
      <c r="L619" s="22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19"/>
      <c r="AH619" s="5"/>
      <c r="AI619" s="5"/>
      <c r="AJ619" s="5"/>
      <c r="AK619" s="5"/>
    </row>
    <row r="620" spans="1:37" x14ac:dyDescent="0.25">
      <c r="A620" s="182"/>
      <c r="B620" s="6"/>
      <c r="C620" s="6"/>
      <c r="D620" s="15"/>
      <c r="E620" s="22"/>
      <c r="F620" s="22"/>
      <c r="G620" s="22"/>
      <c r="I620" s="5"/>
      <c r="J620" s="5"/>
      <c r="K620" s="22"/>
      <c r="L620" s="22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19"/>
      <c r="AH620" s="5"/>
      <c r="AI620" s="5"/>
      <c r="AJ620" s="5"/>
      <c r="AK620" s="5"/>
    </row>
    <row r="621" spans="1:37" x14ac:dyDescent="0.25">
      <c r="A621" s="182"/>
      <c r="B621" s="6"/>
      <c r="C621" s="6"/>
      <c r="D621" s="15"/>
      <c r="E621" s="22"/>
      <c r="F621" s="22"/>
      <c r="G621" s="22"/>
      <c r="I621" s="5"/>
      <c r="J621" s="5"/>
      <c r="K621" s="22"/>
      <c r="L621" s="22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19"/>
      <c r="AH621" s="5"/>
      <c r="AI621" s="5"/>
      <c r="AJ621" s="5"/>
      <c r="AK621" s="5"/>
    </row>
    <row r="622" spans="1:37" x14ac:dyDescent="0.25">
      <c r="A622" s="182"/>
      <c r="B622" s="6"/>
      <c r="C622" s="6"/>
      <c r="D622" s="15"/>
      <c r="E622" s="22"/>
      <c r="F622" s="22"/>
      <c r="G622" s="22"/>
      <c r="I622" s="5"/>
      <c r="J622" s="5"/>
      <c r="K622" s="22"/>
      <c r="L622" s="22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19"/>
      <c r="AH622" s="5"/>
      <c r="AI622" s="5"/>
      <c r="AJ622" s="5"/>
      <c r="AK622" s="5"/>
    </row>
    <row r="623" spans="1:37" x14ac:dyDescent="0.25">
      <c r="A623" s="182"/>
      <c r="B623" s="6"/>
      <c r="C623" s="6"/>
      <c r="D623" s="15"/>
      <c r="E623" s="22"/>
      <c r="F623" s="22"/>
      <c r="G623" s="22"/>
      <c r="I623" s="5"/>
      <c r="J623" s="5"/>
      <c r="K623" s="22"/>
      <c r="L623" s="22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19"/>
      <c r="AH623" s="5"/>
      <c r="AI623" s="5"/>
      <c r="AJ623" s="5"/>
      <c r="AK623" s="5"/>
    </row>
    <row r="624" spans="1:37" x14ac:dyDescent="0.25">
      <c r="A624" s="182"/>
      <c r="B624" s="6"/>
      <c r="C624" s="6"/>
      <c r="D624" s="15"/>
      <c r="E624" s="22"/>
      <c r="F624" s="22"/>
      <c r="G624" s="22"/>
      <c r="I624" s="5"/>
      <c r="J624" s="5"/>
      <c r="K624" s="22"/>
      <c r="L624" s="22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19"/>
      <c r="AH624" s="5"/>
      <c r="AI624" s="5"/>
      <c r="AJ624" s="5"/>
      <c r="AK624" s="5"/>
    </row>
    <row r="625" spans="1:37" x14ac:dyDescent="0.25">
      <c r="A625" s="182"/>
      <c r="B625" s="6"/>
      <c r="C625" s="6"/>
      <c r="D625" s="15"/>
      <c r="E625" s="22"/>
      <c r="F625" s="22"/>
      <c r="G625" s="22"/>
      <c r="I625" s="5"/>
      <c r="J625" s="5"/>
      <c r="K625" s="22"/>
      <c r="L625" s="22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19"/>
      <c r="AH625" s="5"/>
      <c r="AI625" s="5"/>
      <c r="AJ625" s="5"/>
      <c r="AK625" s="5"/>
    </row>
    <row r="626" spans="1:37" x14ac:dyDescent="0.25">
      <c r="A626" s="182"/>
      <c r="B626" s="6"/>
      <c r="C626" s="6"/>
      <c r="D626" s="15"/>
      <c r="E626" s="22"/>
      <c r="F626" s="22"/>
      <c r="G626" s="22"/>
      <c r="I626" s="5"/>
      <c r="J626" s="5"/>
      <c r="K626" s="22"/>
      <c r="L626" s="22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19"/>
      <c r="AH626" s="5"/>
      <c r="AI626" s="5"/>
      <c r="AJ626" s="5"/>
      <c r="AK626" s="5"/>
    </row>
    <row r="627" spans="1:37" x14ac:dyDescent="0.25">
      <c r="A627" s="182"/>
      <c r="B627" s="6"/>
      <c r="C627" s="6"/>
      <c r="D627" s="15"/>
      <c r="E627" s="22"/>
      <c r="F627" s="22"/>
      <c r="G627" s="22"/>
      <c r="I627" s="5"/>
      <c r="J627" s="5"/>
      <c r="K627" s="22"/>
      <c r="L627" s="22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19"/>
      <c r="AH627" s="5"/>
      <c r="AI627" s="5"/>
      <c r="AJ627" s="5"/>
      <c r="AK627" s="5"/>
    </row>
    <row r="628" spans="1:37" x14ac:dyDescent="0.25">
      <c r="A628" s="182"/>
      <c r="B628" s="6"/>
      <c r="C628" s="6"/>
      <c r="D628" s="15"/>
      <c r="E628" s="22"/>
      <c r="F628" s="22"/>
      <c r="G628" s="22"/>
      <c r="I628" s="5"/>
      <c r="J628" s="5"/>
      <c r="K628" s="22"/>
      <c r="L628" s="22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19"/>
      <c r="AH628" s="5"/>
      <c r="AI628" s="5"/>
      <c r="AJ628" s="5"/>
      <c r="AK628" s="5"/>
    </row>
    <row r="629" spans="1:37" x14ac:dyDescent="0.25">
      <c r="A629" s="182"/>
      <c r="B629" s="6"/>
      <c r="C629" s="6"/>
      <c r="D629" s="15"/>
      <c r="E629" s="22"/>
      <c r="F629" s="22"/>
      <c r="G629" s="22"/>
      <c r="I629" s="5"/>
      <c r="J629" s="5"/>
      <c r="K629" s="22"/>
      <c r="L629" s="22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19"/>
      <c r="AH629" s="5"/>
      <c r="AI629" s="5"/>
      <c r="AJ629" s="5"/>
      <c r="AK629" s="5"/>
    </row>
    <row r="630" spans="1:37" x14ac:dyDescent="0.25">
      <c r="A630" s="182"/>
      <c r="B630" s="6"/>
      <c r="C630" s="6"/>
      <c r="D630" s="15"/>
      <c r="E630" s="22"/>
      <c r="F630" s="22"/>
      <c r="G630" s="22"/>
      <c r="I630" s="5"/>
      <c r="J630" s="5"/>
      <c r="K630" s="22"/>
      <c r="L630" s="22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19"/>
      <c r="AH630" s="5"/>
      <c r="AI630" s="5"/>
      <c r="AJ630" s="5"/>
      <c r="AK630" s="5"/>
    </row>
    <row r="631" spans="1:37" x14ac:dyDescent="0.25">
      <c r="A631" s="182"/>
      <c r="B631" s="6"/>
      <c r="C631" s="6"/>
      <c r="D631" s="15"/>
      <c r="E631" s="22"/>
      <c r="F631" s="22"/>
      <c r="G631" s="22"/>
      <c r="I631" s="5"/>
      <c r="J631" s="5"/>
      <c r="K631" s="22"/>
      <c r="L631" s="22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19"/>
      <c r="AH631" s="5"/>
      <c r="AI631" s="5"/>
      <c r="AJ631" s="5"/>
      <c r="AK631" s="5"/>
    </row>
    <row r="632" spans="1:37" x14ac:dyDescent="0.25">
      <c r="A632" s="182"/>
      <c r="B632" s="6"/>
      <c r="C632" s="6"/>
      <c r="D632" s="15"/>
      <c r="E632" s="22"/>
      <c r="F632" s="22"/>
      <c r="G632" s="22"/>
      <c r="I632" s="5"/>
      <c r="J632" s="5"/>
      <c r="K632" s="22"/>
      <c r="L632" s="22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19"/>
      <c r="AH632" s="5"/>
      <c r="AI632" s="5"/>
      <c r="AJ632" s="5"/>
      <c r="AK632" s="5"/>
    </row>
    <row r="633" spans="1:37" x14ac:dyDescent="0.25">
      <c r="A633" s="182"/>
      <c r="B633" s="6"/>
      <c r="C633" s="6"/>
      <c r="D633" s="15"/>
      <c r="E633" s="22"/>
      <c r="F633" s="22"/>
      <c r="G633" s="22"/>
      <c r="I633" s="5"/>
      <c r="J633" s="5"/>
      <c r="K633" s="22"/>
      <c r="L633" s="22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19"/>
      <c r="AH633" s="5"/>
      <c r="AI633" s="5"/>
      <c r="AJ633" s="5"/>
      <c r="AK633" s="5"/>
    </row>
    <row r="634" spans="1:37" x14ac:dyDescent="0.25">
      <c r="A634" s="182"/>
      <c r="B634" s="6"/>
      <c r="C634" s="6"/>
      <c r="D634" s="15"/>
      <c r="E634" s="22"/>
      <c r="F634" s="22"/>
      <c r="G634" s="22"/>
      <c r="I634" s="5"/>
      <c r="J634" s="5"/>
      <c r="K634" s="22"/>
      <c r="L634" s="22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19"/>
      <c r="AH634" s="5"/>
      <c r="AI634" s="5"/>
      <c r="AJ634" s="5"/>
      <c r="AK634" s="5"/>
    </row>
    <row r="635" spans="1:37" x14ac:dyDescent="0.25">
      <c r="A635" s="182"/>
      <c r="B635" s="6"/>
      <c r="C635" s="6"/>
      <c r="D635" s="15"/>
      <c r="E635" s="22"/>
      <c r="F635" s="22"/>
      <c r="G635" s="22"/>
      <c r="I635" s="5"/>
      <c r="J635" s="5"/>
      <c r="K635" s="22"/>
      <c r="L635" s="22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19"/>
      <c r="AH635" s="5"/>
      <c r="AI635" s="5"/>
      <c r="AJ635" s="5"/>
      <c r="AK635" s="5"/>
    </row>
    <row r="636" spans="1:37" x14ac:dyDescent="0.25">
      <c r="A636" s="182"/>
      <c r="B636" s="6"/>
      <c r="C636" s="6"/>
      <c r="D636" s="15"/>
      <c r="E636" s="22"/>
      <c r="F636" s="22"/>
      <c r="G636" s="22"/>
      <c r="I636" s="5"/>
      <c r="J636" s="5"/>
      <c r="K636" s="22"/>
      <c r="L636" s="22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19"/>
      <c r="AH636" s="5"/>
      <c r="AI636" s="5"/>
      <c r="AJ636" s="5"/>
      <c r="AK636" s="5"/>
    </row>
    <row r="637" spans="1:37" x14ac:dyDescent="0.25">
      <c r="A637" s="182"/>
      <c r="B637" s="6"/>
      <c r="C637" s="6"/>
      <c r="D637" s="15"/>
      <c r="E637" s="22"/>
      <c r="F637" s="22"/>
      <c r="G637" s="22"/>
      <c r="I637" s="5"/>
      <c r="J637" s="5"/>
      <c r="K637" s="22"/>
      <c r="L637" s="22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19"/>
      <c r="AH637" s="5"/>
      <c r="AI637" s="5"/>
      <c r="AJ637" s="5"/>
      <c r="AK637" s="5"/>
    </row>
    <row r="638" spans="1:37" x14ac:dyDescent="0.25">
      <c r="A638" s="182"/>
      <c r="B638" s="6"/>
      <c r="C638" s="6"/>
      <c r="D638" s="15"/>
      <c r="E638" s="22"/>
      <c r="F638" s="22"/>
      <c r="G638" s="22"/>
      <c r="I638" s="5"/>
      <c r="J638" s="5"/>
      <c r="K638" s="22"/>
      <c r="L638" s="22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19"/>
      <c r="AH638" s="5"/>
      <c r="AI638" s="5"/>
      <c r="AJ638" s="5"/>
      <c r="AK638" s="5"/>
    </row>
    <row r="639" spans="1:37" x14ac:dyDescent="0.25">
      <c r="A639" s="182"/>
      <c r="B639" s="6"/>
      <c r="C639" s="6"/>
      <c r="D639" s="15"/>
      <c r="E639" s="22"/>
      <c r="F639" s="22"/>
      <c r="G639" s="22"/>
      <c r="I639" s="5"/>
      <c r="J639" s="5"/>
      <c r="K639" s="22"/>
      <c r="L639" s="22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19"/>
      <c r="AH639" s="5"/>
      <c r="AI639" s="5"/>
      <c r="AJ639" s="5"/>
      <c r="AK639" s="5"/>
    </row>
    <row r="640" spans="1:37" x14ac:dyDescent="0.25">
      <c r="A640" s="182"/>
      <c r="B640" s="6"/>
      <c r="C640" s="6"/>
      <c r="D640" s="15"/>
      <c r="E640" s="22"/>
      <c r="F640" s="22"/>
      <c r="G640" s="22"/>
      <c r="I640" s="5"/>
      <c r="J640" s="5"/>
      <c r="K640" s="22"/>
      <c r="L640" s="22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19"/>
      <c r="AH640" s="5"/>
      <c r="AI640" s="5"/>
      <c r="AJ640" s="5"/>
      <c r="AK640" s="5"/>
    </row>
    <row r="641" spans="1:37" x14ac:dyDescent="0.25">
      <c r="A641" s="182"/>
      <c r="B641" s="6"/>
      <c r="C641" s="6"/>
      <c r="D641" s="15"/>
      <c r="E641" s="22"/>
      <c r="F641" s="22"/>
      <c r="G641" s="22"/>
      <c r="I641" s="5"/>
      <c r="J641" s="5"/>
      <c r="K641" s="22"/>
      <c r="L641" s="22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19"/>
      <c r="AH641" s="5"/>
      <c r="AI641" s="5"/>
      <c r="AJ641" s="5"/>
      <c r="AK641" s="5"/>
    </row>
    <row r="642" spans="1:37" x14ac:dyDescent="0.25">
      <c r="A642" s="182"/>
      <c r="B642" s="6"/>
      <c r="C642" s="6"/>
      <c r="D642" s="15"/>
      <c r="E642" s="22"/>
      <c r="F642" s="22"/>
      <c r="G642" s="22"/>
      <c r="I642" s="5"/>
      <c r="J642" s="5"/>
      <c r="K642" s="22"/>
      <c r="L642" s="22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19"/>
      <c r="AH642" s="5"/>
      <c r="AI642" s="5"/>
      <c r="AJ642" s="5"/>
      <c r="AK642" s="5"/>
    </row>
    <row r="643" spans="1:37" x14ac:dyDescent="0.25">
      <c r="A643" s="182"/>
      <c r="B643" s="6"/>
      <c r="C643" s="6"/>
      <c r="D643" s="15"/>
      <c r="E643" s="22"/>
      <c r="F643" s="22"/>
      <c r="G643" s="22"/>
      <c r="I643" s="5"/>
      <c r="J643" s="5"/>
      <c r="K643" s="22"/>
      <c r="L643" s="22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19"/>
      <c r="AH643" s="5"/>
      <c r="AI643" s="5"/>
      <c r="AJ643" s="5"/>
      <c r="AK643" s="5"/>
    </row>
    <row r="644" spans="1:37" x14ac:dyDescent="0.25">
      <c r="A644" s="182"/>
      <c r="B644" s="6"/>
      <c r="C644" s="6"/>
      <c r="D644" s="15"/>
      <c r="E644" s="22"/>
      <c r="F644" s="22"/>
      <c r="G644" s="22"/>
      <c r="I644" s="5"/>
      <c r="J644" s="5"/>
      <c r="K644" s="22"/>
      <c r="L644" s="22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19"/>
      <c r="AH644" s="5"/>
      <c r="AI644" s="5"/>
      <c r="AJ644" s="5"/>
      <c r="AK644" s="5"/>
    </row>
    <row r="645" spans="1:37" x14ac:dyDescent="0.25">
      <c r="A645" s="182"/>
      <c r="B645" s="6"/>
      <c r="C645" s="6"/>
      <c r="D645" s="15"/>
      <c r="E645" s="22"/>
      <c r="F645" s="22"/>
      <c r="G645" s="22"/>
      <c r="I645" s="5"/>
      <c r="J645" s="5"/>
      <c r="K645" s="22"/>
      <c r="L645" s="22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19"/>
      <c r="AH645" s="5"/>
      <c r="AI645" s="5"/>
      <c r="AJ645" s="5"/>
      <c r="AK645" s="5"/>
    </row>
    <row r="646" spans="1:37" x14ac:dyDescent="0.25">
      <c r="A646" s="182"/>
      <c r="B646" s="6"/>
      <c r="C646" s="6"/>
      <c r="D646" s="15"/>
      <c r="E646" s="22"/>
      <c r="F646" s="22"/>
      <c r="G646" s="22"/>
      <c r="I646" s="5"/>
      <c r="J646" s="5"/>
      <c r="K646" s="22"/>
      <c r="L646" s="22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19"/>
      <c r="AH646" s="5"/>
      <c r="AI646" s="5"/>
      <c r="AJ646" s="5"/>
      <c r="AK646" s="5"/>
    </row>
    <row r="647" spans="1:37" x14ac:dyDescent="0.25">
      <c r="A647" s="182"/>
      <c r="B647" s="6"/>
      <c r="C647" s="6"/>
      <c r="D647" s="15"/>
      <c r="E647" s="22"/>
      <c r="F647" s="22"/>
      <c r="G647" s="22"/>
      <c r="I647" s="5"/>
      <c r="J647" s="5"/>
      <c r="K647" s="22"/>
      <c r="L647" s="22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19"/>
      <c r="AH647" s="5"/>
      <c r="AI647" s="5"/>
      <c r="AJ647" s="5"/>
      <c r="AK647" s="5"/>
    </row>
    <row r="648" spans="1:37" x14ac:dyDescent="0.25">
      <c r="A648" s="182"/>
      <c r="B648" s="6"/>
      <c r="C648" s="6"/>
      <c r="D648" s="15"/>
      <c r="E648" s="22"/>
      <c r="F648" s="22"/>
      <c r="G648" s="22"/>
      <c r="I648" s="5"/>
      <c r="J648" s="5"/>
      <c r="K648" s="22"/>
      <c r="L648" s="22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19"/>
      <c r="AH648" s="5"/>
      <c r="AI648" s="5"/>
      <c r="AJ648" s="5"/>
      <c r="AK648" s="5"/>
    </row>
    <row r="649" spans="1:37" x14ac:dyDescent="0.25">
      <c r="A649" s="182"/>
      <c r="B649" s="6"/>
      <c r="C649" s="6"/>
      <c r="D649" s="15"/>
      <c r="E649" s="22"/>
      <c r="F649" s="22"/>
      <c r="G649" s="22"/>
      <c r="I649" s="5"/>
      <c r="J649" s="5"/>
      <c r="K649" s="22"/>
      <c r="L649" s="22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19"/>
      <c r="AH649" s="5"/>
      <c r="AI649" s="5"/>
      <c r="AJ649" s="5"/>
      <c r="AK649" s="5"/>
    </row>
    <row r="650" spans="1:37" x14ac:dyDescent="0.25">
      <c r="A650" s="182"/>
      <c r="B650" s="6"/>
      <c r="C650" s="6"/>
      <c r="D650" s="15"/>
      <c r="E650" s="22"/>
      <c r="F650" s="22"/>
      <c r="G650" s="22"/>
      <c r="I650" s="5"/>
      <c r="J650" s="5"/>
      <c r="K650" s="22"/>
      <c r="L650" s="22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19"/>
      <c r="AH650" s="5"/>
      <c r="AI650" s="5"/>
      <c r="AJ650" s="5"/>
      <c r="AK650" s="5"/>
    </row>
    <row r="651" spans="1:37" x14ac:dyDescent="0.25">
      <c r="A651" s="182"/>
      <c r="B651" s="6"/>
      <c r="C651" s="6"/>
      <c r="D651" s="15"/>
      <c r="E651" s="22"/>
      <c r="F651" s="22"/>
      <c r="G651" s="22"/>
      <c r="I651" s="5"/>
      <c r="J651" s="5"/>
      <c r="K651" s="22"/>
      <c r="L651" s="22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19"/>
      <c r="AH651" s="5"/>
      <c r="AI651" s="5"/>
      <c r="AJ651" s="5"/>
      <c r="AK651" s="5"/>
    </row>
    <row r="652" spans="1:37" x14ac:dyDescent="0.25">
      <c r="A652" s="182"/>
      <c r="B652" s="6"/>
      <c r="C652" s="6"/>
      <c r="D652" s="15"/>
      <c r="E652" s="22"/>
      <c r="F652" s="22"/>
      <c r="G652" s="22"/>
      <c r="I652" s="5"/>
      <c r="J652" s="5"/>
      <c r="K652" s="22"/>
      <c r="L652" s="22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19"/>
      <c r="AH652" s="5"/>
      <c r="AI652" s="5"/>
      <c r="AJ652" s="5"/>
      <c r="AK652" s="5"/>
    </row>
    <row r="653" spans="1:37" x14ac:dyDescent="0.25">
      <c r="A653" s="182"/>
      <c r="B653" s="6"/>
      <c r="C653" s="6"/>
      <c r="D653" s="15"/>
      <c r="E653" s="22"/>
      <c r="F653" s="22"/>
      <c r="G653" s="22"/>
      <c r="I653" s="5"/>
      <c r="J653" s="5"/>
      <c r="K653" s="22"/>
      <c r="L653" s="22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19"/>
      <c r="AH653" s="5"/>
      <c r="AI653" s="5"/>
      <c r="AJ653" s="5"/>
      <c r="AK653" s="5"/>
    </row>
    <row r="654" spans="1:37" x14ac:dyDescent="0.25">
      <c r="A654" s="182"/>
      <c r="B654" s="6"/>
      <c r="C654" s="6"/>
      <c r="D654" s="15"/>
      <c r="E654" s="22"/>
      <c r="F654" s="22"/>
      <c r="G654" s="22"/>
      <c r="I654" s="5"/>
      <c r="J654" s="5"/>
      <c r="K654" s="22"/>
      <c r="L654" s="22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19"/>
      <c r="AH654" s="5"/>
      <c r="AI654" s="5"/>
      <c r="AJ654" s="5"/>
      <c r="AK654" s="5"/>
    </row>
    <row r="655" spans="1:37" x14ac:dyDescent="0.25">
      <c r="A655" s="182"/>
      <c r="B655" s="6"/>
      <c r="C655" s="6"/>
      <c r="D655" s="15"/>
      <c r="E655" s="22"/>
      <c r="F655" s="22"/>
      <c r="G655" s="22"/>
      <c r="I655" s="5"/>
      <c r="J655" s="5"/>
      <c r="K655" s="22"/>
      <c r="L655" s="22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19"/>
      <c r="AH655" s="5"/>
      <c r="AI655" s="5"/>
      <c r="AJ655" s="5"/>
      <c r="AK655" s="5"/>
    </row>
    <row r="656" spans="1:37" x14ac:dyDescent="0.25">
      <c r="A656" s="182"/>
      <c r="B656" s="6"/>
      <c r="C656" s="6"/>
      <c r="D656" s="15"/>
      <c r="E656" s="22"/>
      <c r="F656" s="22"/>
      <c r="G656" s="22"/>
      <c r="I656" s="5"/>
      <c r="J656" s="5"/>
      <c r="K656" s="22"/>
      <c r="L656" s="22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19"/>
      <c r="AH656" s="5"/>
      <c r="AI656" s="5"/>
      <c r="AJ656" s="5"/>
      <c r="AK656" s="5"/>
    </row>
    <row r="657" spans="1:37" x14ac:dyDescent="0.25">
      <c r="A657" s="182"/>
      <c r="B657" s="6"/>
      <c r="C657" s="6"/>
      <c r="D657" s="15"/>
      <c r="E657" s="22"/>
      <c r="F657" s="22"/>
      <c r="G657" s="22"/>
      <c r="I657" s="5"/>
      <c r="J657" s="5"/>
      <c r="K657" s="22"/>
      <c r="L657" s="22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19"/>
      <c r="AH657" s="5"/>
      <c r="AI657" s="5"/>
      <c r="AJ657" s="5"/>
      <c r="AK657" s="5"/>
    </row>
    <row r="658" spans="1:37" x14ac:dyDescent="0.25">
      <c r="A658" s="182"/>
      <c r="B658" s="6"/>
      <c r="C658" s="6"/>
      <c r="D658" s="15"/>
      <c r="E658" s="22"/>
      <c r="F658" s="22"/>
      <c r="G658" s="22"/>
      <c r="I658" s="5"/>
      <c r="J658" s="5"/>
      <c r="K658" s="22"/>
      <c r="L658" s="22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19"/>
      <c r="AH658" s="5"/>
      <c r="AI658" s="5"/>
      <c r="AJ658" s="5"/>
      <c r="AK658" s="5"/>
    </row>
    <row r="659" spans="1:37" x14ac:dyDescent="0.25">
      <c r="A659" s="182"/>
      <c r="B659" s="6"/>
      <c r="C659" s="6"/>
      <c r="D659" s="15"/>
      <c r="E659" s="22"/>
      <c r="F659" s="22"/>
      <c r="G659" s="22"/>
      <c r="I659" s="5"/>
      <c r="J659" s="5"/>
      <c r="K659" s="22"/>
      <c r="L659" s="22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19"/>
      <c r="AH659" s="5"/>
      <c r="AI659" s="5"/>
      <c r="AJ659" s="5"/>
      <c r="AK659" s="5"/>
    </row>
    <row r="660" spans="1:37" x14ac:dyDescent="0.25">
      <c r="A660" s="182"/>
      <c r="B660" s="6"/>
      <c r="C660" s="6"/>
      <c r="D660" s="15"/>
      <c r="E660" s="22"/>
      <c r="F660" s="22"/>
      <c r="G660" s="22"/>
      <c r="I660" s="5"/>
      <c r="J660" s="5"/>
      <c r="K660" s="22"/>
      <c r="L660" s="22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19"/>
      <c r="AH660" s="5"/>
      <c r="AI660" s="5"/>
      <c r="AJ660" s="5"/>
      <c r="AK660" s="5"/>
    </row>
    <row r="661" spans="1:37" x14ac:dyDescent="0.25">
      <c r="A661" s="182"/>
      <c r="B661" s="6"/>
      <c r="C661" s="6"/>
      <c r="D661" s="15"/>
      <c r="E661" s="22"/>
      <c r="F661" s="22"/>
      <c r="G661" s="22"/>
      <c r="I661" s="5"/>
      <c r="J661" s="5"/>
      <c r="K661" s="22"/>
      <c r="L661" s="22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19"/>
      <c r="AH661" s="5"/>
      <c r="AI661" s="5"/>
      <c r="AJ661" s="5"/>
      <c r="AK661" s="5"/>
    </row>
    <row r="662" spans="1:37" x14ac:dyDescent="0.25">
      <c r="A662" s="182"/>
      <c r="B662" s="6"/>
      <c r="C662" s="6"/>
      <c r="D662" s="15"/>
      <c r="E662" s="22"/>
      <c r="F662" s="22"/>
      <c r="G662" s="22"/>
      <c r="I662" s="5"/>
      <c r="J662" s="5"/>
      <c r="K662" s="22"/>
      <c r="L662" s="22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19"/>
      <c r="AH662" s="5"/>
      <c r="AI662" s="5"/>
      <c r="AJ662" s="5"/>
      <c r="AK662" s="5"/>
    </row>
    <row r="663" spans="1:37" x14ac:dyDescent="0.25">
      <c r="A663" s="182"/>
      <c r="B663" s="6"/>
      <c r="C663" s="6"/>
      <c r="D663" s="15"/>
      <c r="E663" s="22"/>
      <c r="F663" s="22"/>
      <c r="G663" s="22"/>
      <c r="I663" s="5"/>
      <c r="J663" s="5"/>
      <c r="K663" s="22"/>
      <c r="L663" s="22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19"/>
      <c r="AH663" s="5"/>
      <c r="AI663" s="5"/>
      <c r="AJ663" s="5"/>
      <c r="AK663" s="5"/>
    </row>
    <row r="664" spans="1:37" x14ac:dyDescent="0.25">
      <c r="A664" s="182"/>
      <c r="B664" s="6"/>
      <c r="C664" s="6"/>
      <c r="D664" s="15"/>
      <c r="E664" s="22"/>
      <c r="F664" s="22"/>
      <c r="G664" s="22"/>
      <c r="I664" s="5"/>
      <c r="J664" s="5"/>
      <c r="K664" s="22"/>
      <c r="L664" s="22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19"/>
      <c r="AH664" s="5"/>
      <c r="AI664" s="5"/>
      <c r="AJ664" s="5"/>
      <c r="AK664" s="5"/>
    </row>
    <row r="665" spans="1:37" x14ac:dyDescent="0.25">
      <c r="A665" s="182"/>
      <c r="B665" s="6"/>
      <c r="C665" s="6"/>
      <c r="D665" s="15"/>
      <c r="E665" s="22"/>
      <c r="F665" s="22"/>
      <c r="G665" s="22"/>
      <c r="I665" s="5"/>
      <c r="J665" s="5"/>
      <c r="K665" s="22"/>
      <c r="L665" s="22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19"/>
      <c r="AH665" s="5"/>
      <c r="AI665" s="5"/>
      <c r="AJ665" s="5"/>
      <c r="AK665" s="5"/>
    </row>
    <row r="666" spans="1:37" x14ac:dyDescent="0.25">
      <c r="A666" s="182"/>
      <c r="B666" s="6"/>
      <c r="C666" s="6"/>
      <c r="D666" s="15"/>
      <c r="E666" s="22"/>
      <c r="F666" s="22"/>
      <c r="G666" s="22"/>
      <c r="I666" s="5"/>
      <c r="J666" s="5"/>
      <c r="K666" s="22"/>
      <c r="L666" s="22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19"/>
      <c r="AH666" s="5"/>
      <c r="AI666" s="5"/>
      <c r="AJ666" s="5"/>
      <c r="AK666" s="5"/>
    </row>
    <row r="667" spans="1:37" x14ac:dyDescent="0.25">
      <c r="A667" s="182"/>
      <c r="B667" s="6"/>
      <c r="C667" s="6"/>
      <c r="D667" s="15"/>
      <c r="E667" s="22"/>
      <c r="F667" s="22"/>
      <c r="G667" s="22"/>
      <c r="I667" s="5"/>
      <c r="J667" s="5"/>
      <c r="K667" s="22"/>
      <c r="L667" s="22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19"/>
      <c r="AH667" s="5"/>
      <c r="AI667" s="5"/>
      <c r="AJ667" s="5"/>
      <c r="AK667" s="5"/>
    </row>
    <row r="668" spans="1:37" x14ac:dyDescent="0.25">
      <c r="A668" s="182"/>
      <c r="B668" s="6"/>
      <c r="C668" s="6"/>
      <c r="D668" s="15"/>
      <c r="E668" s="22"/>
      <c r="F668" s="22"/>
      <c r="G668" s="22"/>
      <c r="I668" s="5"/>
      <c r="J668" s="5"/>
      <c r="K668" s="22"/>
      <c r="L668" s="22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19"/>
      <c r="AH668" s="5"/>
      <c r="AI668" s="5"/>
      <c r="AJ668" s="5"/>
      <c r="AK668" s="5"/>
    </row>
    <row r="669" spans="1:37" x14ac:dyDescent="0.25">
      <c r="A669" s="182"/>
      <c r="B669" s="6"/>
      <c r="C669" s="6"/>
      <c r="D669" s="15"/>
      <c r="E669" s="22"/>
      <c r="F669" s="22"/>
      <c r="G669" s="22"/>
      <c r="I669" s="5"/>
      <c r="J669" s="5"/>
      <c r="K669" s="22"/>
      <c r="L669" s="22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19"/>
      <c r="AH669" s="5"/>
      <c r="AI669" s="5"/>
      <c r="AJ669" s="5"/>
      <c r="AK669" s="5"/>
    </row>
    <row r="670" spans="1:37" x14ac:dyDescent="0.25">
      <c r="A670" s="182"/>
      <c r="B670" s="6"/>
      <c r="C670" s="6"/>
      <c r="D670" s="15"/>
      <c r="E670" s="22"/>
      <c r="F670" s="22"/>
      <c r="G670" s="22"/>
      <c r="I670" s="5"/>
      <c r="J670" s="5"/>
      <c r="K670" s="22"/>
      <c r="L670" s="22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19"/>
      <c r="AH670" s="5"/>
      <c r="AI670" s="5"/>
      <c r="AJ670" s="5"/>
      <c r="AK670" s="5"/>
    </row>
    <row r="671" spans="1:37" x14ac:dyDescent="0.25">
      <c r="A671" s="182"/>
      <c r="B671" s="6"/>
      <c r="C671" s="6"/>
      <c r="D671" s="15"/>
      <c r="E671" s="22"/>
      <c r="F671" s="22"/>
      <c r="G671" s="22"/>
      <c r="I671" s="5"/>
      <c r="J671" s="5"/>
      <c r="K671" s="22"/>
      <c r="L671" s="22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19"/>
      <c r="AH671" s="5"/>
      <c r="AI671" s="5"/>
      <c r="AJ671" s="5"/>
      <c r="AK671" s="5"/>
    </row>
    <row r="672" spans="1:37" x14ac:dyDescent="0.25">
      <c r="A672" s="182"/>
      <c r="B672" s="6"/>
      <c r="C672" s="6"/>
      <c r="D672" s="15"/>
      <c r="E672" s="22"/>
      <c r="F672" s="22"/>
      <c r="G672" s="22"/>
      <c r="I672" s="5"/>
      <c r="J672" s="5"/>
      <c r="K672" s="22"/>
      <c r="L672" s="22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19"/>
      <c r="AH672" s="5"/>
      <c r="AI672" s="5"/>
      <c r="AJ672" s="5"/>
      <c r="AK672" s="5"/>
    </row>
    <row r="673" spans="1:37" x14ac:dyDescent="0.25">
      <c r="A673" s="182"/>
      <c r="B673" s="6"/>
      <c r="C673" s="6"/>
      <c r="D673" s="15"/>
      <c r="E673" s="22"/>
      <c r="F673" s="22"/>
      <c r="G673" s="22"/>
      <c r="I673" s="5"/>
      <c r="J673" s="5"/>
      <c r="K673" s="22"/>
      <c r="L673" s="22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19"/>
      <c r="AH673" s="5"/>
      <c r="AI673" s="5"/>
      <c r="AJ673" s="5"/>
      <c r="AK673" s="5"/>
    </row>
    <row r="674" spans="1:37" x14ac:dyDescent="0.25">
      <c r="A674" s="182"/>
      <c r="B674" s="6"/>
      <c r="C674" s="6"/>
      <c r="D674" s="15"/>
      <c r="E674" s="22"/>
      <c r="F674" s="22"/>
      <c r="G674" s="22"/>
      <c r="I674" s="5"/>
      <c r="J674" s="5"/>
      <c r="K674" s="22"/>
      <c r="L674" s="22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19"/>
      <c r="AH674" s="5"/>
      <c r="AI674" s="5"/>
      <c r="AJ674" s="5"/>
      <c r="AK674" s="5"/>
    </row>
    <row r="675" spans="1:37" x14ac:dyDescent="0.25">
      <c r="A675" s="182"/>
      <c r="B675" s="6"/>
      <c r="C675" s="6"/>
      <c r="D675" s="15"/>
      <c r="E675" s="22"/>
      <c r="F675" s="22"/>
      <c r="G675" s="22"/>
      <c r="I675" s="5"/>
      <c r="J675" s="5"/>
      <c r="K675" s="22"/>
      <c r="L675" s="22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19"/>
      <c r="AH675" s="5"/>
      <c r="AI675" s="5"/>
      <c r="AJ675" s="5"/>
      <c r="AK675" s="5"/>
    </row>
    <row r="676" spans="1:37" x14ac:dyDescent="0.25">
      <c r="A676" s="182"/>
      <c r="B676" s="6"/>
      <c r="C676" s="6"/>
      <c r="D676" s="15"/>
      <c r="E676" s="22"/>
      <c r="F676" s="22"/>
      <c r="G676" s="22"/>
      <c r="I676" s="5"/>
      <c r="J676" s="5"/>
      <c r="K676" s="22"/>
      <c r="L676" s="22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19"/>
      <c r="AH676" s="5"/>
      <c r="AI676" s="5"/>
      <c r="AJ676" s="5"/>
      <c r="AK676" s="5"/>
    </row>
    <row r="677" spans="1:37" x14ac:dyDescent="0.25">
      <c r="A677" s="182"/>
      <c r="B677" s="6"/>
      <c r="C677" s="6"/>
      <c r="D677" s="15"/>
      <c r="E677" s="22"/>
      <c r="F677" s="22"/>
      <c r="G677" s="22"/>
      <c r="I677" s="5"/>
      <c r="J677" s="5"/>
      <c r="K677" s="22"/>
      <c r="L677" s="22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19"/>
      <c r="AH677" s="5"/>
      <c r="AI677" s="5"/>
      <c r="AJ677" s="5"/>
      <c r="AK677" s="5"/>
    </row>
    <row r="678" spans="1:37" x14ac:dyDescent="0.25">
      <c r="A678" s="182"/>
      <c r="B678" s="6"/>
      <c r="C678" s="6"/>
      <c r="D678" s="15"/>
      <c r="E678" s="22"/>
      <c r="F678" s="22"/>
      <c r="G678" s="22"/>
      <c r="I678" s="5"/>
      <c r="J678" s="5"/>
      <c r="K678" s="22"/>
      <c r="L678" s="22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19"/>
      <c r="AH678" s="5"/>
      <c r="AI678" s="5"/>
      <c r="AJ678" s="5"/>
      <c r="AK678" s="5"/>
    </row>
    <row r="679" spans="1:37" x14ac:dyDescent="0.25">
      <c r="A679" s="182"/>
      <c r="B679" s="6"/>
      <c r="C679" s="6"/>
      <c r="D679" s="15"/>
      <c r="E679" s="22"/>
      <c r="F679" s="22"/>
      <c r="G679" s="22"/>
      <c r="I679" s="5"/>
      <c r="J679" s="5"/>
      <c r="K679" s="22"/>
      <c r="L679" s="22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19"/>
      <c r="AH679" s="5"/>
      <c r="AI679" s="5"/>
      <c r="AJ679" s="5"/>
      <c r="AK679" s="5"/>
    </row>
    <row r="680" spans="1:37" x14ac:dyDescent="0.25">
      <c r="A680" s="182"/>
      <c r="B680" s="6"/>
      <c r="C680" s="6"/>
      <c r="D680" s="15"/>
      <c r="E680" s="22"/>
      <c r="F680" s="22"/>
      <c r="G680" s="22"/>
      <c r="I680" s="5"/>
      <c r="J680" s="5"/>
      <c r="K680" s="22"/>
      <c r="L680" s="22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19"/>
      <c r="AH680" s="5"/>
      <c r="AI680" s="5"/>
      <c r="AJ680" s="5"/>
      <c r="AK680" s="5"/>
    </row>
    <row r="681" spans="1:37" x14ac:dyDescent="0.25">
      <c r="A681" s="182"/>
      <c r="B681" s="6"/>
      <c r="C681" s="6"/>
      <c r="D681" s="15"/>
      <c r="E681" s="22"/>
      <c r="F681" s="22"/>
      <c r="G681" s="22"/>
      <c r="I681" s="5"/>
      <c r="J681" s="5"/>
      <c r="K681" s="22"/>
      <c r="L681" s="22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19"/>
      <c r="AH681" s="5"/>
      <c r="AI681" s="5"/>
      <c r="AJ681" s="5"/>
      <c r="AK681" s="5"/>
    </row>
    <row r="682" spans="1:37" x14ac:dyDescent="0.25">
      <c r="A682" s="182"/>
      <c r="B682" s="6"/>
      <c r="C682" s="6"/>
      <c r="D682" s="15"/>
      <c r="E682" s="22"/>
      <c r="F682" s="22"/>
      <c r="G682" s="22"/>
      <c r="I682" s="5"/>
      <c r="J682" s="5"/>
      <c r="K682" s="22"/>
      <c r="L682" s="22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19"/>
      <c r="AH682" s="5"/>
      <c r="AI682" s="5"/>
      <c r="AJ682" s="5"/>
      <c r="AK682" s="5"/>
    </row>
    <row r="683" spans="1:37" x14ac:dyDescent="0.25">
      <c r="A683" s="182"/>
      <c r="B683" s="6"/>
      <c r="C683" s="6"/>
      <c r="D683" s="15"/>
      <c r="E683" s="22"/>
      <c r="F683" s="22"/>
      <c r="G683" s="22"/>
      <c r="I683" s="5"/>
      <c r="J683" s="5"/>
      <c r="K683" s="22"/>
      <c r="L683" s="22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19"/>
      <c r="AH683" s="5"/>
      <c r="AI683" s="5"/>
      <c r="AJ683" s="5"/>
      <c r="AK683" s="5"/>
    </row>
    <row r="684" spans="1:37" x14ac:dyDescent="0.25">
      <c r="A684" s="182"/>
      <c r="B684" s="6"/>
      <c r="C684" s="6"/>
      <c r="D684" s="15"/>
      <c r="E684" s="22"/>
      <c r="F684" s="22"/>
      <c r="G684" s="22"/>
      <c r="I684" s="5"/>
      <c r="J684" s="5"/>
      <c r="K684" s="22"/>
      <c r="L684" s="22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19"/>
      <c r="AH684" s="5"/>
      <c r="AI684" s="5"/>
      <c r="AJ684" s="5"/>
      <c r="AK684" s="5"/>
    </row>
    <row r="685" spans="1:37" x14ac:dyDescent="0.25">
      <c r="A685" s="182"/>
      <c r="B685" s="6"/>
      <c r="C685" s="6"/>
      <c r="D685" s="15"/>
      <c r="E685" s="22"/>
      <c r="F685" s="22"/>
      <c r="G685" s="22"/>
      <c r="I685" s="5"/>
      <c r="J685" s="5"/>
      <c r="K685" s="22"/>
      <c r="L685" s="22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19"/>
      <c r="AH685" s="5"/>
      <c r="AI685" s="5"/>
      <c r="AJ685" s="5"/>
      <c r="AK685" s="5"/>
    </row>
    <row r="686" spans="1:37" x14ac:dyDescent="0.25">
      <c r="A686" s="182"/>
      <c r="B686" s="6"/>
      <c r="C686" s="6"/>
      <c r="D686" s="15"/>
      <c r="E686" s="22"/>
      <c r="F686" s="22"/>
      <c r="G686" s="22"/>
      <c r="I686" s="5"/>
      <c r="J686" s="5"/>
      <c r="K686" s="22"/>
      <c r="L686" s="22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19"/>
      <c r="AH686" s="5"/>
      <c r="AI686" s="5"/>
      <c r="AJ686" s="5"/>
      <c r="AK686" s="5"/>
    </row>
    <row r="687" spans="1:37" x14ac:dyDescent="0.25">
      <c r="A687" s="182"/>
      <c r="B687" s="6"/>
      <c r="C687" s="6"/>
      <c r="D687" s="15"/>
      <c r="E687" s="22"/>
      <c r="F687" s="22"/>
      <c r="G687" s="22"/>
      <c r="I687" s="5"/>
      <c r="J687" s="5"/>
      <c r="K687" s="22"/>
      <c r="L687" s="22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19"/>
      <c r="AH687" s="5"/>
      <c r="AI687" s="5"/>
      <c r="AJ687" s="5"/>
      <c r="AK687" s="5"/>
    </row>
    <row r="688" spans="1:37" x14ac:dyDescent="0.25">
      <c r="A688" s="182"/>
      <c r="B688" s="6"/>
      <c r="C688" s="6"/>
      <c r="D688" s="15"/>
      <c r="E688" s="22"/>
      <c r="F688" s="22"/>
      <c r="G688" s="22"/>
      <c r="I688" s="5"/>
      <c r="J688" s="5"/>
      <c r="K688" s="22"/>
      <c r="L688" s="22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19"/>
      <c r="AH688" s="5"/>
      <c r="AI688" s="5"/>
      <c r="AJ688" s="5"/>
      <c r="AK688" s="5"/>
    </row>
    <row r="689" spans="1:37" x14ac:dyDescent="0.25">
      <c r="A689" s="182"/>
      <c r="B689" s="6"/>
      <c r="C689" s="6"/>
      <c r="D689" s="15"/>
      <c r="E689" s="22"/>
      <c r="F689" s="22"/>
      <c r="G689" s="22"/>
      <c r="I689" s="5"/>
      <c r="J689" s="5"/>
      <c r="K689" s="22"/>
      <c r="L689" s="22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19"/>
      <c r="AH689" s="5"/>
      <c r="AI689" s="5"/>
      <c r="AJ689" s="5"/>
      <c r="AK689" s="5"/>
    </row>
    <row r="690" spans="1:37" x14ac:dyDescent="0.25">
      <c r="A690" s="182"/>
      <c r="B690" s="6"/>
      <c r="C690" s="6"/>
      <c r="D690" s="15"/>
      <c r="E690" s="22"/>
      <c r="F690" s="22"/>
      <c r="G690" s="22"/>
      <c r="I690" s="5"/>
      <c r="J690" s="5"/>
      <c r="K690" s="22"/>
      <c r="L690" s="22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19"/>
      <c r="AH690" s="5"/>
      <c r="AI690" s="5"/>
      <c r="AJ690" s="5"/>
      <c r="AK690" s="5"/>
    </row>
    <row r="691" spans="1:37" x14ac:dyDescent="0.25">
      <c r="A691" s="182"/>
      <c r="B691" s="6"/>
      <c r="C691" s="6"/>
      <c r="D691" s="15"/>
      <c r="E691" s="22"/>
      <c r="F691" s="22"/>
      <c r="G691" s="22"/>
      <c r="I691" s="5"/>
      <c r="J691" s="5"/>
      <c r="K691" s="22"/>
      <c r="L691" s="22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19"/>
      <c r="AH691" s="5"/>
      <c r="AI691" s="5"/>
      <c r="AJ691" s="5"/>
      <c r="AK691" s="5"/>
    </row>
    <row r="692" spans="1:37" x14ac:dyDescent="0.25">
      <c r="A692" s="182"/>
      <c r="B692" s="6"/>
      <c r="C692" s="6"/>
      <c r="D692" s="15"/>
      <c r="E692" s="22"/>
      <c r="F692" s="22"/>
      <c r="G692" s="22"/>
      <c r="I692" s="5"/>
      <c r="J692" s="5"/>
      <c r="K692" s="22"/>
      <c r="L692" s="22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19"/>
      <c r="AH692" s="5"/>
      <c r="AI692" s="5"/>
      <c r="AJ692" s="5"/>
      <c r="AK692" s="5"/>
    </row>
    <row r="693" spans="1:37" x14ac:dyDescent="0.25">
      <c r="A693" s="182"/>
      <c r="B693" s="6"/>
      <c r="C693" s="6"/>
      <c r="D693" s="15"/>
      <c r="E693" s="22"/>
      <c r="F693" s="22"/>
      <c r="G693" s="22"/>
      <c r="I693" s="5"/>
      <c r="J693" s="5"/>
      <c r="K693" s="22"/>
      <c r="L693" s="22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19"/>
      <c r="AH693" s="5"/>
      <c r="AI693" s="5"/>
      <c r="AJ693" s="5"/>
      <c r="AK693" s="5"/>
    </row>
    <row r="694" spans="1:37" x14ac:dyDescent="0.25">
      <c r="A694" s="182"/>
      <c r="B694" s="6"/>
      <c r="C694" s="6"/>
      <c r="D694" s="15"/>
      <c r="E694" s="22"/>
      <c r="F694" s="22"/>
      <c r="G694" s="22"/>
      <c r="I694" s="5"/>
      <c r="J694" s="5"/>
      <c r="K694" s="22"/>
      <c r="L694" s="22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19"/>
      <c r="AH694" s="5"/>
      <c r="AI694" s="5"/>
      <c r="AJ694" s="5"/>
      <c r="AK694" s="5"/>
    </row>
    <row r="695" spans="1:37" x14ac:dyDescent="0.25">
      <c r="A695" s="182"/>
      <c r="B695" s="6"/>
      <c r="C695" s="6"/>
      <c r="D695" s="15"/>
      <c r="E695" s="22"/>
      <c r="F695" s="22"/>
      <c r="G695" s="22"/>
      <c r="I695" s="5"/>
      <c r="J695" s="5"/>
      <c r="K695" s="22"/>
      <c r="L695" s="22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19"/>
      <c r="AH695" s="5"/>
      <c r="AI695" s="5"/>
      <c r="AJ695" s="5"/>
      <c r="AK695" s="5"/>
    </row>
    <row r="696" spans="1:37" x14ac:dyDescent="0.25">
      <c r="A696" s="182"/>
      <c r="B696" s="6"/>
      <c r="C696" s="6"/>
      <c r="D696" s="15"/>
      <c r="E696" s="22"/>
      <c r="F696" s="22"/>
      <c r="G696" s="22"/>
      <c r="I696" s="5"/>
      <c r="J696" s="5"/>
      <c r="K696" s="22"/>
      <c r="L696" s="22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19"/>
      <c r="AH696" s="5"/>
      <c r="AI696" s="5"/>
      <c r="AJ696" s="5"/>
      <c r="AK696" s="5"/>
    </row>
    <row r="697" spans="1:37" x14ac:dyDescent="0.25">
      <c r="A697" s="182"/>
      <c r="B697" s="6"/>
      <c r="C697" s="6"/>
      <c r="D697" s="15"/>
      <c r="E697" s="22"/>
      <c r="F697" s="22"/>
      <c r="G697" s="22"/>
      <c r="I697" s="5"/>
      <c r="J697" s="5"/>
      <c r="K697" s="22"/>
      <c r="L697" s="22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19"/>
      <c r="AH697" s="5"/>
      <c r="AI697" s="5"/>
      <c r="AJ697" s="5"/>
      <c r="AK697" s="5"/>
    </row>
    <row r="698" spans="1:37" x14ac:dyDescent="0.25">
      <c r="A698" s="182"/>
      <c r="B698" s="6"/>
      <c r="C698" s="6"/>
      <c r="D698" s="15"/>
      <c r="E698" s="22"/>
      <c r="F698" s="22"/>
      <c r="G698" s="22"/>
      <c r="I698" s="5"/>
      <c r="J698" s="5"/>
      <c r="K698" s="22"/>
      <c r="L698" s="22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19"/>
      <c r="AH698" s="5"/>
      <c r="AI698" s="5"/>
      <c r="AJ698" s="5"/>
      <c r="AK698" s="5"/>
    </row>
    <row r="699" spans="1:37" x14ac:dyDescent="0.25">
      <c r="A699" s="182"/>
      <c r="B699" s="6"/>
      <c r="C699" s="6"/>
      <c r="D699" s="15"/>
      <c r="E699" s="22"/>
      <c r="F699" s="22"/>
      <c r="G699" s="22"/>
      <c r="I699" s="5"/>
      <c r="J699" s="5"/>
      <c r="K699" s="22"/>
      <c r="L699" s="22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19"/>
      <c r="AH699" s="5"/>
      <c r="AI699" s="5"/>
      <c r="AJ699" s="5"/>
      <c r="AK699" s="5"/>
    </row>
    <row r="700" spans="1:37" x14ac:dyDescent="0.25">
      <c r="A700" s="182"/>
      <c r="B700" s="6"/>
      <c r="C700" s="6"/>
      <c r="D700" s="15"/>
      <c r="E700" s="22"/>
      <c r="F700" s="22"/>
      <c r="G700" s="22"/>
      <c r="I700" s="5"/>
      <c r="J700" s="5"/>
      <c r="K700" s="22"/>
      <c r="L700" s="22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19"/>
      <c r="AH700" s="5"/>
      <c r="AI700" s="5"/>
      <c r="AJ700" s="5"/>
      <c r="AK700" s="5"/>
    </row>
    <row r="701" spans="1:37" x14ac:dyDescent="0.25">
      <c r="A701" s="182"/>
      <c r="B701" s="6"/>
      <c r="C701" s="6"/>
      <c r="D701" s="15"/>
      <c r="E701" s="22"/>
      <c r="F701" s="22"/>
      <c r="G701" s="22"/>
      <c r="I701" s="5"/>
      <c r="J701" s="5"/>
      <c r="K701" s="22"/>
      <c r="L701" s="22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19"/>
      <c r="AH701" s="5"/>
      <c r="AI701" s="5"/>
      <c r="AJ701" s="5"/>
      <c r="AK701" s="5"/>
    </row>
    <row r="702" spans="1:37" x14ac:dyDescent="0.25">
      <c r="A702" s="182"/>
      <c r="B702" s="6"/>
      <c r="C702" s="6"/>
      <c r="D702" s="15"/>
      <c r="E702" s="22"/>
      <c r="F702" s="22"/>
      <c r="G702" s="22"/>
      <c r="I702" s="5"/>
      <c r="J702" s="5"/>
      <c r="K702" s="22"/>
      <c r="L702" s="22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19"/>
      <c r="AH702" s="5"/>
      <c r="AI702" s="5"/>
      <c r="AJ702" s="5"/>
      <c r="AK702" s="5"/>
    </row>
    <row r="703" spans="1:37" x14ac:dyDescent="0.25">
      <c r="A703" s="182"/>
      <c r="B703" s="6"/>
      <c r="C703" s="6"/>
      <c r="D703" s="15"/>
      <c r="E703" s="22"/>
      <c r="F703" s="22"/>
      <c r="G703" s="22"/>
      <c r="I703" s="5"/>
      <c r="J703" s="5"/>
      <c r="K703" s="22"/>
      <c r="L703" s="22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19"/>
      <c r="AH703" s="5"/>
      <c r="AI703" s="5"/>
      <c r="AJ703" s="5"/>
      <c r="AK703" s="5"/>
    </row>
    <row r="704" spans="1:37" x14ac:dyDescent="0.25">
      <c r="A704" s="182"/>
      <c r="B704" s="6"/>
      <c r="C704" s="6"/>
      <c r="D704" s="15"/>
      <c r="E704" s="22"/>
      <c r="F704" s="22"/>
      <c r="G704" s="22"/>
      <c r="I704" s="5"/>
      <c r="J704" s="5"/>
      <c r="K704" s="22"/>
      <c r="L704" s="22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19"/>
      <c r="AH704" s="5"/>
      <c r="AI704" s="5"/>
      <c r="AJ704" s="5"/>
      <c r="AK704" s="5"/>
    </row>
    <row r="705" spans="1:37" x14ac:dyDescent="0.25">
      <c r="A705" s="182"/>
      <c r="B705" s="6"/>
      <c r="C705" s="6"/>
      <c r="D705" s="15"/>
      <c r="E705" s="22"/>
      <c r="F705" s="22"/>
      <c r="G705" s="22"/>
      <c r="I705" s="5"/>
      <c r="J705" s="5"/>
      <c r="K705" s="22"/>
      <c r="L705" s="22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19"/>
      <c r="AH705" s="5"/>
      <c r="AI705" s="5"/>
      <c r="AJ705" s="5"/>
      <c r="AK705" s="5"/>
    </row>
    <row r="706" spans="1:37" x14ac:dyDescent="0.25">
      <c r="A706" s="182"/>
      <c r="B706" s="6"/>
      <c r="C706" s="6"/>
      <c r="D706" s="15"/>
      <c r="E706" s="22"/>
      <c r="F706" s="22"/>
      <c r="G706" s="22"/>
      <c r="I706" s="5"/>
      <c r="J706" s="5"/>
      <c r="K706" s="22"/>
      <c r="L706" s="22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19"/>
      <c r="AH706" s="5"/>
      <c r="AI706" s="5"/>
      <c r="AJ706" s="5"/>
      <c r="AK706" s="5"/>
    </row>
    <row r="707" spans="1:37" x14ac:dyDescent="0.25">
      <c r="A707" s="182"/>
      <c r="B707" s="6"/>
      <c r="C707" s="6"/>
      <c r="D707" s="15"/>
      <c r="E707" s="22"/>
      <c r="F707" s="22"/>
      <c r="G707" s="22"/>
      <c r="I707" s="5"/>
      <c r="J707" s="5"/>
      <c r="K707" s="22"/>
      <c r="L707" s="22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19"/>
      <c r="AH707" s="5"/>
      <c r="AI707" s="5"/>
      <c r="AJ707" s="5"/>
      <c r="AK707" s="5"/>
    </row>
    <row r="708" spans="1:37" x14ac:dyDescent="0.25">
      <c r="A708" s="182"/>
      <c r="B708" s="6"/>
      <c r="C708" s="6"/>
      <c r="D708" s="15"/>
      <c r="E708" s="22"/>
      <c r="F708" s="22"/>
      <c r="G708" s="22"/>
      <c r="I708" s="5"/>
      <c r="J708" s="5"/>
      <c r="K708" s="22"/>
      <c r="L708" s="22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19"/>
      <c r="AH708" s="5"/>
      <c r="AI708" s="5"/>
      <c r="AJ708" s="5"/>
      <c r="AK708" s="5"/>
    </row>
    <row r="709" spans="1:37" x14ac:dyDescent="0.25">
      <c r="A709" s="182"/>
      <c r="B709" s="6"/>
      <c r="C709" s="6"/>
      <c r="D709" s="15"/>
      <c r="E709" s="22"/>
      <c r="F709" s="22"/>
      <c r="G709" s="22"/>
      <c r="I709" s="5"/>
      <c r="J709" s="5"/>
      <c r="K709" s="22"/>
      <c r="L709" s="22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19"/>
      <c r="AH709" s="5"/>
      <c r="AI709" s="5"/>
      <c r="AJ709" s="5"/>
      <c r="AK709" s="5"/>
    </row>
    <row r="710" spans="1:37" x14ac:dyDescent="0.25">
      <c r="A710" s="182"/>
      <c r="B710" s="6"/>
      <c r="C710" s="6"/>
      <c r="D710" s="15"/>
      <c r="E710" s="22"/>
      <c r="F710" s="22"/>
      <c r="G710" s="22"/>
      <c r="I710" s="5"/>
      <c r="J710" s="5"/>
      <c r="K710" s="22"/>
      <c r="L710" s="22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19"/>
      <c r="AH710" s="5"/>
      <c r="AI710" s="5"/>
      <c r="AJ710" s="5"/>
      <c r="AK710" s="5"/>
    </row>
    <row r="711" spans="1:37" x14ac:dyDescent="0.25">
      <c r="A711" s="182"/>
      <c r="B711" s="6"/>
      <c r="C711" s="6"/>
      <c r="D711" s="15"/>
      <c r="E711" s="22"/>
      <c r="F711" s="22"/>
      <c r="G711" s="22"/>
      <c r="I711" s="5"/>
      <c r="J711" s="5"/>
      <c r="K711" s="22"/>
      <c r="L711" s="22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19"/>
      <c r="AH711" s="5"/>
      <c r="AI711" s="5"/>
      <c r="AJ711" s="5"/>
      <c r="AK711" s="5"/>
    </row>
    <row r="712" spans="1:37" x14ac:dyDescent="0.25">
      <c r="A712" s="182"/>
      <c r="B712" s="6"/>
      <c r="C712" s="6"/>
      <c r="D712" s="15"/>
      <c r="E712" s="22"/>
      <c r="F712" s="22"/>
      <c r="G712" s="22"/>
      <c r="I712" s="5"/>
      <c r="J712" s="5"/>
      <c r="K712" s="22"/>
      <c r="L712" s="22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19"/>
      <c r="AH712" s="5"/>
      <c r="AI712" s="5"/>
      <c r="AJ712" s="5"/>
      <c r="AK712" s="5"/>
    </row>
    <row r="713" spans="1:37" x14ac:dyDescent="0.25">
      <c r="A713" s="182"/>
      <c r="B713" s="6"/>
      <c r="C713" s="6"/>
      <c r="D713" s="15"/>
      <c r="E713" s="22"/>
      <c r="F713" s="22"/>
      <c r="G713" s="22"/>
      <c r="I713" s="5"/>
      <c r="J713" s="5"/>
      <c r="K713" s="22"/>
      <c r="L713" s="22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19"/>
      <c r="AH713" s="5"/>
      <c r="AI713" s="5"/>
      <c r="AJ713" s="5"/>
      <c r="AK713" s="5"/>
    </row>
    <row r="714" spans="1:37" x14ac:dyDescent="0.25">
      <c r="A714" s="182"/>
      <c r="B714" s="6"/>
      <c r="C714" s="6"/>
      <c r="D714" s="15"/>
      <c r="E714" s="22"/>
      <c r="F714" s="22"/>
      <c r="G714" s="22"/>
      <c r="I714" s="5"/>
      <c r="J714" s="5"/>
      <c r="K714" s="22"/>
      <c r="L714" s="22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19"/>
      <c r="AH714" s="5"/>
      <c r="AI714" s="5"/>
      <c r="AJ714" s="5"/>
      <c r="AK714" s="5"/>
    </row>
    <row r="715" spans="1:37" x14ac:dyDescent="0.25">
      <c r="A715" s="182"/>
      <c r="B715" s="6"/>
      <c r="C715" s="6"/>
      <c r="D715" s="15"/>
      <c r="E715" s="22"/>
      <c r="F715" s="22"/>
      <c r="G715" s="22"/>
      <c r="I715" s="5"/>
      <c r="J715" s="5"/>
      <c r="K715" s="22"/>
      <c r="L715" s="22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19"/>
      <c r="AH715" s="5"/>
      <c r="AI715" s="5"/>
      <c r="AJ715" s="5"/>
      <c r="AK715" s="5"/>
    </row>
    <row r="716" spans="1:37" x14ac:dyDescent="0.25">
      <c r="A716" s="182"/>
      <c r="B716" s="6"/>
      <c r="C716" s="6"/>
      <c r="D716" s="15"/>
      <c r="E716" s="22"/>
      <c r="F716" s="22"/>
      <c r="G716" s="22"/>
      <c r="I716" s="5"/>
      <c r="J716" s="5"/>
      <c r="K716" s="22"/>
      <c r="L716" s="22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19"/>
      <c r="AH716" s="5"/>
      <c r="AI716" s="5"/>
      <c r="AJ716" s="5"/>
      <c r="AK716" s="5"/>
    </row>
    <row r="717" spans="1:37" x14ac:dyDescent="0.25">
      <c r="A717" s="182"/>
      <c r="B717" s="6"/>
      <c r="C717" s="6"/>
      <c r="D717" s="15"/>
      <c r="E717" s="22"/>
      <c r="F717" s="22"/>
      <c r="G717" s="22"/>
      <c r="I717" s="5"/>
      <c r="J717" s="5"/>
      <c r="K717" s="22"/>
      <c r="L717" s="22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19"/>
      <c r="AH717" s="5"/>
      <c r="AI717" s="5"/>
      <c r="AJ717" s="5"/>
      <c r="AK717" s="5"/>
    </row>
    <row r="718" spans="1:37" x14ac:dyDescent="0.25">
      <c r="A718" s="182"/>
      <c r="B718" s="6"/>
      <c r="C718" s="6"/>
      <c r="D718" s="15"/>
      <c r="E718" s="22"/>
      <c r="F718" s="22"/>
      <c r="G718" s="22"/>
      <c r="I718" s="5"/>
      <c r="J718" s="5"/>
      <c r="K718" s="22"/>
      <c r="L718" s="22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19"/>
      <c r="AH718" s="5"/>
      <c r="AI718" s="5"/>
      <c r="AJ718" s="5"/>
      <c r="AK718" s="5"/>
    </row>
    <row r="719" spans="1:37" x14ac:dyDescent="0.25">
      <c r="A719" s="182"/>
      <c r="B719" s="6"/>
      <c r="C719" s="6"/>
      <c r="D719" s="15"/>
      <c r="E719" s="22"/>
      <c r="F719" s="22"/>
      <c r="G719" s="22"/>
      <c r="I719" s="5"/>
      <c r="J719" s="5"/>
      <c r="K719" s="22"/>
      <c r="L719" s="22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19"/>
      <c r="AH719" s="5"/>
      <c r="AI719" s="5"/>
      <c r="AJ719" s="5"/>
      <c r="AK719" s="5"/>
    </row>
    <row r="720" spans="1:37" x14ac:dyDescent="0.25">
      <c r="A720" s="182"/>
      <c r="B720" s="6"/>
      <c r="C720" s="6"/>
      <c r="D720" s="15"/>
      <c r="E720" s="22"/>
      <c r="F720" s="22"/>
      <c r="G720" s="22"/>
      <c r="I720" s="5"/>
      <c r="J720" s="5"/>
      <c r="K720" s="22"/>
      <c r="L720" s="22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19"/>
      <c r="AH720" s="5"/>
      <c r="AI720" s="5"/>
      <c r="AJ720" s="5"/>
      <c r="AK720" s="5"/>
    </row>
    <row r="721" spans="1:37" x14ac:dyDescent="0.25">
      <c r="A721" s="182"/>
      <c r="B721" s="6"/>
      <c r="C721" s="6"/>
      <c r="D721" s="15"/>
      <c r="E721" s="22"/>
      <c r="F721" s="22"/>
      <c r="G721" s="22"/>
      <c r="I721" s="5"/>
      <c r="J721" s="5"/>
      <c r="K721" s="22"/>
      <c r="L721" s="22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19"/>
      <c r="AH721" s="5"/>
      <c r="AI721" s="5"/>
      <c r="AJ721" s="5"/>
      <c r="AK721" s="5"/>
    </row>
    <row r="722" spans="1:37" x14ac:dyDescent="0.25">
      <c r="A722" s="182"/>
      <c r="B722" s="6"/>
      <c r="C722" s="6"/>
      <c r="D722" s="15"/>
      <c r="E722" s="22"/>
      <c r="F722" s="22"/>
      <c r="G722" s="22"/>
      <c r="I722" s="5"/>
      <c r="J722" s="5"/>
      <c r="K722" s="22"/>
      <c r="L722" s="22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19"/>
      <c r="AH722" s="5"/>
      <c r="AI722" s="5"/>
      <c r="AJ722" s="5"/>
      <c r="AK722" s="5"/>
    </row>
    <row r="723" spans="1:37" x14ac:dyDescent="0.25">
      <c r="A723" s="182"/>
      <c r="B723" s="6"/>
      <c r="C723" s="6"/>
      <c r="D723" s="15"/>
      <c r="E723" s="22"/>
      <c r="F723" s="22"/>
      <c r="G723" s="22"/>
      <c r="I723" s="5"/>
      <c r="J723" s="5"/>
      <c r="K723" s="22"/>
      <c r="L723" s="22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19"/>
      <c r="AH723" s="5"/>
      <c r="AI723" s="5"/>
      <c r="AJ723" s="5"/>
      <c r="AK723" s="5"/>
    </row>
    <row r="724" spans="1:37" x14ac:dyDescent="0.25">
      <c r="A724" s="182"/>
      <c r="B724" s="6"/>
      <c r="C724" s="6"/>
      <c r="D724" s="15"/>
      <c r="E724" s="22"/>
      <c r="F724" s="22"/>
      <c r="G724" s="22"/>
      <c r="I724" s="5"/>
      <c r="J724" s="5"/>
      <c r="K724" s="22"/>
      <c r="L724" s="22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19"/>
      <c r="AH724" s="5"/>
      <c r="AI724" s="5"/>
      <c r="AJ724" s="5"/>
      <c r="AK724" s="5"/>
    </row>
    <row r="725" spans="1:37" x14ac:dyDescent="0.25">
      <c r="A725" s="182"/>
      <c r="B725" s="6"/>
      <c r="C725" s="6"/>
      <c r="D725" s="15"/>
      <c r="E725" s="22"/>
      <c r="F725" s="22"/>
      <c r="G725" s="22"/>
      <c r="I725" s="5"/>
      <c r="J725" s="5"/>
      <c r="K725" s="22"/>
      <c r="L725" s="22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19"/>
      <c r="AH725" s="5"/>
      <c r="AI725" s="5"/>
      <c r="AJ725" s="5"/>
      <c r="AK725" s="5"/>
    </row>
    <row r="726" spans="1:37" x14ac:dyDescent="0.25">
      <c r="A726" s="182"/>
      <c r="B726" s="6"/>
      <c r="C726" s="6"/>
      <c r="D726" s="15"/>
      <c r="E726" s="22"/>
      <c r="F726" s="22"/>
      <c r="G726" s="22"/>
      <c r="I726" s="5"/>
      <c r="J726" s="5"/>
      <c r="K726" s="22"/>
      <c r="L726" s="22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19"/>
      <c r="AH726" s="5"/>
      <c r="AI726" s="5"/>
      <c r="AJ726" s="5"/>
      <c r="AK726" s="5"/>
    </row>
    <row r="727" spans="1:37" x14ac:dyDescent="0.25">
      <c r="A727" s="182"/>
      <c r="B727" s="6"/>
      <c r="C727" s="6"/>
      <c r="D727" s="15"/>
      <c r="E727" s="22"/>
      <c r="F727" s="22"/>
      <c r="G727" s="22"/>
      <c r="I727" s="5"/>
      <c r="J727" s="5"/>
      <c r="K727" s="22"/>
      <c r="L727" s="22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19"/>
      <c r="AH727" s="5"/>
      <c r="AI727" s="5"/>
      <c r="AJ727" s="5"/>
      <c r="AK727" s="5"/>
    </row>
    <row r="728" spans="1:37" x14ac:dyDescent="0.25">
      <c r="A728" s="182"/>
      <c r="B728" s="6"/>
      <c r="C728" s="6"/>
      <c r="D728" s="15"/>
      <c r="E728" s="22"/>
      <c r="F728" s="22"/>
      <c r="G728" s="22"/>
      <c r="I728" s="5"/>
      <c r="J728" s="5"/>
      <c r="K728" s="22"/>
      <c r="L728" s="22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19"/>
      <c r="AH728" s="5"/>
      <c r="AI728" s="5"/>
      <c r="AJ728" s="5"/>
      <c r="AK728" s="5"/>
    </row>
    <row r="729" spans="1:37" x14ac:dyDescent="0.25">
      <c r="A729" s="182"/>
      <c r="B729" s="6"/>
      <c r="C729" s="6"/>
      <c r="D729" s="15"/>
      <c r="E729" s="22"/>
      <c r="F729" s="22"/>
      <c r="G729" s="22"/>
      <c r="I729" s="5"/>
      <c r="J729" s="5"/>
      <c r="K729" s="22"/>
      <c r="L729" s="22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19"/>
      <c r="AH729" s="5"/>
      <c r="AI729" s="5"/>
      <c r="AJ729" s="5"/>
      <c r="AK729" s="5"/>
    </row>
    <row r="730" spans="1:37" x14ac:dyDescent="0.25">
      <c r="A730" s="182"/>
      <c r="B730" s="6"/>
      <c r="C730" s="6"/>
      <c r="D730" s="15"/>
      <c r="E730" s="22"/>
      <c r="F730" s="22"/>
      <c r="G730" s="22"/>
      <c r="I730" s="5"/>
      <c r="J730" s="5"/>
      <c r="K730" s="22"/>
      <c r="L730" s="22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19"/>
      <c r="AH730" s="5"/>
      <c r="AI730" s="5"/>
      <c r="AJ730" s="5"/>
      <c r="AK730" s="5"/>
    </row>
    <row r="731" spans="1:37" x14ac:dyDescent="0.25">
      <c r="A731" s="182"/>
      <c r="B731" s="6"/>
      <c r="C731" s="6"/>
      <c r="D731" s="15"/>
      <c r="E731" s="22"/>
      <c r="F731" s="22"/>
      <c r="G731" s="22"/>
      <c r="I731" s="5"/>
      <c r="J731" s="5"/>
      <c r="K731" s="22"/>
      <c r="L731" s="22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19"/>
      <c r="AH731" s="5"/>
      <c r="AI731" s="5"/>
      <c r="AJ731" s="5"/>
      <c r="AK731" s="5"/>
    </row>
    <row r="732" spans="1:37" x14ac:dyDescent="0.25">
      <c r="A732" s="182"/>
      <c r="B732" s="6"/>
      <c r="C732" s="6"/>
      <c r="D732" s="15"/>
      <c r="E732" s="22"/>
      <c r="F732" s="22"/>
      <c r="G732" s="22"/>
      <c r="I732" s="5"/>
      <c r="J732" s="5"/>
      <c r="K732" s="22"/>
      <c r="L732" s="22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19"/>
      <c r="AH732" s="5"/>
      <c r="AI732" s="5"/>
      <c r="AJ732" s="5"/>
      <c r="AK732" s="5"/>
    </row>
    <row r="733" spans="1:37" x14ac:dyDescent="0.25">
      <c r="A733" s="182"/>
      <c r="B733" s="6"/>
      <c r="C733" s="6"/>
      <c r="D733" s="15"/>
      <c r="E733" s="22"/>
      <c r="F733" s="22"/>
      <c r="G733" s="22"/>
      <c r="I733" s="5"/>
      <c r="J733" s="5"/>
      <c r="K733" s="22"/>
      <c r="L733" s="22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19"/>
      <c r="AH733" s="5"/>
      <c r="AI733" s="5"/>
      <c r="AJ733" s="5"/>
      <c r="AK733" s="5"/>
    </row>
    <row r="734" spans="1:37" x14ac:dyDescent="0.25">
      <c r="A734" s="182"/>
      <c r="B734" s="6"/>
      <c r="C734" s="6"/>
      <c r="D734" s="15"/>
      <c r="E734" s="22"/>
      <c r="F734" s="22"/>
      <c r="G734" s="22"/>
      <c r="I734" s="5"/>
      <c r="J734" s="5"/>
      <c r="K734" s="22"/>
      <c r="L734" s="22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19"/>
      <c r="AH734" s="5"/>
      <c r="AI734" s="5"/>
      <c r="AJ734" s="5"/>
      <c r="AK734" s="5"/>
    </row>
    <row r="735" spans="1:37" x14ac:dyDescent="0.25">
      <c r="A735" s="182"/>
      <c r="B735" s="6"/>
      <c r="C735" s="6"/>
      <c r="D735" s="15"/>
      <c r="E735" s="22"/>
      <c r="F735" s="22"/>
      <c r="G735" s="22"/>
      <c r="I735" s="5"/>
      <c r="J735" s="5"/>
      <c r="K735" s="22"/>
      <c r="L735" s="22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19"/>
      <c r="AH735" s="5"/>
      <c r="AI735" s="5"/>
      <c r="AJ735" s="5"/>
      <c r="AK735" s="5"/>
    </row>
    <row r="736" spans="1:37" x14ac:dyDescent="0.25">
      <c r="A736" s="182"/>
      <c r="B736" s="6"/>
      <c r="C736" s="6"/>
      <c r="D736" s="15"/>
      <c r="E736" s="22"/>
      <c r="F736" s="22"/>
      <c r="G736" s="22"/>
      <c r="I736" s="5"/>
      <c r="J736" s="5"/>
      <c r="K736" s="22"/>
      <c r="L736" s="22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19"/>
      <c r="AH736" s="5"/>
      <c r="AI736" s="5"/>
      <c r="AJ736" s="5"/>
      <c r="AK736" s="5"/>
    </row>
    <row r="737" spans="1:37" x14ac:dyDescent="0.25">
      <c r="A737" s="182"/>
      <c r="B737" s="6"/>
      <c r="C737" s="6"/>
      <c r="D737" s="15"/>
      <c r="E737" s="22"/>
      <c r="F737" s="22"/>
      <c r="G737" s="22"/>
      <c r="I737" s="5"/>
      <c r="J737" s="5"/>
      <c r="K737" s="22"/>
      <c r="L737" s="22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19"/>
      <c r="AH737" s="5"/>
      <c r="AI737" s="5"/>
      <c r="AJ737" s="5"/>
      <c r="AK737" s="5"/>
    </row>
    <row r="738" spans="1:37" x14ac:dyDescent="0.25">
      <c r="A738" s="182"/>
      <c r="B738" s="6"/>
      <c r="C738" s="6"/>
      <c r="D738" s="15"/>
      <c r="E738" s="22"/>
      <c r="F738" s="22"/>
      <c r="G738" s="22"/>
      <c r="I738" s="5"/>
      <c r="J738" s="5"/>
      <c r="K738" s="22"/>
      <c r="L738" s="22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19"/>
      <c r="AH738" s="5"/>
      <c r="AI738" s="5"/>
      <c r="AJ738" s="5"/>
      <c r="AK738" s="5"/>
    </row>
    <row r="739" spans="1:37" x14ac:dyDescent="0.25">
      <c r="A739" s="182"/>
      <c r="B739" s="6"/>
      <c r="C739" s="6"/>
      <c r="D739" s="15"/>
      <c r="E739" s="22"/>
      <c r="F739" s="22"/>
      <c r="G739" s="22"/>
      <c r="I739" s="5"/>
      <c r="J739" s="5"/>
      <c r="K739" s="22"/>
      <c r="L739" s="22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19"/>
      <c r="AH739" s="5"/>
      <c r="AI739" s="5"/>
      <c r="AJ739" s="5"/>
      <c r="AK739" s="5"/>
    </row>
    <row r="740" spans="1:37" x14ac:dyDescent="0.25">
      <c r="A740" s="182"/>
      <c r="B740" s="6"/>
      <c r="C740" s="6"/>
      <c r="D740" s="15"/>
      <c r="E740" s="22"/>
      <c r="F740" s="22"/>
      <c r="G740" s="22"/>
      <c r="I740" s="5"/>
      <c r="J740" s="5"/>
      <c r="K740" s="22"/>
      <c r="L740" s="22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19"/>
      <c r="AH740" s="5"/>
      <c r="AI740" s="5"/>
      <c r="AJ740" s="5"/>
      <c r="AK740" s="5"/>
    </row>
    <row r="741" spans="1:37" x14ac:dyDescent="0.25">
      <c r="A741" s="182"/>
      <c r="B741" s="6"/>
      <c r="C741" s="6"/>
      <c r="D741" s="15"/>
      <c r="E741" s="22"/>
      <c r="F741" s="22"/>
      <c r="G741" s="22"/>
      <c r="I741" s="5"/>
      <c r="J741" s="5"/>
      <c r="K741" s="22"/>
      <c r="L741" s="22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19"/>
      <c r="AH741" s="5"/>
      <c r="AI741" s="5"/>
      <c r="AJ741" s="5"/>
      <c r="AK741" s="5"/>
    </row>
    <row r="742" spans="1:37" x14ac:dyDescent="0.25">
      <c r="A742" s="182"/>
      <c r="B742" s="6"/>
      <c r="C742" s="6"/>
      <c r="D742" s="15"/>
      <c r="E742" s="22"/>
      <c r="F742" s="22"/>
      <c r="G742" s="22"/>
      <c r="I742" s="5"/>
      <c r="J742" s="5"/>
      <c r="K742" s="22"/>
      <c r="L742" s="22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19"/>
      <c r="AH742" s="5"/>
      <c r="AI742" s="5"/>
      <c r="AJ742" s="5"/>
      <c r="AK742" s="5"/>
    </row>
    <row r="743" spans="1:37" x14ac:dyDescent="0.25">
      <c r="A743" s="182"/>
      <c r="B743" s="6"/>
      <c r="C743" s="6"/>
      <c r="D743" s="15"/>
      <c r="E743" s="22"/>
      <c r="F743" s="22"/>
      <c r="G743" s="22"/>
      <c r="I743" s="5"/>
      <c r="J743" s="5"/>
      <c r="K743" s="22"/>
      <c r="L743" s="22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19"/>
      <c r="AH743" s="5"/>
      <c r="AI743" s="5"/>
      <c r="AJ743" s="5"/>
      <c r="AK743" s="5"/>
    </row>
    <row r="744" spans="1:37" x14ac:dyDescent="0.25">
      <c r="A744" s="182"/>
      <c r="B744" s="6"/>
      <c r="C744" s="6"/>
      <c r="D744" s="15"/>
      <c r="E744" s="22"/>
      <c r="F744" s="22"/>
      <c r="G744" s="22"/>
      <c r="I744" s="5"/>
      <c r="J744" s="5"/>
      <c r="K744" s="22"/>
      <c r="L744" s="22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19"/>
      <c r="AH744" s="5"/>
      <c r="AI744" s="5"/>
      <c r="AJ744" s="5"/>
      <c r="AK744" s="5"/>
    </row>
    <row r="745" spans="1:37" x14ac:dyDescent="0.25">
      <c r="A745" s="182"/>
      <c r="B745" s="6"/>
      <c r="C745" s="6"/>
      <c r="D745" s="15"/>
      <c r="E745" s="22"/>
      <c r="F745" s="22"/>
      <c r="G745" s="22"/>
      <c r="I745" s="5"/>
      <c r="J745" s="5"/>
      <c r="K745" s="22"/>
      <c r="L745" s="22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19"/>
      <c r="AH745" s="5"/>
      <c r="AI745" s="5"/>
      <c r="AJ745" s="5"/>
      <c r="AK745" s="5"/>
    </row>
    <row r="746" spans="1:37" x14ac:dyDescent="0.25">
      <c r="A746" s="182"/>
      <c r="B746" s="6"/>
      <c r="C746" s="6"/>
      <c r="D746" s="15"/>
      <c r="E746" s="22"/>
      <c r="F746" s="22"/>
      <c r="G746" s="22"/>
      <c r="I746" s="5"/>
      <c r="J746" s="5"/>
      <c r="K746" s="22"/>
      <c r="L746" s="22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19"/>
      <c r="AH746" s="5"/>
      <c r="AI746" s="5"/>
      <c r="AJ746" s="5"/>
      <c r="AK746" s="5"/>
    </row>
    <row r="747" spans="1:37" x14ac:dyDescent="0.25">
      <c r="A747" s="182"/>
      <c r="B747" s="6"/>
      <c r="C747" s="6"/>
      <c r="D747" s="15"/>
      <c r="E747" s="22"/>
      <c r="F747" s="22"/>
      <c r="G747" s="22"/>
      <c r="I747" s="5"/>
      <c r="J747" s="5"/>
      <c r="K747" s="22"/>
      <c r="L747" s="22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19"/>
      <c r="AH747" s="5"/>
      <c r="AI747" s="5"/>
      <c r="AJ747" s="5"/>
      <c r="AK747" s="5"/>
    </row>
    <row r="748" spans="1:37" x14ac:dyDescent="0.25">
      <c r="A748" s="182"/>
      <c r="B748" s="6"/>
      <c r="C748" s="6"/>
      <c r="D748" s="15"/>
      <c r="E748" s="22"/>
      <c r="F748" s="22"/>
      <c r="G748" s="22"/>
      <c r="I748" s="5"/>
      <c r="J748" s="5"/>
      <c r="K748" s="22"/>
      <c r="L748" s="22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19"/>
      <c r="AH748" s="5"/>
      <c r="AI748" s="5"/>
      <c r="AJ748" s="5"/>
      <c r="AK748" s="5"/>
    </row>
    <row r="749" spans="1:37" x14ac:dyDescent="0.25">
      <c r="A749" s="182"/>
      <c r="B749" s="6"/>
      <c r="C749" s="6"/>
      <c r="D749" s="15"/>
      <c r="E749" s="22"/>
      <c r="F749" s="22"/>
      <c r="G749" s="22"/>
      <c r="I749" s="5"/>
      <c r="J749" s="5"/>
      <c r="K749" s="22"/>
      <c r="L749" s="22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19"/>
      <c r="AH749" s="5"/>
      <c r="AI749" s="5"/>
      <c r="AJ749" s="5"/>
      <c r="AK749" s="5"/>
    </row>
    <row r="750" spans="1:37" x14ac:dyDescent="0.25">
      <c r="A750" s="182"/>
      <c r="B750" s="6"/>
      <c r="C750" s="6"/>
      <c r="D750" s="15"/>
      <c r="E750" s="22"/>
      <c r="F750" s="22"/>
      <c r="G750" s="22"/>
      <c r="I750" s="5"/>
      <c r="J750" s="5"/>
      <c r="K750" s="22"/>
      <c r="L750" s="22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19"/>
      <c r="AH750" s="5"/>
      <c r="AI750" s="5"/>
      <c r="AJ750" s="5"/>
      <c r="AK750" s="5"/>
    </row>
    <row r="751" spans="1:37" x14ac:dyDescent="0.25">
      <c r="A751" s="182"/>
      <c r="B751" s="6"/>
      <c r="C751" s="6"/>
      <c r="D751" s="15"/>
      <c r="E751" s="22"/>
      <c r="F751" s="22"/>
      <c r="G751" s="22"/>
      <c r="I751" s="5"/>
      <c r="J751" s="5"/>
      <c r="K751" s="22"/>
      <c r="L751" s="22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19"/>
      <c r="AH751" s="5"/>
      <c r="AI751" s="5"/>
      <c r="AJ751" s="5"/>
      <c r="AK751" s="5"/>
    </row>
    <row r="752" spans="1:37" x14ac:dyDescent="0.25">
      <c r="A752" s="182"/>
      <c r="B752" s="6"/>
      <c r="C752" s="6"/>
      <c r="D752" s="15"/>
      <c r="E752" s="22"/>
      <c r="F752" s="22"/>
      <c r="G752" s="22"/>
      <c r="I752" s="5"/>
      <c r="J752" s="5"/>
      <c r="K752" s="22"/>
      <c r="L752" s="22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19"/>
      <c r="AH752" s="5"/>
      <c r="AI752" s="5"/>
      <c r="AJ752" s="5"/>
      <c r="AK752" s="5"/>
    </row>
    <row r="753" spans="1:37" x14ac:dyDescent="0.25">
      <c r="A753" s="182"/>
      <c r="B753" s="6"/>
      <c r="C753" s="6"/>
      <c r="D753" s="15"/>
      <c r="E753" s="22"/>
      <c r="F753" s="22"/>
      <c r="G753" s="22"/>
      <c r="I753" s="5"/>
      <c r="J753" s="5"/>
      <c r="K753" s="22"/>
      <c r="L753" s="22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19"/>
      <c r="AH753" s="5"/>
      <c r="AI753" s="5"/>
      <c r="AJ753" s="5"/>
      <c r="AK753" s="5"/>
    </row>
    <row r="754" spans="1:37" x14ac:dyDescent="0.25">
      <c r="A754" s="182"/>
      <c r="B754" s="6"/>
      <c r="C754" s="6"/>
      <c r="D754" s="15"/>
      <c r="E754" s="22"/>
      <c r="F754" s="22"/>
      <c r="G754" s="22"/>
      <c r="I754" s="5"/>
      <c r="J754" s="5"/>
      <c r="K754" s="22"/>
      <c r="L754" s="22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19"/>
      <c r="AH754" s="5"/>
      <c r="AI754" s="5"/>
      <c r="AJ754" s="5"/>
      <c r="AK754" s="5"/>
    </row>
    <row r="755" spans="1:37" x14ac:dyDescent="0.25">
      <c r="A755" s="182"/>
      <c r="B755" s="6"/>
      <c r="C755" s="6"/>
      <c r="D755" s="15"/>
      <c r="E755" s="22"/>
      <c r="F755" s="22"/>
      <c r="G755" s="22"/>
      <c r="I755" s="5"/>
      <c r="J755" s="5"/>
      <c r="K755" s="22"/>
      <c r="L755" s="22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19"/>
      <c r="AH755" s="5"/>
      <c r="AI755" s="5"/>
      <c r="AJ755" s="5"/>
      <c r="AK755" s="5"/>
    </row>
    <row r="756" spans="1:37" x14ac:dyDescent="0.25">
      <c r="A756" s="182"/>
      <c r="B756" s="6"/>
      <c r="C756" s="6"/>
      <c r="D756" s="15"/>
      <c r="E756" s="22"/>
      <c r="F756" s="22"/>
      <c r="G756" s="22"/>
      <c r="I756" s="5"/>
      <c r="J756" s="5"/>
      <c r="K756" s="22"/>
      <c r="L756" s="22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19"/>
      <c r="AH756" s="5"/>
      <c r="AI756" s="5"/>
      <c r="AJ756" s="5"/>
      <c r="AK756" s="5"/>
    </row>
    <row r="757" spans="1:37" x14ac:dyDescent="0.25">
      <c r="A757" s="182"/>
      <c r="B757" s="6"/>
      <c r="C757" s="6"/>
      <c r="D757" s="15"/>
      <c r="E757" s="22"/>
      <c r="F757" s="22"/>
      <c r="G757" s="22"/>
      <c r="I757" s="5"/>
      <c r="J757" s="5"/>
      <c r="K757" s="22"/>
      <c r="L757" s="22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19"/>
      <c r="AH757" s="5"/>
      <c r="AI757" s="5"/>
      <c r="AJ757" s="5"/>
      <c r="AK757" s="5"/>
    </row>
    <row r="758" spans="1:37" x14ac:dyDescent="0.25">
      <c r="A758" s="182"/>
      <c r="B758" s="6"/>
      <c r="C758" s="6"/>
      <c r="D758" s="15"/>
      <c r="E758" s="22"/>
      <c r="F758" s="22"/>
      <c r="G758" s="22"/>
      <c r="I758" s="5"/>
      <c r="J758" s="5"/>
      <c r="K758" s="22"/>
      <c r="L758" s="22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19"/>
      <c r="AH758" s="5"/>
      <c r="AI758" s="5"/>
      <c r="AJ758" s="5"/>
      <c r="AK758" s="5"/>
    </row>
    <row r="759" spans="1:37" x14ac:dyDescent="0.25">
      <c r="A759" s="182"/>
      <c r="B759" s="6"/>
      <c r="C759" s="6"/>
      <c r="D759" s="15"/>
      <c r="E759" s="22"/>
      <c r="F759" s="22"/>
      <c r="G759" s="22"/>
      <c r="I759" s="5"/>
      <c r="J759" s="5"/>
      <c r="K759" s="22"/>
      <c r="L759" s="22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19"/>
      <c r="AH759" s="5"/>
      <c r="AI759" s="5"/>
      <c r="AJ759" s="5"/>
      <c r="AK759" s="5"/>
    </row>
    <row r="760" spans="1:37" x14ac:dyDescent="0.25">
      <c r="A760" s="182"/>
      <c r="B760" s="6"/>
      <c r="C760" s="6"/>
      <c r="D760" s="15"/>
      <c r="E760" s="22"/>
      <c r="F760" s="22"/>
      <c r="G760" s="22"/>
      <c r="I760" s="5"/>
      <c r="J760" s="5"/>
      <c r="K760" s="22"/>
      <c r="L760" s="22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19"/>
      <c r="AH760" s="5"/>
      <c r="AI760" s="5"/>
      <c r="AJ760" s="5"/>
      <c r="AK760" s="5"/>
    </row>
    <row r="761" spans="1:37" x14ac:dyDescent="0.25">
      <c r="A761" s="182"/>
      <c r="B761" s="6"/>
      <c r="C761" s="6"/>
      <c r="D761" s="15"/>
      <c r="E761" s="22"/>
      <c r="F761" s="22"/>
      <c r="G761" s="22"/>
      <c r="I761" s="5"/>
      <c r="J761" s="5"/>
      <c r="K761" s="22"/>
      <c r="L761" s="22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19"/>
      <c r="AH761" s="5"/>
      <c r="AI761" s="5"/>
      <c r="AJ761" s="5"/>
      <c r="AK761" s="5"/>
    </row>
    <row r="762" spans="1:37" x14ac:dyDescent="0.25">
      <c r="A762" s="182"/>
      <c r="B762" s="6"/>
      <c r="C762" s="6"/>
      <c r="D762" s="15"/>
      <c r="E762" s="22"/>
      <c r="F762" s="22"/>
      <c r="G762" s="22"/>
      <c r="I762" s="5"/>
      <c r="J762" s="5"/>
      <c r="K762" s="22"/>
      <c r="L762" s="22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19"/>
      <c r="AH762" s="5"/>
      <c r="AI762" s="5"/>
      <c r="AJ762" s="5"/>
      <c r="AK762" s="5"/>
    </row>
    <row r="763" spans="1:37" x14ac:dyDescent="0.25">
      <c r="A763" s="182"/>
      <c r="B763" s="6"/>
      <c r="C763" s="6"/>
      <c r="D763" s="15"/>
      <c r="E763" s="22"/>
      <c r="F763" s="22"/>
      <c r="G763" s="22"/>
      <c r="I763" s="5"/>
      <c r="J763" s="5"/>
      <c r="K763" s="22"/>
      <c r="L763" s="22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19"/>
      <c r="AH763" s="5"/>
      <c r="AI763" s="5"/>
      <c r="AJ763" s="5"/>
      <c r="AK763" s="5"/>
    </row>
    <row r="764" spans="1:37" x14ac:dyDescent="0.25">
      <c r="A764" s="182"/>
      <c r="B764" s="6"/>
      <c r="C764" s="6"/>
      <c r="D764" s="15"/>
      <c r="E764" s="22"/>
      <c r="F764" s="22"/>
      <c r="G764" s="22"/>
      <c r="I764" s="5"/>
      <c r="J764" s="5"/>
      <c r="K764" s="22"/>
      <c r="L764" s="22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19"/>
      <c r="AH764" s="5"/>
      <c r="AI764" s="5"/>
      <c r="AJ764" s="5"/>
      <c r="AK764" s="5"/>
    </row>
    <row r="765" spans="1:37" x14ac:dyDescent="0.25">
      <c r="A765" s="182"/>
      <c r="B765" s="6"/>
      <c r="C765" s="6"/>
      <c r="D765" s="15"/>
      <c r="E765" s="22"/>
      <c r="F765" s="22"/>
      <c r="G765" s="22"/>
      <c r="I765" s="5"/>
      <c r="J765" s="5"/>
      <c r="K765" s="22"/>
      <c r="L765" s="22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19"/>
      <c r="AH765" s="5"/>
      <c r="AI765" s="5"/>
      <c r="AJ765" s="5"/>
      <c r="AK765" s="5"/>
    </row>
    <row r="766" spans="1:37" x14ac:dyDescent="0.25">
      <c r="A766" s="182"/>
      <c r="B766" s="6"/>
      <c r="C766" s="6"/>
      <c r="D766" s="15"/>
      <c r="E766" s="22"/>
      <c r="F766" s="22"/>
      <c r="G766" s="22"/>
      <c r="I766" s="5"/>
      <c r="J766" s="5"/>
      <c r="K766" s="22"/>
      <c r="L766" s="22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19"/>
      <c r="AH766" s="5"/>
      <c r="AI766" s="5"/>
      <c r="AJ766" s="5"/>
      <c r="AK766" s="5"/>
    </row>
    <row r="767" spans="1:37" x14ac:dyDescent="0.25">
      <c r="A767" s="182"/>
      <c r="B767" s="6"/>
      <c r="C767" s="6"/>
      <c r="D767" s="15"/>
      <c r="E767" s="22"/>
      <c r="F767" s="22"/>
      <c r="G767" s="22"/>
      <c r="I767" s="5"/>
      <c r="J767" s="5"/>
      <c r="K767" s="22"/>
      <c r="L767" s="22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19"/>
      <c r="AH767" s="5"/>
      <c r="AI767" s="5"/>
      <c r="AJ767" s="5"/>
      <c r="AK767" s="5"/>
    </row>
    <row r="768" spans="1:37" x14ac:dyDescent="0.25">
      <c r="A768" s="182"/>
      <c r="B768" s="6"/>
      <c r="C768" s="6"/>
      <c r="D768" s="15"/>
      <c r="E768" s="22"/>
      <c r="F768" s="22"/>
      <c r="G768" s="22"/>
      <c r="I768" s="5"/>
      <c r="J768" s="5"/>
      <c r="K768" s="22"/>
      <c r="L768" s="22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19"/>
      <c r="AH768" s="5"/>
      <c r="AI768" s="5"/>
      <c r="AJ768" s="5"/>
      <c r="AK768" s="5"/>
    </row>
    <row r="769" spans="1:37" x14ac:dyDescent="0.25">
      <c r="A769" s="182"/>
      <c r="B769" s="6"/>
      <c r="C769" s="6"/>
      <c r="D769" s="15"/>
      <c r="E769" s="22"/>
      <c r="F769" s="22"/>
      <c r="G769" s="22"/>
      <c r="I769" s="5"/>
      <c r="J769" s="5"/>
      <c r="K769" s="22"/>
      <c r="L769" s="22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19"/>
      <c r="AH769" s="5"/>
      <c r="AI769" s="5"/>
      <c r="AJ769" s="5"/>
      <c r="AK769" s="5"/>
    </row>
    <row r="770" spans="1:37" x14ac:dyDescent="0.25">
      <c r="A770" s="182"/>
      <c r="B770" s="6"/>
      <c r="C770" s="6"/>
      <c r="D770" s="15"/>
      <c r="E770" s="22"/>
      <c r="F770" s="22"/>
      <c r="G770" s="22"/>
      <c r="I770" s="5"/>
      <c r="J770" s="5"/>
      <c r="K770" s="22"/>
      <c r="L770" s="22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19"/>
      <c r="AH770" s="5"/>
      <c r="AI770" s="5"/>
      <c r="AJ770" s="5"/>
      <c r="AK770" s="5"/>
    </row>
    <row r="771" spans="1:37" x14ac:dyDescent="0.25">
      <c r="A771" s="182"/>
      <c r="B771" s="6"/>
      <c r="C771" s="6"/>
      <c r="D771" s="15"/>
      <c r="E771" s="22"/>
      <c r="F771" s="22"/>
      <c r="G771" s="22"/>
      <c r="I771" s="5"/>
      <c r="J771" s="5"/>
      <c r="K771" s="22"/>
      <c r="L771" s="22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19"/>
      <c r="AH771" s="5"/>
      <c r="AI771" s="5"/>
      <c r="AJ771" s="5"/>
      <c r="AK771" s="5"/>
    </row>
    <row r="772" spans="1:37" x14ac:dyDescent="0.25">
      <c r="A772" s="182"/>
      <c r="B772" s="6"/>
      <c r="C772" s="6"/>
      <c r="D772" s="15"/>
      <c r="E772" s="22"/>
      <c r="F772" s="22"/>
      <c r="G772" s="22"/>
      <c r="I772" s="5"/>
      <c r="J772" s="5"/>
      <c r="K772" s="22"/>
      <c r="L772" s="22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19"/>
      <c r="AH772" s="5"/>
      <c r="AI772" s="5"/>
      <c r="AJ772" s="5"/>
      <c r="AK772" s="5"/>
    </row>
    <row r="773" spans="1:37" x14ac:dyDescent="0.25">
      <c r="A773" s="182"/>
      <c r="B773" s="6"/>
      <c r="C773" s="6"/>
      <c r="D773" s="15"/>
      <c r="E773" s="22"/>
      <c r="F773" s="22"/>
      <c r="G773" s="22"/>
      <c r="I773" s="5"/>
      <c r="J773" s="5"/>
      <c r="K773" s="22"/>
      <c r="L773" s="22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19"/>
      <c r="AH773" s="5"/>
      <c r="AI773" s="5"/>
      <c r="AJ773" s="5"/>
      <c r="AK773" s="5"/>
    </row>
    <row r="774" spans="1:37" x14ac:dyDescent="0.25">
      <c r="A774" s="182"/>
      <c r="B774" s="6"/>
      <c r="C774" s="6"/>
      <c r="D774" s="15"/>
      <c r="E774" s="22"/>
      <c r="F774" s="22"/>
      <c r="G774" s="22"/>
      <c r="I774" s="5"/>
      <c r="J774" s="5"/>
      <c r="K774" s="22"/>
      <c r="L774" s="22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19"/>
      <c r="AH774" s="5"/>
      <c r="AI774" s="5"/>
      <c r="AJ774" s="5"/>
      <c r="AK774" s="5"/>
    </row>
    <row r="775" spans="1:37" x14ac:dyDescent="0.25">
      <c r="A775" s="182"/>
      <c r="B775" s="6"/>
      <c r="C775" s="6"/>
      <c r="D775" s="15"/>
      <c r="E775" s="22"/>
      <c r="F775" s="22"/>
      <c r="G775" s="22"/>
      <c r="I775" s="5"/>
      <c r="J775" s="5"/>
      <c r="K775" s="22"/>
      <c r="L775" s="22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19"/>
      <c r="AH775" s="5"/>
      <c r="AI775" s="5"/>
      <c r="AJ775" s="5"/>
      <c r="AK775" s="5"/>
    </row>
    <row r="776" spans="1:37" x14ac:dyDescent="0.25">
      <c r="A776" s="182"/>
      <c r="B776" s="6"/>
      <c r="C776" s="6"/>
      <c r="D776" s="15"/>
      <c r="E776" s="22"/>
      <c r="F776" s="22"/>
      <c r="G776" s="22"/>
      <c r="I776" s="5"/>
      <c r="J776" s="5"/>
      <c r="K776" s="22"/>
      <c r="L776" s="22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19"/>
      <c r="AH776" s="5"/>
      <c r="AI776" s="5"/>
      <c r="AJ776" s="5"/>
      <c r="AK776" s="5"/>
    </row>
    <row r="777" spans="1:37" x14ac:dyDescent="0.25">
      <c r="A777" s="182"/>
      <c r="B777" s="6"/>
      <c r="C777" s="6"/>
      <c r="D777" s="15"/>
      <c r="E777" s="22"/>
      <c r="F777" s="22"/>
      <c r="G777" s="22"/>
      <c r="I777" s="5"/>
      <c r="J777" s="5"/>
      <c r="K777" s="22"/>
      <c r="L777" s="22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19"/>
      <c r="AH777" s="5"/>
      <c r="AI777" s="5"/>
      <c r="AJ777" s="5"/>
      <c r="AK777" s="5"/>
    </row>
    <row r="778" spans="1:37" x14ac:dyDescent="0.25">
      <c r="A778" s="182"/>
      <c r="B778" s="6"/>
      <c r="C778" s="6"/>
      <c r="D778" s="15"/>
      <c r="E778" s="22"/>
      <c r="F778" s="22"/>
      <c r="G778" s="22"/>
      <c r="I778" s="5"/>
      <c r="J778" s="5"/>
      <c r="K778" s="22"/>
      <c r="L778" s="22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19"/>
      <c r="AH778" s="5"/>
      <c r="AI778" s="5"/>
      <c r="AJ778" s="5"/>
      <c r="AK778" s="5"/>
    </row>
    <row r="779" spans="1:37" x14ac:dyDescent="0.25">
      <c r="A779" s="182"/>
      <c r="B779" s="6"/>
      <c r="C779" s="6"/>
      <c r="D779" s="15"/>
      <c r="E779" s="22"/>
      <c r="F779" s="22"/>
      <c r="G779" s="22"/>
      <c r="I779" s="5"/>
      <c r="J779" s="5"/>
      <c r="K779" s="22"/>
      <c r="L779" s="22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19"/>
      <c r="AH779" s="5"/>
      <c r="AI779" s="5"/>
      <c r="AJ779" s="5"/>
      <c r="AK779" s="5"/>
    </row>
    <row r="780" spans="1:37" x14ac:dyDescent="0.25">
      <c r="A780" s="182"/>
      <c r="B780" s="6"/>
      <c r="C780" s="6"/>
      <c r="D780" s="15"/>
      <c r="E780" s="22"/>
      <c r="F780" s="22"/>
      <c r="G780" s="22"/>
      <c r="I780" s="5"/>
      <c r="J780" s="5"/>
      <c r="K780" s="22"/>
      <c r="L780" s="22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19"/>
      <c r="AH780" s="5"/>
      <c r="AI780" s="5"/>
      <c r="AJ780" s="5"/>
      <c r="AK780" s="5"/>
    </row>
    <row r="781" spans="1:37" x14ac:dyDescent="0.25">
      <c r="A781" s="182"/>
      <c r="B781" s="6"/>
      <c r="C781" s="6"/>
      <c r="D781" s="15"/>
      <c r="E781" s="22"/>
      <c r="F781" s="22"/>
      <c r="G781" s="22"/>
      <c r="I781" s="5"/>
      <c r="J781" s="5"/>
      <c r="K781" s="22"/>
      <c r="L781" s="22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19"/>
      <c r="AH781" s="5"/>
      <c r="AI781" s="5"/>
      <c r="AJ781" s="5"/>
      <c r="AK781" s="5"/>
    </row>
    <row r="782" spans="1:37" x14ac:dyDescent="0.25">
      <c r="A782" s="182"/>
      <c r="B782" s="6"/>
      <c r="C782" s="6"/>
      <c r="D782" s="15"/>
      <c r="E782" s="22"/>
      <c r="F782" s="22"/>
      <c r="G782" s="22"/>
      <c r="I782" s="5"/>
      <c r="J782" s="5"/>
      <c r="K782" s="22"/>
      <c r="L782" s="22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19"/>
      <c r="AH782" s="5"/>
      <c r="AI782" s="5"/>
      <c r="AJ782" s="5"/>
      <c r="AK782" s="5"/>
    </row>
    <row r="783" spans="1:37" x14ac:dyDescent="0.25">
      <c r="A783" s="182"/>
      <c r="B783" s="6"/>
      <c r="C783" s="6"/>
      <c r="D783" s="15"/>
      <c r="E783" s="22"/>
      <c r="F783" s="22"/>
      <c r="G783" s="22"/>
      <c r="I783" s="5"/>
      <c r="J783" s="5"/>
      <c r="K783" s="22"/>
      <c r="L783" s="22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19"/>
      <c r="AH783" s="5"/>
      <c r="AI783" s="5"/>
      <c r="AJ783" s="5"/>
      <c r="AK783" s="5"/>
    </row>
    <row r="784" spans="1:37" x14ac:dyDescent="0.25">
      <c r="A784" s="182"/>
      <c r="B784" s="6"/>
      <c r="C784" s="6"/>
      <c r="D784" s="15"/>
      <c r="E784" s="22"/>
      <c r="F784" s="22"/>
      <c r="G784" s="22"/>
      <c r="I784" s="5"/>
      <c r="J784" s="5"/>
      <c r="K784" s="22"/>
      <c r="L784" s="22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19"/>
      <c r="AH784" s="5"/>
      <c r="AI784" s="5"/>
      <c r="AJ784" s="5"/>
      <c r="AK784" s="5"/>
    </row>
    <row r="785" spans="1:37" x14ac:dyDescent="0.25">
      <c r="A785" s="182"/>
      <c r="B785" s="6"/>
      <c r="C785" s="6"/>
      <c r="D785" s="15"/>
      <c r="E785" s="22"/>
      <c r="F785" s="22"/>
      <c r="G785" s="22"/>
      <c r="I785" s="5"/>
      <c r="J785" s="5"/>
      <c r="K785" s="22"/>
      <c r="L785" s="22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19"/>
      <c r="AH785" s="5"/>
      <c r="AI785" s="5"/>
      <c r="AJ785" s="5"/>
      <c r="AK785" s="5"/>
    </row>
    <row r="786" spans="1:37" x14ac:dyDescent="0.25">
      <c r="A786" s="182"/>
      <c r="B786" s="6"/>
      <c r="C786" s="6"/>
      <c r="D786" s="15"/>
      <c r="E786" s="22"/>
      <c r="F786" s="22"/>
      <c r="G786" s="22"/>
      <c r="I786" s="5"/>
      <c r="J786" s="5"/>
      <c r="K786" s="22"/>
      <c r="L786" s="22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19"/>
      <c r="AH786" s="5"/>
      <c r="AI786" s="5"/>
      <c r="AJ786" s="5"/>
      <c r="AK786" s="5"/>
    </row>
    <row r="787" spans="1:37" x14ac:dyDescent="0.25">
      <c r="A787" s="182"/>
      <c r="B787" s="6"/>
      <c r="C787" s="6"/>
      <c r="D787" s="15"/>
      <c r="E787" s="22"/>
      <c r="F787" s="22"/>
      <c r="G787" s="22"/>
      <c r="I787" s="5"/>
      <c r="J787" s="5"/>
      <c r="K787" s="22"/>
      <c r="L787" s="22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19"/>
      <c r="AH787" s="5"/>
      <c r="AI787" s="5"/>
      <c r="AJ787" s="5"/>
      <c r="AK787" s="5"/>
    </row>
    <row r="788" spans="1:37" x14ac:dyDescent="0.25">
      <c r="A788" s="182"/>
      <c r="B788" s="6"/>
      <c r="C788" s="6"/>
      <c r="D788" s="15"/>
      <c r="E788" s="22"/>
      <c r="F788" s="22"/>
      <c r="G788" s="22"/>
      <c r="I788" s="5"/>
      <c r="J788" s="5"/>
      <c r="K788" s="22"/>
      <c r="L788" s="22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19"/>
      <c r="AH788" s="5"/>
      <c r="AI788" s="5"/>
      <c r="AJ788" s="5"/>
      <c r="AK788" s="5"/>
    </row>
    <row r="789" spans="1:37" x14ac:dyDescent="0.25">
      <c r="A789" s="182"/>
      <c r="B789" s="6"/>
      <c r="C789" s="6"/>
      <c r="D789" s="15"/>
      <c r="E789" s="22"/>
      <c r="F789" s="22"/>
      <c r="G789" s="22"/>
      <c r="I789" s="5"/>
      <c r="J789" s="5"/>
      <c r="K789" s="22"/>
      <c r="L789" s="22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19"/>
      <c r="AH789" s="5"/>
      <c r="AI789" s="5"/>
      <c r="AJ789" s="5"/>
      <c r="AK789" s="5"/>
    </row>
    <row r="790" spans="1:37" x14ac:dyDescent="0.25">
      <c r="A790" s="182"/>
      <c r="B790" s="6"/>
      <c r="C790" s="6"/>
      <c r="D790" s="15"/>
      <c r="E790" s="22"/>
      <c r="F790" s="22"/>
      <c r="G790" s="22"/>
      <c r="I790" s="5"/>
      <c r="J790" s="5"/>
      <c r="K790" s="22"/>
      <c r="L790" s="22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19"/>
      <c r="AH790" s="5"/>
      <c r="AI790" s="5"/>
      <c r="AJ790" s="5"/>
      <c r="AK790" s="5"/>
    </row>
    <row r="791" spans="1:37" x14ac:dyDescent="0.25">
      <c r="A791" s="182"/>
      <c r="B791" s="6"/>
      <c r="C791" s="6"/>
      <c r="D791" s="15"/>
      <c r="E791" s="22"/>
      <c r="F791" s="22"/>
      <c r="G791" s="22"/>
      <c r="I791" s="5"/>
      <c r="J791" s="5"/>
      <c r="K791" s="22"/>
      <c r="L791" s="22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19"/>
      <c r="AH791" s="5"/>
      <c r="AI791" s="5"/>
      <c r="AJ791" s="5"/>
      <c r="AK791" s="5"/>
    </row>
    <row r="792" spans="1:37" x14ac:dyDescent="0.25">
      <c r="A792" s="182"/>
      <c r="B792" s="6"/>
      <c r="C792" s="6"/>
      <c r="D792" s="15"/>
      <c r="E792" s="22"/>
      <c r="F792" s="22"/>
      <c r="G792" s="22"/>
      <c r="I792" s="5"/>
      <c r="J792" s="5"/>
      <c r="K792" s="22"/>
      <c r="L792" s="22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19"/>
      <c r="AH792" s="5"/>
      <c r="AI792" s="5"/>
      <c r="AJ792" s="5"/>
      <c r="AK792" s="5"/>
    </row>
    <row r="793" spans="1:37" x14ac:dyDescent="0.25">
      <c r="A793" s="182"/>
      <c r="B793" s="6"/>
      <c r="C793" s="6"/>
      <c r="D793" s="15"/>
      <c r="E793" s="22"/>
      <c r="F793" s="22"/>
      <c r="G793" s="22"/>
      <c r="I793" s="5"/>
      <c r="J793" s="5"/>
      <c r="K793" s="22"/>
      <c r="L793" s="22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19"/>
      <c r="AH793" s="5"/>
      <c r="AI793" s="5"/>
      <c r="AJ793" s="5"/>
      <c r="AK793" s="5"/>
    </row>
    <row r="794" spans="1:37" x14ac:dyDescent="0.25">
      <c r="A794" s="182"/>
      <c r="B794" s="6"/>
      <c r="C794" s="6"/>
      <c r="D794" s="15"/>
      <c r="E794" s="22"/>
      <c r="F794" s="22"/>
      <c r="G794" s="22"/>
      <c r="I794" s="5"/>
      <c r="J794" s="5"/>
      <c r="K794" s="22"/>
      <c r="L794" s="22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19"/>
      <c r="AH794" s="5"/>
      <c r="AI794" s="5"/>
      <c r="AJ794" s="5"/>
      <c r="AK794" s="5"/>
    </row>
    <row r="795" spans="1:37" x14ac:dyDescent="0.25">
      <c r="A795" s="182"/>
      <c r="B795" s="6"/>
      <c r="C795" s="6"/>
      <c r="D795" s="15"/>
      <c r="E795" s="22"/>
      <c r="F795" s="22"/>
      <c r="G795" s="22"/>
      <c r="I795" s="5"/>
      <c r="J795" s="5"/>
      <c r="K795" s="22"/>
      <c r="L795" s="22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19"/>
      <c r="AH795" s="5"/>
      <c r="AI795" s="5"/>
      <c r="AJ795" s="5"/>
      <c r="AK795" s="5"/>
    </row>
    <row r="796" spans="1:37" x14ac:dyDescent="0.25">
      <c r="A796" s="182"/>
      <c r="B796" s="6"/>
      <c r="C796" s="6"/>
      <c r="D796" s="15"/>
      <c r="E796" s="22"/>
      <c r="F796" s="22"/>
      <c r="G796" s="22"/>
      <c r="I796" s="5"/>
      <c r="J796" s="5"/>
      <c r="K796" s="22"/>
      <c r="L796" s="22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19"/>
      <c r="AH796" s="5"/>
      <c r="AI796" s="5"/>
      <c r="AJ796" s="5"/>
      <c r="AK796" s="5"/>
    </row>
    <row r="797" spans="1:37" x14ac:dyDescent="0.25">
      <c r="A797" s="182"/>
      <c r="B797" s="6"/>
      <c r="C797" s="6"/>
      <c r="D797" s="15"/>
      <c r="E797" s="22"/>
      <c r="F797" s="22"/>
      <c r="G797" s="22"/>
      <c r="I797" s="5"/>
      <c r="J797" s="5"/>
      <c r="K797" s="22"/>
      <c r="L797" s="22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19"/>
      <c r="AH797" s="5"/>
      <c r="AI797" s="5"/>
      <c r="AJ797" s="5"/>
      <c r="AK797" s="5"/>
    </row>
    <row r="798" spans="1:37" x14ac:dyDescent="0.25">
      <c r="A798" s="182"/>
      <c r="B798" s="6"/>
      <c r="C798" s="6"/>
      <c r="D798" s="15"/>
      <c r="E798" s="22"/>
      <c r="F798" s="22"/>
      <c r="G798" s="22"/>
      <c r="I798" s="5"/>
      <c r="J798" s="5"/>
      <c r="K798" s="22"/>
      <c r="L798" s="22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19"/>
      <c r="AH798" s="5"/>
      <c r="AI798" s="5"/>
      <c r="AJ798" s="5"/>
      <c r="AK798" s="5"/>
    </row>
    <row r="799" spans="1:37" x14ac:dyDescent="0.25">
      <c r="A799" s="182"/>
      <c r="B799" s="6"/>
      <c r="C799" s="6"/>
      <c r="D799" s="15"/>
      <c r="E799" s="22"/>
      <c r="F799" s="22"/>
      <c r="G799" s="22"/>
      <c r="I799" s="5"/>
      <c r="J799" s="5"/>
      <c r="K799" s="22"/>
      <c r="L799" s="22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19"/>
      <c r="AH799" s="5"/>
      <c r="AI799" s="5"/>
      <c r="AJ799" s="5"/>
      <c r="AK799" s="5"/>
    </row>
    <row r="800" spans="1:37" x14ac:dyDescent="0.25">
      <c r="A800" s="182"/>
      <c r="B800" s="6"/>
      <c r="C800" s="6"/>
      <c r="D800" s="15"/>
      <c r="E800" s="22"/>
      <c r="F800" s="22"/>
      <c r="G800" s="22"/>
      <c r="I800" s="5"/>
      <c r="J800" s="5"/>
      <c r="K800" s="22"/>
      <c r="L800" s="22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19"/>
      <c r="AH800" s="5"/>
      <c r="AI800" s="5"/>
      <c r="AJ800" s="5"/>
      <c r="AK800" s="5"/>
    </row>
    <row r="801" spans="1:37" x14ac:dyDescent="0.25">
      <c r="A801" s="182"/>
      <c r="B801" s="6"/>
      <c r="C801" s="6"/>
      <c r="D801" s="15"/>
      <c r="E801" s="22"/>
      <c r="F801" s="22"/>
      <c r="G801" s="22"/>
      <c r="I801" s="5"/>
      <c r="J801" s="5"/>
      <c r="K801" s="22"/>
      <c r="L801" s="22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19"/>
      <c r="AH801" s="5"/>
      <c r="AI801" s="5"/>
      <c r="AJ801" s="5"/>
      <c r="AK801" s="5"/>
    </row>
    <row r="802" spans="1:37" x14ac:dyDescent="0.25">
      <c r="A802" s="182"/>
      <c r="B802" s="6"/>
      <c r="C802" s="6"/>
      <c r="D802" s="15"/>
      <c r="E802" s="22"/>
      <c r="F802" s="22"/>
      <c r="G802" s="22"/>
      <c r="I802" s="5"/>
      <c r="J802" s="5"/>
      <c r="K802" s="22"/>
      <c r="L802" s="22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19"/>
      <c r="AH802" s="5"/>
      <c r="AI802" s="5"/>
      <c r="AJ802" s="5"/>
      <c r="AK802" s="5"/>
    </row>
    <row r="803" spans="1:37" x14ac:dyDescent="0.25">
      <c r="A803" s="182"/>
      <c r="B803" s="6"/>
      <c r="C803" s="6"/>
      <c r="D803" s="15"/>
      <c r="E803" s="22"/>
      <c r="F803" s="22"/>
      <c r="G803" s="22"/>
      <c r="I803" s="5"/>
      <c r="J803" s="5"/>
      <c r="K803" s="22"/>
      <c r="L803" s="22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19"/>
      <c r="AH803" s="5"/>
      <c r="AI803" s="5"/>
      <c r="AJ803" s="5"/>
      <c r="AK803" s="5"/>
    </row>
    <row r="804" spans="1:37" x14ac:dyDescent="0.25">
      <c r="A804" s="182"/>
      <c r="B804" s="6"/>
      <c r="C804" s="6"/>
      <c r="D804" s="15"/>
      <c r="E804" s="22"/>
      <c r="F804" s="22"/>
      <c r="G804" s="22"/>
      <c r="I804" s="5"/>
      <c r="J804" s="5"/>
      <c r="K804" s="22"/>
      <c r="L804" s="22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19"/>
      <c r="AH804" s="5"/>
      <c r="AI804" s="5"/>
      <c r="AJ804" s="5"/>
      <c r="AK804" s="5"/>
    </row>
    <row r="805" spans="1:37" x14ac:dyDescent="0.25">
      <c r="A805" s="182"/>
      <c r="B805" s="6"/>
      <c r="C805" s="6"/>
      <c r="D805" s="15"/>
      <c r="E805" s="22"/>
      <c r="F805" s="22"/>
      <c r="G805" s="22"/>
      <c r="I805" s="5"/>
      <c r="J805" s="5"/>
      <c r="K805" s="22"/>
      <c r="L805" s="22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19"/>
      <c r="AH805" s="5"/>
      <c r="AI805" s="5"/>
      <c r="AJ805" s="5"/>
      <c r="AK805" s="5"/>
    </row>
    <row r="806" spans="1:37" x14ac:dyDescent="0.25">
      <c r="A806" s="182"/>
      <c r="B806" s="6"/>
      <c r="C806" s="6"/>
      <c r="D806" s="15"/>
      <c r="E806" s="22"/>
      <c r="F806" s="22"/>
      <c r="G806" s="22"/>
      <c r="I806" s="5"/>
      <c r="J806" s="5"/>
      <c r="K806" s="22"/>
      <c r="L806" s="22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19"/>
      <c r="AH806" s="5"/>
      <c r="AI806" s="5"/>
      <c r="AJ806" s="5"/>
      <c r="AK806" s="5"/>
    </row>
    <row r="807" spans="1:37" x14ac:dyDescent="0.25">
      <c r="A807" s="182"/>
      <c r="B807" s="6"/>
      <c r="C807" s="6"/>
      <c r="D807" s="15"/>
      <c r="E807" s="22"/>
      <c r="F807" s="22"/>
      <c r="G807" s="22"/>
      <c r="I807" s="5"/>
      <c r="J807" s="5"/>
      <c r="K807" s="22"/>
      <c r="L807" s="22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19"/>
      <c r="AH807" s="5"/>
      <c r="AI807" s="5"/>
      <c r="AJ807" s="5"/>
      <c r="AK807" s="5"/>
    </row>
    <row r="808" spans="1:37" x14ac:dyDescent="0.25">
      <c r="A808" s="182"/>
      <c r="B808" s="6"/>
      <c r="C808" s="6"/>
      <c r="D808" s="15"/>
      <c r="E808" s="22"/>
      <c r="F808" s="22"/>
      <c r="G808" s="22"/>
      <c r="I808" s="5"/>
      <c r="J808" s="5"/>
      <c r="K808" s="22"/>
      <c r="L808" s="22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19"/>
      <c r="AH808" s="5"/>
      <c r="AI808" s="5"/>
      <c r="AJ808" s="5"/>
      <c r="AK808" s="5"/>
    </row>
    <row r="809" spans="1:37" x14ac:dyDescent="0.25">
      <c r="A809" s="182"/>
      <c r="B809" s="6"/>
      <c r="C809" s="6"/>
      <c r="D809" s="15"/>
      <c r="E809" s="22"/>
      <c r="F809" s="22"/>
      <c r="G809" s="22"/>
      <c r="I809" s="5"/>
      <c r="J809" s="5"/>
      <c r="K809" s="22"/>
      <c r="L809" s="22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19"/>
      <c r="AH809" s="5"/>
      <c r="AI809" s="5"/>
      <c r="AJ809" s="5"/>
      <c r="AK809" s="5"/>
    </row>
    <row r="810" spans="1:37" x14ac:dyDescent="0.25">
      <c r="A810" s="182"/>
      <c r="B810" s="6"/>
      <c r="C810" s="6"/>
      <c r="D810" s="15"/>
      <c r="E810" s="22"/>
      <c r="F810" s="22"/>
      <c r="G810" s="22"/>
      <c r="I810" s="5"/>
      <c r="J810" s="5"/>
      <c r="K810" s="22"/>
      <c r="L810" s="22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19"/>
      <c r="AH810" s="5"/>
      <c r="AI810" s="5"/>
      <c r="AJ810" s="5"/>
      <c r="AK810" s="5"/>
    </row>
    <row r="811" spans="1:37" x14ac:dyDescent="0.25">
      <c r="A811" s="182"/>
      <c r="B811" s="6"/>
      <c r="C811" s="6"/>
      <c r="D811" s="15"/>
      <c r="E811" s="22"/>
      <c r="F811" s="22"/>
      <c r="G811" s="22"/>
      <c r="I811" s="5"/>
      <c r="J811" s="5"/>
      <c r="K811" s="22"/>
      <c r="L811" s="22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19"/>
      <c r="AH811" s="5"/>
      <c r="AI811" s="5"/>
      <c r="AJ811" s="5"/>
      <c r="AK811" s="5"/>
    </row>
    <row r="812" spans="1:37" x14ac:dyDescent="0.25">
      <c r="A812" s="182"/>
      <c r="B812" s="6"/>
      <c r="C812" s="6"/>
      <c r="D812" s="15"/>
      <c r="E812" s="22"/>
      <c r="F812" s="22"/>
      <c r="G812" s="22"/>
      <c r="I812" s="5"/>
      <c r="J812" s="5"/>
      <c r="K812" s="22"/>
      <c r="L812" s="22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19"/>
      <c r="AH812" s="5"/>
      <c r="AI812" s="5"/>
      <c r="AJ812" s="5"/>
      <c r="AK812" s="5"/>
    </row>
    <row r="813" spans="1:37" x14ac:dyDescent="0.25">
      <c r="A813" s="182"/>
      <c r="B813" s="6"/>
      <c r="C813" s="6"/>
      <c r="D813" s="15"/>
      <c r="E813" s="22"/>
      <c r="F813" s="22"/>
      <c r="G813" s="22"/>
      <c r="I813" s="5"/>
      <c r="J813" s="5"/>
      <c r="K813" s="22"/>
      <c r="L813" s="22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19"/>
      <c r="AH813" s="5"/>
      <c r="AI813" s="5"/>
      <c r="AJ813" s="5"/>
      <c r="AK813" s="5"/>
    </row>
    <row r="814" spans="1:37" x14ac:dyDescent="0.25">
      <c r="A814" s="182"/>
      <c r="B814" s="6"/>
      <c r="C814" s="6"/>
      <c r="D814" s="15"/>
      <c r="E814" s="22"/>
      <c r="F814" s="22"/>
      <c r="G814" s="22"/>
      <c r="I814" s="5"/>
      <c r="J814" s="5"/>
      <c r="K814" s="22"/>
      <c r="L814" s="22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19"/>
      <c r="AH814" s="5"/>
      <c r="AI814" s="5"/>
      <c r="AJ814" s="5"/>
      <c r="AK814" s="5"/>
    </row>
    <row r="815" spans="1:37" x14ac:dyDescent="0.25">
      <c r="A815" s="182"/>
      <c r="B815" s="6"/>
      <c r="C815" s="6"/>
      <c r="D815" s="15"/>
      <c r="E815" s="22"/>
      <c r="F815" s="22"/>
      <c r="G815" s="22"/>
      <c r="I815" s="5"/>
      <c r="J815" s="5"/>
      <c r="K815" s="22"/>
      <c r="L815" s="22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19"/>
      <c r="AH815" s="5"/>
      <c r="AI815" s="5"/>
      <c r="AJ815" s="5"/>
      <c r="AK815" s="5"/>
    </row>
    <row r="816" spans="1:37" x14ac:dyDescent="0.25">
      <c r="A816" s="182"/>
      <c r="B816" s="6"/>
      <c r="C816" s="6"/>
      <c r="D816" s="15"/>
      <c r="E816" s="22"/>
      <c r="F816" s="22"/>
      <c r="G816" s="22"/>
      <c r="I816" s="5"/>
      <c r="J816" s="5"/>
      <c r="K816" s="22"/>
      <c r="L816" s="22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19"/>
      <c r="AH816" s="5"/>
      <c r="AI816" s="5"/>
      <c r="AJ816" s="5"/>
      <c r="AK816" s="5"/>
    </row>
    <row r="817" spans="1:37" x14ac:dyDescent="0.25">
      <c r="A817" s="182"/>
      <c r="B817" s="6"/>
      <c r="C817" s="6"/>
      <c r="D817" s="15"/>
      <c r="E817" s="22"/>
      <c r="F817" s="22"/>
      <c r="G817" s="22"/>
      <c r="I817" s="5"/>
      <c r="J817" s="5"/>
      <c r="K817" s="22"/>
      <c r="L817" s="22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19"/>
      <c r="AH817" s="5"/>
      <c r="AI817" s="5"/>
      <c r="AJ817" s="5"/>
      <c r="AK817" s="5"/>
    </row>
    <row r="818" spans="1:37" x14ac:dyDescent="0.25">
      <c r="A818" s="182"/>
      <c r="B818" s="6"/>
      <c r="C818" s="6"/>
      <c r="D818" s="15"/>
      <c r="E818" s="22"/>
      <c r="F818" s="22"/>
      <c r="G818" s="22"/>
      <c r="I818" s="5"/>
      <c r="J818" s="5"/>
      <c r="K818" s="22"/>
      <c r="L818" s="22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19"/>
      <c r="AH818" s="5"/>
      <c r="AI818" s="5"/>
      <c r="AJ818" s="5"/>
      <c r="AK818" s="5"/>
    </row>
    <row r="819" spans="1:37" x14ac:dyDescent="0.25">
      <c r="A819" s="182"/>
      <c r="B819" s="6"/>
      <c r="C819" s="6"/>
      <c r="D819" s="15"/>
      <c r="E819" s="22"/>
      <c r="F819" s="22"/>
      <c r="G819" s="22"/>
      <c r="I819" s="5"/>
      <c r="J819" s="5"/>
      <c r="K819" s="22"/>
      <c r="L819" s="22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19"/>
      <c r="AH819" s="5"/>
      <c r="AI819" s="5"/>
      <c r="AJ819" s="5"/>
      <c r="AK819" s="5"/>
    </row>
    <row r="820" spans="1:37" x14ac:dyDescent="0.25">
      <c r="A820" s="182"/>
      <c r="B820" s="6"/>
      <c r="C820" s="6"/>
      <c r="D820" s="15"/>
      <c r="E820" s="22"/>
      <c r="F820" s="22"/>
      <c r="G820" s="22"/>
      <c r="I820" s="5"/>
      <c r="J820" s="5"/>
      <c r="K820" s="22"/>
      <c r="L820" s="22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19"/>
      <c r="AH820" s="5"/>
      <c r="AI820" s="5"/>
      <c r="AJ820" s="5"/>
      <c r="AK820" s="5"/>
    </row>
    <row r="821" spans="1:37" x14ac:dyDescent="0.25">
      <c r="A821" s="182"/>
      <c r="B821" s="6"/>
      <c r="C821" s="6"/>
      <c r="D821" s="15"/>
      <c r="E821" s="22"/>
      <c r="F821" s="22"/>
      <c r="G821" s="22"/>
      <c r="I821" s="5"/>
      <c r="J821" s="5"/>
      <c r="K821" s="22"/>
      <c r="L821" s="22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19"/>
      <c r="AH821" s="5"/>
      <c r="AI821" s="5"/>
      <c r="AJ821" s="5"/>
      <c r="AK821" s="5"/>
    </row>
    <row r="822" spans="1:37" x14ac:dyDescent="0.25">
      <c r="A822" s="182"/>
      <c r="B822" s="6"/>
      <c r="C822" s="6"/>
      <c r="D822" s="15"/>
      <c r="E822" s="22"/>
      <c r="F822" s="22"/>
      <c r="G822" s="22"/>
      <c r="I822" s="5"/>
      <c r="J822" s="5"/>
      <c r="K822" s="22"/>
      <c r="L822" s="22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19"/>
      <c r="AH822" s="5"/>
      <c r="AI822" s="5"/>
      <c r="AJ822" s="5"/>
      <c r="AK822" s="5"/>
    </row>
    <row r="823" spans="1:37" x14ac:dyDescent="0.25">
      <c r="A823" s="182"/>
      <c r="B823" s="6"/>
      <c r="C823" s="6"/>
      <c r="D823" s="15"/>
      <c r="E823" s="22"/>
      <c r="F823" s="22"/>
      <c r="G823" s="22"/>
      <c r="I823" s="5"/>
      <c r="J823" s="5"/>
      <c r="K823" s="22"/>
      <c r="L823" s="22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19"/>
      <c r="AH823" s="5"/>
      <c r="AI823" s="5"/>
      <c r="AJ823" s="5"/>
      <c r="AK823" s="5"/>
    </row>
    <row r="824" spans="1:37" x14ac:dyDescent="0.25">
      <c r="A824" s="182"/>
      <c r="B824" s="6"/>
      <c r="C824" s="6"/>
      <c r="D824" s="15"/>
      <c r="E824" s="22"/>
      <c r="F824" s="22"/>
      <c r="G824" s="22"/>
      <c r="I824" s="5"/>
      <c r="J824" s="5"/>
      <c r="K824" s="22"/>
      <c r="L824" s="22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19"/>
      <c r="AH824" s="5"/>
      <c r="AI824" s="5"/>
      <c r="AJ824" s="5"/>
      <c r="AK824" s="5"/>
    </row>
    <row r="825" spans="1:37" x14ac:dyDescent="0.25">
      <c r="A825" s="182"/>
      <c r="B825" s="6"/>
      <c r="C825" s="6"/>
      <c r="D825" s="15"/>
      <c r="E825" s="22"/>
      <c r="F825" s="22"/>
      <c r="G825" s="22"/>
      <c r="I825" s="5"/>
      <c r="J825" s="5"/>
      <c r="K825" s="22"/>
      <c r="L825" s="22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19"/>
      <c r="AH825" s="5"/>
      <c r="AI825" s="5"/>
      <c r="AJ825" s="5"/>
      <c r="AK825" s="5"/>
    </row>
    <row r="826" spans="1:37" x14ac:dyDescent="0.25">
      <c r="A826" s="182"/>
      <c r="B826" s="6"/>
      <c r="C826" s="6"/>
      <c r="D826" s="15"/>
      <c r="E826" s="22"/>
      <c r="F826" s="22"/>
      <c r="G826" s="22"/>
      <c r="I826" s="5"/>
      <c r="J826" s="5"/>
      <c r="K826" s="22"/>
      <c r="L826" s="22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19"/>
      <c r="AH826" s="5"/>
      <c r="AI826" s="5"/>
      <c r="AJ826" s="5"/>
      <c r="AK826" s="5"/>
    </row>
    <row r="827" spans="1:37" x14ac:dyDescent="0.25">
      <c r="A827" s="182"/>
      <c r="B827" s="6"/>
      <c r="C827" s="6"/>
      <c r="D827" s="15"/>
      <c r="E827" s="22"/>
      <c r="F827" s="22"/>
      <c r="G827" s="22"/>
      <c r="I827" s="5"/>
      <c r="J827" s="5"/>
      <c r="K827" s="22"/>
      <c r="L827" s="22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19"/>
      <c r="AH827" s="5"/>
      <c r="AI827" s="5"/>
      <c r="AJ827" s="5"/>
      <c r="AK827" s="5"/>
    </row>
    <row r="828" spans="1:37" x14ac:dyDescent="0.25">
      <c r="A828" s="182"/>
      <c r="B828" s="6"/>
      <c r="C828" s="6"/>
      <c r="D828" s="15"/>
      <c r="E828" s="22"/>
      <c r="F828" s="22"/>
      <c r="G828" s="22"/>
      <c r="I828" s="5"/>
      <c r="J828" s="5"/>
      <c r="K828" s="22"/>
      <c r="L828" s="22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19"/>
      <c r="AH828" s="5"/>
      <c r="AI828" s="5"/>
      <c r="AJ828" s="5"/>
      <c r="AK828" s="5"/>
    </row>
    <row r="829" spans="1:37" x14ac:dyDescent="0.25">
      <c r="A829" s="182"/>
      <c r="B829" s="6"/>
      <c r="C829" s="6"/>
      <c r="D829" s="15"/>
      <c r="E829" s="22"/>
      <c r="F829" s="22"/>
      <c r="G829" s="22"/>
      <c r="I829" s="5"/>
      <c r="J829" s="5"/>
      <c r="K829" s="22"/>
      <c r="L829" s="22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19"/>
      <c r="AH829" s="5"/>
      <c r="AI829" s="5"/>
      <c r="AJ829" s="5"/>
      <c r="AK829" s="5"/>
    </row>
    <row r="830" spans="1:37" x14ac:dyDescent="0.25">
      <c r="A830" s="182"/>
      <c r="B830" s="6"/>
      <c r="C830" s="6"/>
      <c r="D830" s="15"/>
      <c r="E830" s="22"/>
      <c r="F830" s="22"/>
      <c r="G830" s="22"/>
      <c r="I830" s="5"/>
      <c r="J830" s="5"/>
      <c r="K830" s="22"/>
      <c r="L830" s="22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19"/>
      <c r="AH830" s="5"/>
      <c r="AI830" s="5"/>
      <c r="AJ830" s="5"/>
      <c r="AK830" s="5"/>
    </row>
    <row r="831" spans="1:37" x14ac:dyDescent="0.25">
      <c r="A831" s="182"/>
      <c r="B831" s="6"/>
      <c r="C831" s="6"/>
      <c r="D831" s="15"/>
      <c r="E831" s="22"/>
      <c r="F831" s="22"/>
      <c r="G831" s="22"/>
      <c r="I831" s="5"/>
      <c r="J831" s="5"/>
      <c r="K831" s="22"/>
      <c r="L831" s="22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19"/>
      <c r="AH831" s="5"/>
      <c r="AI831" s="5"/>
      <c r="AJ831" s="5"/>
      <c r="AK831" s="5"/>
    </row>
    <row r="832" spans="1:37" x14ac:dyDescent="0.25">
      <c r="A832" s="182"/>
      <c r="B832" s="6"/>
      <c r="C832" s="6"/>
      <c r="D832" s="15"/>
      <c r="E832" s="22"/>
      <c r="F832" s="22"/>
      <c r="G832" s="22"/>
      <c r="I832" s="5"/>
      <c r="J832" s="5"/>
      <c r="K832" s="22"/>
      <c r="L832" s="22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19"/>
      <c r="AH832" s="5"/>
      <c r="AI832" s="5"/>
      <c r="AJ832" s="5"/>
      <c r="AK832" s="5"/>
    </row>
    <row r="833" spans="1:37" x14ac:dyDescent="0.25">
      <c r="A833" s="182"/>
      <c r="B833" s="6"/>
      <c r="C833" s="6"/>
      <c r="D833" s="15"/>
      <c r="E833" s="22"/>
      <c r="F833" s="22"/>
      <c r="G833" s="22"/>
      <c r="I833" s="5"/>
      <c r="J833" s="5"/>
      <c r="K833" s="22"/>
      <c r="L833" s="22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19"/>
      <c r="AH833" s="5"/>
      <c r="AI833" s="5"/>
      <c r="AJ833" s="5"/>
      <c r="AK833" s="5"/>
    </row>
    <row r="834" spans="1:37" x14ac:dyDescent="0.25">
      <c r="A834" s="182"/>
      <c r="B834" s="6"/>
      <c r="C834" s="6"/>
      <c r="D834" s="15"/>
      <c r="E834" s="22"/>
      <c r="F834" s="22"/>
      <c r="G834" s="22"/>
      <c r="I834" s="5"/>
      <c r="J834" s="5"/>
      <c r="K834" s="22"/>
      <c r="L834" s="22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19"/>
      <c r="AH834" s="5"/>
      <c r="AI834" s="5"/>
      <c r="AJ834" s="5"/>
      <c r="AK834" s="5"/>
    </row>
    <row r="835" spans="1:37" x14ac:dyDescent="0.25">
      <c r="A835" s="182"/>
      <c r="B835" s="6"/>
      <c r="C835" s="6"/>
      <c r="D835" s="15"/>
      <c r="E835" s="22"/>
      <c r="F835" s="22"/>
      <c r="G835" s="22"/>
      <c r="I835" s="5"/>
      <c r="J835" s="5"/>
      <c r="K835" s="22"/>
      <c r="L835" s="22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19"/>
      <c r="AH835" s="5"/>
      <c r="AI835" s="5"/>
      <c r="AJ835" s="5"/>
      <c r="AK835" s="5"/>
    </row>
    <row r="836" spans="1:37" x14ac:dyDescent="0.25">
      <c r="A836" s="182"/>
      <c r="B836" s="6"/>
      <c r="C836" s="6"/>
      <c r="D836" s="15"/>
      <c r="E836" s="22"/>
      <c r="F836" s="22"/>
      <c r="G836" s="22"/>
      <c r="I836" s="5"/>
      <c r="J836" s="5"/>
      <c r="K836" s="22"/>
      <c r="L836" s="22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19"/>
      <c r="AH836" s="5"/>
      <c r="AI836" s="5"/>
      <c r="AJ836" s="5"/>
      <c r="AK836" s="5"/>
    </row>
    <row r="837" spans="1:37" x14ac:dyDescent="0.25">
      <c r="A837" s="182"/>
      <c r="B837" s="6"/>
      <c r="C837" s="6"/>
      <c r="D837" s="15"/>
      <c r="E837" s="22"/>
      <c r="F837" s="22"/>
      <c r="G837" s="22"/>
      <c r="I837" s="5"/>
      <c r="J837" s="5"/>
      <c r="K837" s="22"/>
      <c r="L837" s="22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19"/>
      <c r="AH837" s="5"/>
      <c r="AI837" s="5"/>
      <c r="AJ837" s="5"/>
      <c r="AK837" s="5"/>
    </row>
    <row r="838" spans="1:37" x14ac:dyDescent="0.25">
      <c r="A838" s="182"/>
      <c r="B838" s="6"/>
      <c r="C838" s="6"/>
      <c r="D838" s="15"/>
      <c r="E838" s="22"/>
      <c r="F838" s="22"/>
      <c r="G838" s="22"/>
      <c r="I838" s="5"/>
      <c r="J838" s="5"/>
      <c r="K838" s="22"/>
      <c r="L838" s="22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19"/>
      <c r="AH838" s="5"/>
      <c r="AI838" s="5"/>
      <c r="AJ838" s="5"/>
      <c r="AK838" s="5"/>
    </row>
    <row r="839" spans="1:37" x14ac:dyDescent="0.25">
      <c r="A839" s="182"/>
      <c r="B839" s="6"/>
      <c r="C839" s="6"/>
      <c r="D839" s="15"/>
      <c r="E839" s="22"/>
      <c r="F839" s="22"/>
      <c r="G839" s="22"/>
      <c r="I839" s="5"/>
      <c r="J839" s="5"/>
      <c r="K839" s="22"/>
      <c r="L839" s="22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19"/>
      <c r="AH839" s="5"/>
      <c r="AI839" s="5"/>
      <c r="AJ839" s="5"/>
      <c r="AK839" s="5"/>
    </row>
    <row r="840" spans="1:37" x14ac:dyDescent="0.25">
      <c r="A840" s="182"/>
      <c r="B840" s="6"/>
      <c r="C840" s="6"/>
      <c r="D840" s="15"/>
      <c r="E840" s="22"/>
      <c r="F840" s="22"/>
      <c r="G840" s="22"/>
      <c r="I840" s="5"/>
      <c r="J840" s="5"/>
      <c r="K840" s="22"/>
      <c r="L840" s="22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19"/>
      <c r="AH840" s="5"/>
      <c r="AI840" s="5"/>
      <c r="AJ840" s="5"/>
      <c r="AK840" s="5"/>
    </row>
    <row r="841" spans="1:37" x14ac:dyDescent="0.25">
      <c r="A841" s="182"/>
      <c r="B841" s="6"/>
      <c r="C841" s="6"/>
      <c r="D841" s="15"/>
      <c r="E841" s="22"/>
      <c r="F841" s="22"/>
      <c r="G841" s="22"/>
      <c r="I841" s="5"/>
      <c r="J841" s="5"/>
      <c r="K841" s="22"/>
      <c r="L841" s="22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19"/>
      <c r="AH841" s="5"/>
      <c r="AI841" s="5"/>
      <c r="AJ841" s="5"/>
      <c r="AK841" s="5"/>
    </row>
    <row r="842" spans="1:37" x14ac:dyDescent="0.25">
      <c r="A842" s="182"/>
      <c r="B842" s="6"/>
      <c r="C842" s="6"/>
      <c r="D842" s="15"/>
      <c r="E842" s="22"/>
      <c r="F842" s="22"/>
      <c r="G842" s="22"/>
      <c r="I842" s="5"/>
      <c r="J842" s="5"/>
      <c r="K842" s="22"/>
      <c r="L842" s="22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19"/>
      <c r="AH842" s="5"/>
      <c r="AI842" s="5"/>
      <c r="AJ842" s="5"/>
      <c r="AK842" s="5"/>
    </row>
    <row r="843" spans="1:37" x14ac:dyDescent="0.25">
      <c r="A843" s="182"/>
      <c r="B843" s="6"/>
      <c r="C843" s="6"/>
      <c r="D843" s="15"/>
      <c r="E843" s="22"/>
      <c r="F843" s="22"/>
      <c r="G843" s="22"/>
      <c r="I843" s="5"/>
      <c r="J843" s="5"/>
      <c r="K843" s="22"/>
      <c r="L843" s="22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19"/>
      <c r="AH843" s="5"/>
      <c r="AI843" s="5"/>
      <c r="AJ843" s="5"/>
      <c r="AK843" s="5"/>
    </row>
    <row r="844" spans="1:37" x14ac:dyDescent="0.25">
      <c r="A844" s="182"/>
      <c r="B844" s="6"/>
      <c r="C844" s="6"/>
      <c r="D844" s="15"/>
      <c r="E844" s="22"/>
      <c r="F844" s="22"/>
      <c r="G844" s="22"/>
      <c r="I844" s="5"/>
      <c r="J844" s="5"/>
      <c r="K844" s="22"/>
      <c r="L844" s="22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19"/>
      <c r="AH844" s="5"/>
      <c r="AI844" s="5"/>
      <c r="AJ844" s="5"/>
      <c r="AK844" s="5"/>
    </row>
    <row r="845" spans="1:37" x14ac:dyDescent="0.25">
      <c r="A845" s="182"/>
      <c r="B845" s="6"/>
      <c r="C845" s="6"/>
      <c r="D845" s="15"/>
      <c r="E845" s="22"/>
      <c r="F845" s="22"/>
      <c r="G845" s="22"/>
      <c r="I845" s="5"/>
      <c r="J845" s="5"/>
      <c r="K845" s="22"/>
      <c r="L845" s="22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19"/>
      <c r="AH845" s="5"/>
      <c r="AI845" s="5"/>
      <c r="AJ845" s="5"/>
      <c r="AK845" s="5"/>
    </row>
    <row r="846" spans="1:37" x14ac:dyDescent="0.25">
      <c r="A846" s="182"/>
      <c r="B846" s="6"/>
      <c r="C846" s="6"/>
      <c r="D846" s="15"/>
      <c r="E846" s="22"/>
      <c r="F846" s="22"/>
      <c r="G846" s="22"/>
      <c r="I846" s="5"/>
      <c r="J846" s="5"/>
      <c r="K846" s="22"/>
      <c r="L846" s="22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19"/>
      <c r="AH846" s="5"/>
      <c r="AI846" s="5"/>
      <c r="AJ846" s="5"/>
      <c r="AK846" s="5"/>
    </row>
    <row r="847" spans="1:37" x14ac:dyDescent="0.25">
      <c r="A847" s="182"/>
      <c r="B847" s="6"/>
      <c r="C847" s="6"/>
      <c r="D847" s="15"/>
      <c r="E847" s="22"/>
      <c r="F847" s="22"/>
      <c r="G847" s="22"/>
      <c r="I847" s="5"/>
      <c r="J847" s="5"/>
      <c r="K847" s="22"/>
      <c r="L847" s="22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19"/>
      <c r="AH847" s="5"/>
      <c r="AI847" s="5"/>
      <c r="AJ847" s="5"/>
      <c r="AK847" s="5"/>
    </row>
    <row r="848" spans="1:37" x14ac:dyDescent="0.25">
      <c r="A848" s="182"/>
      <c r="B848" s="6"/>
      <c r="C848" s="6"/>
      <c r="D848" s="15"/>
      <c r="E848" s="22"/>
      <c r="F848" s="22"/>
      <c r="G848" s="22"/>
      <c r="I848" s="5"/>
      <c r="J848" s="5"/>
      <c r="K848" s="22"/>
      <c r="L848" s="22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19"/>
      <c r="AH848" s="5"/>
      <c r="AI848" s="5"/>
      <c r="AJ848" s="5"/>
      <c r="AK848" s="5"/>
    </row>
    <row r="849" spans="1:37" x14ac:dyDescent="0.25">
      <c r="A849" s="182"/>
      <c r="B849" s="6"/>
      <c r="C849" s="6"/>
      <c r="D849" s="15"/>
      <c r="E849" s="22"/>
      <c r="F849" s="22"/>
      <c r="G849" s="22"/>
      <c r="I849" s="5"/>
      <c r="J849" s="5"/>
      <c r="K849" s="22"/>
      <c r="L849" s="22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19"/>
      <c r="AH849" s="5"/>
      <c r="AI849" s="5"/>
      <c r="AJ849" s="5"/>
      <c r="AK849" s="5"/>
    </row>
    <row r="850" spans="1:37" x14ac:dyDescent="0.25">
      <c r="A850" s="182"/>
      <c r="B850" s="6"/>
      <c r="C850" s="6"/>
      <c r="D850" s="15"/>
      <c r="E850" s="22"/>
      <c r="F850" s="22"/>
      <c r="G850" s="22"/>
      <c r="I850" s="5"/>
      <c r="J850" s="5"/>
      <c r="K850" s="22"/>
      <c r="L850" s="22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19"/>
      <c r="AH850" s="5"/>
      <c r="AI850" s="5"/>
      <c r="AJ850" s="5"/>
      <c r="AK850" s="5"/>
    </row>
    <row r="851" spans="1:37" x14ac:dyDescent="0.25">
      <c r="A851" s="182"/>
      <c r="B851" s="6"/>
      <c r="C851" s="6"/>
      <c r="D851" s="15"/>
      <c r="E851" s="22"/>
      <c r="F851" s="22"/>
      <c r="G851" s="22"/>
      <c r="I851" s="5"/>
      <c r="J851" s="5"/>
      <c r="K851" s="22"/>
      <c r="L851" s="22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19"/>
      <c r="AH851" s="5"/>
      <c r="AI851" s="5"/>
      <c r="AJ851" s="5"/>
      <c r="AK851" s="5"/>
    </row>
    <row r="852" spans="1:37" x14ac:dyDescent="0.25">
      <c r="A852" s="182"/>
      <c r="B852" s="6"/>
      <c r="C852" s="6"/>
      <c r="D852" s="15"/>
      <c r="E852" s="22"/>
      <c r="F852" s="22"/>
      <c r="G852" s="22"/>
      <c r="I852" s="5"/>
      <c r="J852" s="5"/>
      <c r="K852" s="22"/>
      <c r="L852" s="22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19"/>
      <c r="AH852" s="5"/>
      <c r="AI852" s="5"/>
      <c r="AJ852" s="5"/>
      <c r="AK852" s="5"/>
    </row>
    <row r="853" spans="1:37" x14ac:dyDescent="0.25">
      <c r="A853" s="182"/>
      <c r="B853" s="6"/>
      <c r="C853" s="6"/>
      <c r="D853" s="15"/>
      <c r="E853" s="22"/>
      <c r="F853" s="22"/>
      <c r="G853" s="22"/>
      <c r="I853" s="5"/>
      <c r="J853" s="5"/>
      <c r="K853" s="22"/>
      <c r="L853" s="22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19"/>
      <c r="AH853" s="5"/>
      <c r="AI853" s="5"/>
      <c r="AJ853" s="5"/>
      <c r="AK853" s="5"/>
    </row>
    <row r="854" spans="1:37" x14ac:dyDescent="0.25">
      <c r="A854" s="182"/>
      <c r="B854" s="6"/>
      <c r="C854" s="6"/>
      <c r="D854" s="15"/>
      <c r="E854" s="22"/>
      <c r="F854" s="22"/>
      <c r="G854" s="22"/>
      <c r="I854" s="5"/>
      <c r="J854" s="5"/>
      <c r="K854" s="22"/>
      <c r="L854" s="22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19"/>
      <c r="AH854" s="5"/>
      <c r="AI854" s="5"/>
      <c r="AJ854" s="5"/>
      <c r="AK854" s="5"/>
    </row>
    <row r="855" spans="1:37" x14ac:dyDescent="0.25">
      <c r="A855" s="182"/>
      <c r="B855" s="6"/>
      <c r="C855" s="6"/>
      <c r="D855" s="15"/>
      <c r="E855" s="22"/>
      <c r="F855" s="22"/>
      <c r="G855" s="22"/>
      <c r="I855" s="5"/>
      <c r="J855" s="5"/>
      <c r="K855" s="22"/>
      <c r="L855" s="22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19"/>
      <c r="AH855" s="5"/>
      <c r="AI855" s="5"/>
      <c r="AJ855" s="5"/>
      <c r="AK855" s="5"/>
    </row>
    <row r="856" spans="1:37" x14ac:dyDescent="0.25">
      <c r="A856" s="182"/>
      <c r="B856" s="6"/>
      <c r="C856" s="6"/>
      <c r="D856" s="15"/>
      <c r="E856" s="22"/>
      <c r="F856" s="22"/>
      <c r="G856" s="22"/>
      <c r="I856" s="5"/>
      <c r="J856" s="5"/>
      <c r="K856" s="22"/>
      <c r="L856" s="22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19"/>
      <c r="AH856" s="5"/>
      <c r="AI856" s="5"/>
      <c r="AJ856" s="5"/>
      <c r="AK856" s="5"/>
    </row>
    <row r="857" spans="1:37" x14ac:dyDescent="0.25">
      <c r="A857" s="182"/>
      <c r="B857" s="6"/>
      <c r="C857" s="6"/>
      <c r="D857" s="15"/>
      <c r="E857" s="22"/>
      <c r="F857" s="22"/>
      <c r="G857" s="22"/>
      <c r="I857" s="5"/>
      <c r="J857" s="5"/>
      <c r="K857" s="22"/>
      <c r="L857" s="22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19"/>
      <c r="AH857" s="5"/>
      <c r="AI857" s="5"/>
      <c r="AJ857" s="5"/>
      <c r="AK857" s="5"/>
    </row>
    <row r="858" spans="1:37" x14ac:dyDescent="0.25">
      <c r="A858" s="182"/>
      <c r="B858" s="6"/>
      <c r="C858" s="6"/>
      <c r="D858" s="15"/>
      <c r="E858" s="22"/>
      <c r="F858" s="22"/>
      <c r="G858" s="22"/>
      <c r="I858" s="5"/>
      <c r="J858" s="5"/>
      <c r="K858" s="22"/>
      <c r="L858" s="22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19"/>
      <c r="AH858" s="5"/>
      <c r="AI858" s="5"/>
      <c r="AJ858" s="5"/>
      <c r="AK858" s="5"/>
    </row>
    <row r="859" spans="1:37" x14ac:dyDescent="0.25">
      <c r="A859" s="182"/>
      <c r="B859" s="6"/>
      <c r="C859" s="6"/>
      <c r="D859" s="15"/>
      <c r="E859" s="22"/>
      <c r="F859" s="22"/>
      <c r="G859" s="22"/>
      <c r="I859" s="5"/>
      <c r="J859" s="5"/>
      <c r="K859" s="22"/>
      <c r="L859" s="22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19"/>
      <c r="AH859" s="5"/>
      <c r="AI859" s="5"/>
      <c r="AJ859" s="5"/>
      <c r="AK859" s="5"/>
    </row>
    <row r="860" spans="1:37" x14ac:dyDescent="0.25">
      <c r="A860" s="182"/>
      <c r="B860" s="6"/>
      <c r="C860" s="6"/>
      <c r="D860" s="15"/>
      <c r="E860" s="22"/>
      <c r="F860" s="22"/>
      <c r="G860" s="22"/>
      <c r="I860" s="5"/>
      <c r="J860" s="5"/>
      <c r="K860" s="22"/>
      <c r="L860" s="22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19"/>
      <c r="AH860" s="5"/>
      <c r="AI860" s="5"/>
      <c r="AJ860" s="5"/>
      <c r="AK860" s="5"/>
    </row>
    <row r="861" spans="1:37" x14ac:dyDescent="0.25">
      <c r="A861" s="182"/>
      <c r="B861" s="6"/>
      <c r="C861" s="6"/>
      <c r="D861" s="15"/>
      <c r="E861" s="22"/>
      <c r="F861" s="22"/>
      <c r="G861" s="22"/>
      <c r="I861" s="5"/>
      <c r="J861" s="5"/>
      <c r="K861" s="22"/>
      <c r="L861" s="22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19"/>
      <c r="AH861" s="5"/>
      <c r="AI861" s="5"/>
      <c r="AJ861" s="5"/>
      <c r="AK861" s="5"/>
    </row>
    <row r="862" spans="1:37" x14ac:dyDescent="0.25">
      <c r="A862" s="182"/>
      <c r="B862" s="6"/>
      <c r="C862" s="6"/>
      <c r="D862" s="15"/>
      <c r="E862" s="22"/>
      <c r="F862" s="22"/>
      <c r="G862" s="22"/>
      <c r="I862" s="5"/>
      <c r="J862" s="5"/>
      <c r="K862" s="22"/>
      <c r="L862" s="22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19"/>
      <c r="AH862" s="5"/>
      <c r="AI862" s="5"/>
      <c r="AJ862" s="5"/>
      <c r="AK862" s="5"/>
    </row>
    <row r="863" spans="1:37" x14ac:dyDescent="0.25">
      <c r="A863" s="182"/>
      <c r="B863" s="6"/>
      <c r="C863" s="6"/>
      <c r="D863" s="15"/>
      <c r="E863" s="22"/>
      <c r="F863" s="22"/>
      <c r="G863" s="22"/>
      <c r="I863" s="5"/>
      <c r="J863" s="5"/>
      <c r="K863" s="22"/>
      <c r="L863" s="22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19"/>
      <c r="AH863" s="5"/>
      <c r="AI863" s="5"/>
      <c r="AJ863" s="5"/>
      <c r="AK863" s="5"/>
    </row>
    <row r="864" spans="1:37" x14ac:dyDescent="0.25">
      <c r="A864" s="182"/>
      <c r="B864" s="6"/>
      <c r="C864" s="6"/>
      <c r="D864" s="15"/>
      <c r="E864" s="22"/>
      <c r="F864" s="22"/>
      <c r="G864" s="22"/>
      <c r="I864" s="5"/>
      <c r="J864" s="5"/>
      <c r="K864" s="22"/>
      <c r="L864" s="22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19"/>
      <c r="AH864" s="5"/>
      <c r="AI864" s="5"/>
      <c r="AJ864" s="5"/>
      <c r="AK864" s="5"/>
    </row>
    <row r="865" spans="1:37" x14ac:dyDescent="0.25">
      <c r="A865" s="182"/>
      <c r="B865" s="6"/>
      <c r="C865" s="6"/>
      <c r="D865" s="15"/>
      <c r="E865" s="22"/>
      <c r="F865" s="22"/>
      <c r="G865" s="22"/>
      <c r="I865" s="5"/>
      <c r="J865" s="5"/>
      <c r="K865" s="22"/>
      <c r="L865" s="22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19"/>
      <c r="AH865" s="5"/>
      <c r="AI865" s="5"/>
      <c r="AJ865" s="5"/>
      <c r="AK865" s="5"/>
    </row>
    <row r="866" spans="1:37" x14ac:dyDescent="0.25">
      <c r="A866" s="182"/>
      <c r="B866" s="6"/>
      <c r="C866" s="6"/>
      <c r="D866" s="15"/>
      <c r="E866" s="22"/>
      <c r="F866" s="22"/>
      <c r="G866" s="22"/>
      <c r="I866" s="5"/>
      <c r="J866" s="5"/>
      <c r="K866" s="22"/>
      <c r="L866" s="22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19"/>
      <c r="AH866" s="5"/>
      <c r="AI866" s="5"/>
      <c r="AJ866" s="5"/>
      <c r="AK866" s="5"/>
    </row>
    <row r="867" spans="1:37" x14ac:dyDescent="0.25">
      <c r="A867" s="182"/>
      <c r="B867" s="6"/>
      <c r="C867" s="6"/>
      <c r="D867" s="15"/>
      <c r="E867" s="22"/>
      <c r="F867" s="22"/>
      <c r="G867" s="22"/>
      <c r="I867" s="5"/>
      <c r="J867" s="5"/>
      <c r="K867" s="22"/>
      <c r="L867" s="22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19"/>
      <c r="AH867" s="5"/>
      <c r="AI867" s="5"/>
      <c r="AJ867" s="5"/>
      <c r="AK867" s="5"/>
    </row>
    <row r="868" spans="1:37" x14ac:dyDescent="0.25">
      <c r="A868" s="182"/>
      <c r="B868" s="6"/>
      <c r="C868" s="6"/>
      <c r="D868" s="15"/>
      <c r="E868" s="22"/>
      <c r="F868" s="22"/>
      <c r="G868" s="22"/>
      <c r="I868" s="5"/>
      <c r="J868" s="5"/>
      <c r="K868" s="22"/>
      <c r="L868" s="22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19"/>
      <c r="AH868" s="5"/>
      <c r="AI868" s="5"/>
      <c r="AJ868" s="5"/>
      <c r="AK868" s="5"/>
    </row>
    <row r="869" spans="1:37" x14ac:dyDescent="0.25">
      <c r="A869" s="182"/>
      <c r="B869" s="6"/>
      <c r="C869" s="6"/>
      <c r="D869" s="15"/>
      <c r="E869" s="22"/>
      <c r="F869" s="22"/>
      <c r="G869" s="22"/>
      <c r="I869" s="5"/>
      <c r="J869" s="5"/>
      <c r="K869" s="22"/>
      <c r="L869" s="22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19"/>
      <c r="AH869" s="5"/>
      <c r="AI869" s="5"/>
      <c r="AJ869" s="5"/>
      <c r="AK869" s="5"/>
    </row>
    <row r="870" spans="1:37" x14ac:dyDescent="0.25">
      <c r="A870" s="182"/>
      <c r="B870" s="6"/>
      <c r="C870" s="6"/>
      <c r="D870" s="15"/>
      <c r="E870" s="22"/>
      <c r="F870" s="22"/>
      <c r="G870" s="22"/>
      <c r="I870" s="5"/>
      <c r="J870" s="5"/>
      <c r="K870" s="22"/>
      <c r="L870" s="22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19"/>
      <c r="AH870" s="5"/>
      <c r="AI870" s="5"/>
      <c r="AJ870" s="5"/>
      <c r="AK870" s="5"/>
    </row>
    <row r="871" spans="1:37" x14ac:dyDescent="0.25">
      <c r="A871" s="182"/>
      <c r="B871" s="6"/>
      <c r="C871" s="6"/>
      <c r="D871" s="15"/>
      <c r="E871" s="22"/>
      <c r="F871" s="22"/>
      <c r="G871" s="22"/>
      <c r="I871" s="5"/>
      <c r="J871" s="5"/>
      <c r="K871" s="22"/>
      <c r="L871" s="22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19"/>
      <c r="AH871" s="5"/>
      <c r="AI871" s="5"/>
      <c r="AJ871" s="5"/>
      <c r="AK871" s="5"/>
    </row>
    <row r="872" spans="1:37" x14ac:dyDescent="0.25">
      <c r="A872" s="182"/>
      <c r="B872" s="6"/>
      <c r="C872" s="6"/>
      <c r="D872" s="15"/>
      <c r="E872" s="22"/>
      <c r="F872" s="22"/>
      <c r="G872" s="22"/>
      <c r="I872" s="5"/>
      <c r="J872" s="5"/>
      <c r="K872" s="22"/>
      <c r="L872" s="22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19"/>
      <c r="AH872" s="5"/>
      <c r="AI872" s="5"/>
      <c r="AJ872" s="5"/>
      <c r="AK872" s="5"/>
    </row>
    <row r="873" spans="1:37" x14ac:dyDescent="0.25">
      <c r="A873" s="182"/>
      <c r="B873" s="6"/>
      <c r="C873" s="6"/>
      <c r="D873" s="15"/>
      <c r="E873" s="22"/>
      <c r="F873" s="22"/>
      <c r="G873" s="22"/>
      <c r="I873" s="5"/>
      <c r="J873" s="5"/>
      <c r="K873" s="22"/>
      <c r="L873" s="22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19"/>
      <c r="AH873" s="5"/>
      <c r="AI873" s="5"/>
      <c r="AJ873" s="5"/>
      <c r="AK873" s="5"/>
    </row>
    <row r="874" spans="1:37" x14ac:dyDescent="0.25">
      <c r="A874" s="182"/>
      <c r="B874" s="6"/>
      <c r="C874" s="6"/>
      <c r="D874" s="15"/>
      <c r="E874" s="22"/>
      <c r="F874" s="22"/>
      <c r="G874" s="22"/>
      <c r="I874" s="5"/>
      <c r="J874" s="5"/>
      <c r="K874" s="22"/>
      <c r="L874" s="22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19"/>
      <c r="AH874" s="5"/>
      <c r="AI874" s="5"/>
      <c r="AJ874" s="5"/>
      <c r="AK874" s="5"/>
    </row>
    <row r="875" spans="1:37" x14ac:dyDescent="0.25">
      <c r="A875" s="182"/>
      <c r="B875" s="6"/>
      <c r="C875" s="6"/>
      <c r="D875" s="15"/>
      <c r="E875" s="22"/>
      <c r="F875" s="22"/>
      <c r="G875" s="22"/>
      <c r="I875" s="5"/>
      <c r="J875" s="5"/>
      <c r="K875" s="22"/>
      <c r="L875" s="22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19"/>
      <c r="AH875" s="5"/>
      <c r="AI875" s="5"/>
      <c r="AJ875" s="5"/>
      <c r="AK875" s="5"/>
    </row>
    <row r="876" spans="1:37" x14ac:dyDescent="0.25">
      <c r="A876" s="182"/>
      <c r="B876" s="6"/>
      <c r="C876" s="6"/>
      <c r="D876" s="15"/>
      <c r="E876" s="22"/>
      <c r="F876" s="22"/>
      <c r="G876" s="22"/>
      <c r="I876" s="5"/>
      <c r="J876" s="5"/>
      <c r="K876" s="22"/>
      <c r="L876" s="22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19"/>
      <c r="AH876" s="5"/>
      <c r="AI876" s="5"/>
      <c r="AJ876" s="5"/>
      <c r="AK876" s="5"/>
    </row>
    <row r="877" spans="1:37" x14ac:dyDescent="0.25">
      <c r="A877" s="182"/>
      <c r="B877" s="6"/>
      <c r="C877" s="6"/>
      <c r="D877" s="15"/>
      <c r="E877" s="22"/>
      <c r="F877" s="22"/>
      <c r="G877" s="22"/>
      <c r="I877" s="5"/>
      <c r="J877" s="5"/>
      <c r="K877" s="22"/>
      <c r="L877" s="22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19"/>
      <c r="AH877" s="5"/>
      <c r="AI877" s="5"/>
      <c r="AJ877" s="5"/>
      <c r="AK877" s="5"/>
    </row>
    <row r="878" spans="1:37" x14ac:dyDescent="0.25">
      <c r="A878" s="182"/>
      <c r="B878" s="6"/>
      <c r="C878" s="6"/>
      <c r="D878" s="15"/>
      <c r="E878" s="22"/>
      <c r="F878" s="22"/>
      <c r="G878" s="22"/>
      <c r="I878" s="5"/>
      <c r="J878" s="5"/>
      <c r="K878" s="22"/>
      <c r="L878" s="22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19"/>
      <c r="AH878" s="5"/>
      <c r="AI878" s="5"/>
      <c r="AJ878" s="5"/>
      <c r="AK878" s="5"/>
    </row>
    <row r="879" spans="1:37" x14ac:dyDescent="0.25">
      <c r="A879" s="182"/>
      <c r="B879" s="6"/>
      <c r="C879" s="6"/>
      <c r="D879" s="15"/>
      <c r="E879" s="22"/>
      <c r="F879" s="22"/>
      <c r="G879" s="22"/>
      <c r="I879" s="5"/>
      <c r="J879" s="5"/>
      <c r="K879" s="22"/>
      <c r="L879" s="22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19"/>
      <c r="AH879" s="5"/>
      <c r="AI879" s="5"/>
      <c r="AJ879" s="5"/>
      <c r="AK879" s="5"/>
    </row>
    <row r="880" spans="1:37" x14ac:dyDescent="0.25">
      <c r="A880" s="182"/>
      <c r="B880" s="6"/>
      <c r="C880" s="6"/>
      <c r="D880" s="15"/>
      <c r="E880" s="22"/>
      <c r="F880" s="22"/>
      <c r="G880" s="22"/>
      <c r="I880" s="5"/>
      <c r="J880" s="5"/>
      <c r="K880" s="22"/>
      <c r="L880" s="22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19"/>
      <c r="AH880" s="5"/>
      <c r="AI880" s="5"/>
      <c r="AJ880" s="5"/>
      <c r="AK880" s="5"/>
    </row>
    <row r="881" spans="1:37" x14ac:dyDescent="0.25">
      <c r="A881" s="182"/>
      <c r="B881" s="6"/>
      <c r="C881" s="6"/>
      <c r="D881" s="15"/>
      <c r="E881" s="22"/>
      <c r="F881" s="22"/>
      <c r="G881" s="22"/>
      <c r="I881" s="5"/>
      <c r="J881" s="5"/>
      <c r="K881" s="22"/>
      <c r="L881" s="22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19"/>
      <c r="AH881" s="5"/>
      <c r="AI881" s="5"/>
      <c r="AJ881" s="5"/>
      <c r="AK881" s="5"/>
    </row>
    <row r="882" spans="1:37" x14ac:dyDescent="0.25">
      <c r="A882" s="182"/>
      <c r="B882" s="6"/>
      <c r="C882" s="6"/>
      <c r="D882" s="15"/>
      <c r="E882" s="22"/>
      <c r="F882" s="22"/>
      <c r="G882" s="22"/>
      <c r="I882" s="5"/>
      <c r="J882" s="5"/>
      <c r="K882" s="22"/>
      <c r="L882" s="22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19"/>
      <c r="AH882" s="5"/>
      <c r="AI882" s="5"/>
      <c r="AJ882" s="5"/>
      <c r="AK882" s="5"/>
    </row>
    <row r="883" spans="1:37" x14ac:dyDescent="0.25">
      <c r="A883" s="182"/>
      <c r="B883" s="6"/>
      <c r="C883" s="6"/>
      <c r="D883" s="15"/>
      <c r="E883" s="22"/>
      <c r="F883" s="22"/>
      <c r="G883" s="22"/>
      <c r="I883" s="5"/>
      <c r="J883" s="5"/>
      <c r="K883" s="22"/>
      <c r="L883" s="22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19"/>
      <c r="AH883" s="5"/>
      <c r="AI883" s="5"/>
      <c r="AJ883" s="5"/>
      <c r="AK883" s="5"/>
    </row>
    <row r="884" spans="1:37" x14ac:dyDescent="0.25">
      <c r="A884" s="182"/>
      <c r="B884" s="6"/>
      <c r="C884" s="6"/>
      <c r="D884" s="15"/>
      <c r="E884" s="22"/>
      <c r="F884" s="22"/>
      <c r="G884" s="22"/>
      <c r="I884" s="5"/>
      <c r="J884" s="5"/>
      <c r="K884" s="22"/>
      <c r="L884" s="22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19"/>
      <c r="AH884" s="5"/>
      <c r="AI884" s="5"/>
      <c r="AJ884" s="5"/>
      <c r="AK884" s="5"/>
    </row>
    <row r="885" spans="1:37" x14ac:dyDescent="0.25">
      <c r="A885" s="182"/>
      <c r="B885" s="6"/>
      <c r="C885" s="6"/>
      <c r="D885" s="15"/>
      <c r="E885" s="22"/>
      <c r="F885" s="22"/>
      <c r="G885" s="22"/>
      <c r="I885" s="5"/>
      <c r="J885" s="5"/>
      <c r="K885" s="22"/>
      <c r="L885" s="22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19"/>
      <c r="AH885" s="5"/>
      <c r="AI885" s="5"/>
      <c r="AJ885" s="5"/>
      <c r="AK885" s="5"/>
    </row>
    <row r="886" spans="1:37" x14ac:dyDescent="0.25">
      <c r="A886" s="182"/>
      <c r="B886" s="6"/>
      <c r="C886" s="6"/>
      <c r="D886" s="15"/>
      <c r="E886" s="22"/>
      <c r="F886" s="22"/>
      <c r="G886" s="22"/>
      <c r="I886" s="5"/>
      <c r="J886" s="5"/>
      <c r="K886" s="22"/>
      <c r="L886" s="22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19"/>
      <c r="AH886" s="5"/>
      <c r="AI886" s="5"/>
      <c r="AJ886" s="5"/>
      <c r="AK886" s="5"/>
    </row>
    <row r="887" spans="1:37" x14ac:dyDescent="0.25">
      <c r="A887" s="182"/>
      <c r="B887" s="6"/>
      <c r="C887" s="6"/>
      <c r="D887" s="15"/>
      <c r="E887" s="22"/>
      <c r="F887" s="22"/>
      <c r="G887" s="22"/>
      <c r="I887" s="5"/>
      <c r="J887" s="5"/>
      <c r="K887" s="22"/>
      <c r="L887" s="22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19"/>
      <c r="AH887" s="5"/>
      <c r="AI887" s="5"/>
      <c r="AJ887" s="5"/>
      <c r="AK887" s="5"/>
    </row>
    <row r="888" spans="1:37" x14ac:dyDescent="0.25">
      <c r="A888" s="182"/>
      <c r="B888" s="6"/>
      <c r="C888" s="6"/>
      <c r="D888" s="15"/>
      <c r="E888" s="22"/>
      <c r="F888" s="22"/>
      <c r="G888" s="22"/>
      <c r="I888" s="5"/>
      <c r="J888" s="5"/>
      <c r="K888" s="22"/>
      <c r="L888" s="22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19"/>
      <c r="AH888" s="5"/>
      <c r="AI888" s="5"/>
      <c r="AJ888" s="5"/>
      <c r="AK888" s="5"/>
    </row>
    <row r="889" spans="1:37" x14ac:dyDescent="0.25">
      <c r="A889" s="182"/>
      <c r="B889" s="6"/>
      <c r="C889" s="6"/>
      <c r="D889" s="15"/>
      <c r="E889" s="22"/>
      <c r="F889" s="22"/>
      <c r="G889" s="22"/>
      <c r="I889" s="5"/>
      <c r="J889" s="5"/>
      <c r="K889" s="22"/>
      <c r="L889" s="22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19"/>
      <c r="AH889" s="5"/>
      <c r="AI889" s="5"/>
      <c r="AJ889" s="5"/>
      <c r="AK889" s="5"/>
    </row>
    <row r="890" spans="1:37" x14ac:dyDescent="0.25">
      <c r="A890" s="182"/>
      <c r="B890" s="6"/>
      <c r="C890" s="6"/>
      <c r="D890" s="15"/>
      <c r="E890" s="22"/>
      <c r="F890" s="22"/>
      <c r="G890" s="22"/>
      <c r="I890" s="5"/>
      <c r="J890" s="5"/>
      <c r="K890" s="22"/>
      <c r="L890" s="22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19"/>
      <c r="AH890" s="5"/>
      <c r="AI890" s="5"/>
      <c r="AJ890" s="5"/>
      <c r="AK890" s="5"/>
    </row>
    <row r="891" spans="1:37" x14ac:dyDescent="0.25">
      <c r="A891" s="182"/>
      <c r="B891" s="6"/>
      <c r="C891" s="6"/>
      <c r="D891" s="15"/>
      <c r="E891" s="22"/>
      <c r="F891" s="22"/>
      <c r="G891" s="22"/>
      <c r="I891" s="5"/>
      <c r="J891" s="5"/>
      <c r="K891" s="22"/>
      <c r="L891" s="22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19"/>
      <c r="AH891" s="5"/>
      <c r="AI891" s="5"/>
      <c r="AJ891" s="5"/>
      <c r="AK891" s="5"/>
    </row>
    <row r="892" spans="1:37" x14ac:dyDescent="0.25">
      <c r="A892" s="182"/>
      <c r="B892" s="6"/>
      <c r="C892" s="6"/>
      <c r="D892" s="15"/>
      <c r="E892" s="22"/>
      <c r="F892" s="22"/>
      <c r="G892" s="22"/>
      <c r="I892" s="5"/>
      <c r="J892" s="5"/>
      <c r="K892" s="22"/>
      <c r="L892" s="22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19"/>
      <c r="AH892" s="5"/>
      <c r="AI892" s="5"/>
      <c r="AJ892" s="5"/>
      <c r="AK892" s="5"/>
    </row>
    <row r="893" spans="1:37" x14ac:dyDescent="0.25">
      <c r="A893" s="182"/>
      <c r="B893" s="6"/>
      <c r="C893" s="6"/>
      <c r="D893" s="15"/>
      <c r="E893" s="22"/>
      <c r="F893" s="22"/>
      <c r="G893" s="22"/>
      <c r="I893" s="5"/>
      <c r="J893" s="5"/>
      <c r="K893" s="22"/>
      <c r="L893" s="22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19"/>
      <c r="AH893" s="5"/>
      <c r="AI893" s="5"/>
      <c r="AJ893" s="5"/>
      <c r="AK893" s="5"/>
    </row>
    <row r="894" spans="1:37" x14ac:dyDescent="0.25">
      <c r="A894" s="182"/>
      <c r="B894" s="6"/>
      <c r="C894" s="6"/>
      <c r="D894" s="15"/>
      <c r="E894" s="22"/>
      <c r="F894" s="22"/>
      <c r="G894" s="22"/>
      <c r="I894" s="5"/>
      <c r="J894" s="5"/>
      <c r="K894" s="22"/>
      <c r="L894" s="22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19"/>
      <c r="AH894" s="5"/>
      <c r="AI894" s="5"/>
      <c r="AJ894" s="5"/>
      <c r="AK894" s="5"/>
    </row>
    <row r="895" spans="1:37" x14ac:dyDescent="0.25">
      <c r="A895" s="182"/>
      <c r="B895" s="6"/>
      <c r="C895" s="6"/>
      <c r="D895" s="15"/>
      <c r="E895" s="22"/>
      <c r="F895" s="22"/>
      <c r="G895" s="22"/>
      <c r="I895" s="5"/>
      <c r="J895" s="5"/>
      <c r="K895" s="22"/>
      <c r="L895" s="22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19"/>
      <c r="AH895" s="5"/>
      <c r="AI895" s="5"/>
      <c r="AJ895" s="5"/>
      <c r="AK895" s="5"/>
    </row>
    <row r="896" spans="1:37" x14ac:dyDescent="0.25">
      <c r="A896" s="182"/>
      <c r="B896" s="6"/>
      <c r="C896" s="6"/>
      <c r="D896" s="15"/>
      <c r="E896" s="22"/>
      <c r="F896" s="22"/>
      <c r="G896" s="22"/>
      <c r="I896" s="5"/>
      <c r="J896" s="5"/>
      <c r="K896" s="22"/>
      <c r="L896" s="22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19"/>
      <c r="AH896" s="5"/>
      <c r="AI896" s="5"/>
      <c r="AJ896" s="5"/>
      <c r="AK896" s="5"/>
    </row>
    <row r="897" spans="1:37" x14ac:dyDescent="0.25">
      <c r="A897" s="182"/>
      <c r="B897" s="6"/>
      <c r="C897" s="6"/>
      <c r="D897" s="15"/>
      <c r="E897" s="22"/>
      <c r="F897" s="22"/>
      <c r="G897" s="22"/>
      <c r="I897" s="5"/>
      <c r="J897" s="5"/>
      <c r="K897" s="22"/>
      <c r="L897" s="22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19"/>
      <c r="AH897" s="5"/>
      <c r="AI897" s="5"/>
      <c r="AJ897" s="5"/>
      <c r="AK897" s="5"/>
    </row>
    <row r="898" spans="1:37" x14ac:dyDescent="0.25">
      <c r="A898" s="182"/>
      <c r="B898" s="6"/>
      <c r="C898" s="6"/>
      <c r="D898" s="15"/>
      <c r="E898" s="22"/>
      <c r="F898" s="22"/>
      <c r="G898" s="22"/>
      <c r="I898" s="5"/>
      <c r="J898" s="5"/>
      <c r="K898" s="22"/>
      <c r="L898" s="22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19"/>
      <c r="AH898" s="5"/>
      <c r="AI898" s="5"/>
      <c r="AJ898" s="5"/>
      <c r="AK898" s="5"/>
    </row>
    <row r="899" spans="1:37" x14ac:dyDescent="0.25">
      <c r="A899" s="182"/>
      <c r="B899" s="6"/>
      <c r="C899" s="6"/>
      <c r="D899" s="15"/>
      <c r="E899" s="22"/>
      <c r="F899" s="22"/>
      <c r="G899" s="22"/>
      <c r="I899" s="5"/>
      <c r="J899" s="5"/>
      <c r="K899" s="22"/>
      <c r="L899" s="22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19"/>
      <c r="AH899" s="5"/>
      <c r="AI899" s="5"/>
      <c r="AJ899" s="5"/>
      <c r="AK899" s="5"/>
    </row>
    <row r="900" spans="1:37" x14ac:dyDescent="0.25">
      <c r="A900" s="182"/>
      <c r="B900" s="6"/>
      <c r="C900" s="6"/>
      <c r="D900" s="15"/>
      <c r="E900" s="22"/>
      <c r="F900" s="22"/>
      <c r="G900" s="22"/>
      <c r="I900" s="5"/>
      <c r="J900" s="5"/>
      <c r="K900" s="22"/>
      <c r="L900" s="22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19"/>
      <c r="AH900" s="5"/>
      <c r="AI900" s="5"/>
      <c r="AJ900" s="5"/>
      <c r="AK900" s="5"/>
    </row>
    <row r="901" spans="1:37" x14ac:dyDescent="0.25">
      <c r="A901" s="182"/>
      <c r="B901" s="6"/>
      <c r="C901" s="6"/>
      <c r="D901" s="15"/>
      <c r="E901" s="22"/>
      <c r="F901" s="22"/>
      <c r="G901" s="22"/>
      <c r="I901" s="5"/>
      <c r="J901" s="5"/>
      <c r="K901" s="22"/>
      <c r="L901" s="22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19"/>
      <c r="AH901" s="5"/>
      <c r="AI901" s="5"/>
      <c r="AJ901" s="5"/>
      <c r="AK901" s="5"/>
    </row>
    <row r="902" spans="1:37" x14ac:dyDescent="0.25">
      <c r="A902" s="182"/>
      <c r="B902" s="6"/>
      <c r="C902" s="6"/>
      <c r="D902" s="15"/>
      <c r="E902" s="22"/>
      <c r="F902" s="22"/>
      <c r="G902" s="22"/>
      <c r="I902" s="5"/>
      <c r="J902" s="5"/>
      <c r="K902" s="22"/>
      <c r="L902" s="22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19"/>
      <c r="AH902" s="5"/>
      <c r="AI902" s="5"/>
      <c r="AJ902" s="5"/>
      <c r="AK902" s="5"/>
    </row>
    <row r="903" spans="1:37" x14ac:dyDescent="0.25">
      <c r="A903" s="182"/>
      <c r="B903" s="6"/>
      <c r="C903" s="6"/>
      <c r="D903" s="15"/>
      <c r="E903" s="22"/>
      <c r="F903" s="22"/>
      <c r="G903" s="22"/>
      <c r="I903" s="5"/>
      <c r="J903" s="5"/>
      <c r="K903" s="22"/>
      <c r="L903" s="22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19"/>
      <c r="AH903" s="5"/>
      <c r="AI903" s="5"/>
      <c r="AJ903" s="5"/>
      <c r="AK903" s="5"/>
    </row>
    <row r="904" spans="1:37" x14ac:dyDescent="0.25">
      <c r="A904" s="182"/>
      <c r="B904" s="6"/>
      <c r="C904" s="6"/>
      <c r="D904" s="15"/>
      <c r="E904" s="22"/>
      <c r="F904" s="22"/>
      <c r="G904" s="22"/>
      <c r="I904" s="5"/>
      <c r="J904" s="5"/>
      <c r="K904" s="22"/>
      <c r="L904" s="22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19"/>
      <c r="AH904" s="5"/>
      <c r="AI904" s="5"/>
      <c r="AJ904" s="5"/>
      <c r="AK904" s="5"/>
    </row>
    <row r="905" spans="1:37" x14ac:dyDescent="0.25">
      <c r="A905" s="182"/>
      <c r="B905" s="6"/>
      <c r="C905" s="6"/>
      <c r="D905" s="15"/>
      <c r="E905" s="22"/>
      <c r="F905" s="22"/>
      <c r="G905" s="22"/>
      <c r="I905" s="5"/>
      <c r="J905" s="5"/>
      <c r="K905" s="22"/>
      <c r="L905" s="22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19"/>
      <c r="AH905" s="5"/>
      <c r="AI905" s="5"/>
      <c r="AJ905" s="5"/>
      <c r="AK905" s="5"/>
    </row>
    <row r="906" spans="1:37" x14ac:dyDescent="0.25">
      <c r="A906" s="182"/>
      <c r="B906" s="6"/>
      <c r="C906" s="6"/>
      <c r="D906" s="15"/>
      <c r="E906" s="22"/>
      <c r="F906" s="22"/>
      <c r="G906" s="22"/>
      <c r="I906" s="5"/>
      <c r="J906" s="5"/>
      <c r="K906" s="22"/>
      <c r="L906" s="22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19"/>
      <c r="AH906" s="5"/>
      <c r="AI906" s="5"/>
      <c r="AJ906" s="5"/>
      <c r="AK906" s="5"/>
    </row>
    <row r="907" spans="1:37" x14ac:dyDescent="0.25">
      <c r="A907" s="182"/>
      <c r="B907" s="6"/>
      <c r="C907" s="6"/>
      <c r="D907" s="15"/>
      <c r="E907" s="22"/>
      <c r="F907" s="22"/>
      <c r="G907" s="22"/>
      <c r="I907" s="5"/>
      <c r="J907" s="5"/>
      <c r="K907" s="22"/>
      <c r="L907" s="22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19"/>
      <c r="AH907" s="5"/>
      <c r="AI907" s="5"/>
      <c r="AJ907" s="5"/>
      <c r="AK907" s="5"/>
    </row>
    <row r="908" spans="1:37" x14ac:dyDescent="0.25">
      <c r="A908" s="182"/>
      <c r="B908" s="6"/>
      <c r="C908" s="6"/>
      <c r="D908" s="15"/>
      <c r="E908" s="22"/>
      <c r="F908" s="22"/>
      <c r="G908" s="22"/>
      <c r="I908" s="5"/>
      <c r="J908" s="5"/>
      <c r="K908" s="22"/>
      <c r="L908" s="22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19"/>
      <c r="AH908" s="5"/>
      <c r="AI908" s="5"/>
      <c r="AJ908" s="5"/>
      <c r="AK908" s="5"/>
    </row>
    <row r="909" spans="1:37" x14ac:dyDescent="0.25">
      <c r="A909" s="182"/>
      <c r="B909" s="6"/>
      <c r="C909" s="6"/>
      <c r="D909" s="15"/>
      <c r="E909" s="22"/>
      <c r="F909" s="22"/>
      <c r="G909" s="22"/>
      <c r="I909" s="5"/>
      <c r="J909" s="5"/>
      <c r="K909" s="22"/>
      <c r="L909" s="22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19"/>
      <c r="AH909" s="5"/>
      <c r="AI909" s="5"/>
      <c r="AJ909" s="5"/>
      <c r="AK909" s="5"/>
    </row>
    <row r="910" spans="1:37" x14ac:dyDescent="0.25">
      <c r="A910" s="182"/>
      <c r="B910" s="6"/>
      <c r="C910" s="6"/>
      <c r="D910" s="15"/>
      <c r="E910" s="22"/>
      <c r="F910" s="22"/>
      <c r="G910" s="22"/>
      <c r="I910" s="5"/>
      <c r="J910" s="5"/>
      <c r="K910" s="22"/>
      <c r="L910" s="22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19"/>
      <c r="AH910" s="5"/>
      <c r="AI910" s="5"/>
      <c r="AJ910" s="5"/>
      <c r="AK910" s="5"/>
    </row>
    <row r="911" spans="1:37" x14ac:dyDescent="0.25">
      <c r="A911" s="182"/>
      <c r="B911" s="6"/>
      <c r="C911" s="6"/>
      <c r="D911" s="15"/>
      <c r="E911" s="22"/>
      <c r="F911" s="22"/>
      <c r="G911" s="22"/>
      <c r="I911" s="5"/>
      <c r="J911" s="5"/>
      <c r="K911" s="22"/>
      <c r="L911" s="22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19"/>
      <c r="AH911" s="5"/>
      <c r="AI911" s="5"/>
      <c r="AJ911" s="5"/>
      <c r="AK911" s="5"/>
    </row>
    <row r="912" spans="1:37" x14ac:dyDescent="0.25">
      <c r="A912" s="182"/>
      <c r="B912" s="6"/>
      <c r="C912" s="6"/>
      <c r="D912" s="15"/>
      <c r="E912" s="22"/>
      <c r="F912" s="22"/>
      <c r="G912" s="22"/>
      <c r="I912" s="5"/>
      <c r="J912" s="5"/>
      <c r="K912" s="22"/>
      <c r="L912" s="22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19"/>
      <c r="AH912" s="5"/>
      <c r="AI912" s="5"/>
      <c r="AJ912" s="5"/>
      <c r="AK912" s="5"/>
    </row>
    <row r="913" spans="1:37" x14ac:dyDescent="0.25">
      <c r="A913" s="182"/>
      <c r="B913" s="6"/>
      <c r="C913" s="6"/>
      <c r="D913" s="15"/>
      <c r="E913" s="22"/>
      <c r="F913" s="22"/>
      <c r="G913" s="22"/>
      <c r="I913" s="5"/>
      <c r="J913" s="5"/>
      <c r="K913" s="22"/>
      <c r="L913" s="22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19"/>
      <c r="AH913" s="5"/>
      <c r="AI913" s="5"/>
      <c r="AJ913" s="5"/>
      <c r="AK913" s="5"/>
    </row>
    <row r="914" spans="1:37" x14ac:dyDescent="0.25">
      <c r="A914" s="182"/>
      <c r="B914" s="6"/>
      <c r="C914" s="6"/>
      <c r="D914" s="15"/>
      <c r="E914" s="22"/>
      <c r="F914" s="22"/>
      <c r="G914" s="22"/>
      <c r="I914" s="5"/>
      <c r="J914" s="5"/>
      <c r="K914" s="22"/>
      <c r="L914" s="22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19"/>
      <c r="AH914" s="5"/>
      <c r="AI914" s="5"/>
      <c r="AJ914" s="5"/>
      <c r="AK914" s="5"/>
    </row>
    <row r="915" spans="1:37" x14ac:dyDescent="0.25">
      <c r="A915" s="182"/>
      <c r="B915" s="6"/>
      <c r="C915" s="6"/>
      <c r="D915" s="15"/>
      <c r="E915" s="22"/>
      <c r="F915" s="22"/>
      <c r="G915" s="22"/>
      <c r="I915" s="5"/>
      <c r="J915" s="5"/>
      <c r="K915" s="22"/>
      <c r="L915" s="22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19"/>
      <c r="AH915" s="5"/>
      <c r="AI915" s="5"/>
      <c r="AJ915" s="5"/>
      <c r="AK915" s="5"/>
    </row>
    <row r="916" spans="1:37" x14ac:dyDescent="0.25">
      <c r="A916" s="182"/>
      <c r="B916" s="6"/>
      <c r="C916" s="6"/>
      <c r="D916" s="15"/>
      <c r="E916" s="22"/>
      <c r="F916" s="22"/>
      <c r="G916" s="22"/>
      <c r="I916" s="5"/>
      <c r="J916" s="5"/>
      <c r="K916" s="22"/>
      <c r="L916" s="22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19"/>
      <c r="AH916" s="5"/>
      <c r="AI916" s="5"/>
      <c r="AJ916" s="5"/>
      <c r="AK916" s="5"/>
    </row>
    <row r="917" spans="1:37" x14ac:dyDescent="0.25">
      <c r="A917" s="182"/>
      <c r="B917" s="6"/>
      <c r="C917" s="6"/>
      <c r="D917" s="15"/>
      <c r="E917" s="22"/>
      <c r="F917" s="22"/>
      <c r="G917" s="22"/>
      <c r="I917" s="5"/>
      <c r="J917" s="5"/>
      <c r="K917" s="22"/>
      <c r="L917" s="22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19"/>
      <c r="AH917" s="5"/>
      <c r="AI917" s="5"/>
      <c r="AJ917" s="5"/>
      <c r="AK917" s="5"/>
    </row>
    <row r="918" spans="1:37" x14ac:dyDescent="0.25">
      <c r="A918" s="182"/>
      <c r="B918" s="6"/>
      <c r="C918" s="6"/>
      <c r="D918" s="15"/>
      <c r="E918" s="22"/>
      <c r="F918" s="22"/>
      <c r="G918" s="22"/>
      <c r="I918" s="5"/>
      <c r="J918" s="5"/>
      <c r="K918" s="22"/>
      <c r="L918" s="22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19"/>
      <c r="AH918" s="5"/>
      <c r="AI918" s="5"/>
      <c r="AJ918" s="5"/>
      <c r="AK918" s="5"/>
    </row>
    <row r="919" spans="1:37" x14ac:dyDescent="0.25">
      <c r="A919" s="182"/>
      <c r="B919" s="6"/>
      <c r="C919" s="6"/>
      <c r="D919" s="15"/>
      <c r="E919" s="22"/>
      <c r="F919" s="22"/>
      <c r="G919" s="22"/>
      <c r="I919" s="5"/>
      <c r="J919" s="5"/>
      <c r="K919" s="22"/>
      <c r="L919" s="22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19"/>
      <c r="AH919" s="5"/>
      <c r="AI919" s="5"/>
      <c r="AJ919" s="5"/>
      <c r="AK919" s="5"/>
    </row>
    <row r="920" spans="1:37" x14ac:dyDescent="0.25">
      <c r="A920" s="182"/>
      <c r="B920" s="6"/>
      <c r="C920" s="6"/>
      <c r="D920" s="15"/>
      <c r="E920" s="22"/>
      <c r="F920" s="22"/>
      <c r="G920" s="22"/>
      <c r="I920" s="5"/>
      <c r="J920" s="5"/>
      <c r="K920" s="22"/>
      <c r="L920" s="22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19"/>
      <c r="AH920" s="5"/>
      <c r="AI920" s="5"/>
      <c r="AJ920" s="5"/>
      <c r="AK920" s="5"/>
    </row>
    <row r="921" spans="1:37" x14ac:dyDescent="0.25">
      <c r="A921" s="182"/>
      <c r="B921" s="6"/>
      <c r="C921" s="6"/>
      <c r="D921" s="15"/>
      <c r="E921" s="22"/>
      <c r="F921" s="22"/>
      <c r="G921" s="22"/>
      <c r="I921" s="5"/>
      <c r="J921" s="5"/>
      <c r="K921" s="22"/>
      <c r="L921" s="22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19"/>
      <c r="AH921" s="5"/>
      <c r="AI921" s="5"/>
      <c r="AJ921" s="5"/>
      <c r="AK921" s="5"/>
    </row>
    <row r="922" spans="1:37" x14ac:dyDescent="0.25">
      <c r="A922" s="182"/>
      <c r="B922" s="6"/>
      <c r="C922" s="6"/>
      <c r="D922" s="15"/>
      <c r="E922" s="22"/>
      <c r="F922" s="22"/>
      <c r="G922" s="22"/>
      <c r="I922" s="5"/>
      <c r="J922" s="5"/>
      <c r="K922" s="22"/>
      <c r="L922" s="22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19"/>
      <c r="AH922" s="5"/>
      <c r="AI922" s="5"/>
      <c r="AJ922" s="5"/>
      <c r="AK922" s="5"/>
    </row>
    <row r="923" spans="1:37" x14ac:dyDescent="0.25">
      <c r="A923" s="182"/>
      <c r="B923" s="6"/>
      <c r="C923" s="6"/>
      <c r="D923" s="15"/>
      <c r="E923" s="22"/>
      <c r="F923" s="22"/>
      <c r="G923" s="22"/>
      <c r="I923" s="5"/>
      <c r="J923" s="5"/>
      <c r="K923" s="22"/>
      <c r="L923" s="22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19"/>
      <c r="AH923" s="5"/>
      <c r="AI923" s="5"/>
      <c r="AJ923" s="5"/>
      <c r="AK923" s="5"/>
    </row>
    <row r="924" spans="1:37" x14ac:dyDescent="0.25">
      <c r="A924" s="182"/>
      <c r="B924" s="6"/>
      <c r="C924" s="6"/>
      <c r="D924" s="15"/>
      <c r="E924" s="22"/>
      <c r="F924" s="22"/>
      <c r="G924" s="22"/>
      <c r="I924" s="5"/>
      <c r="J924" s="5"/>
      <c r="K924" s="22"/>
      <c r="L924" s="22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19"/>
      <c r="AH924" s="5"/>
      <c r="AI924" s="5"/>
      <c r="AJ924" s="5"/>
      <c r="AK924" s="5"/>
    </row>
    <row r="925" spans="1:37" x14ac:dyDescent="0.25">
      <c r="A925" s="182"/>
      <c r="B925" s="6"/>
      <c r="C925" s="6"/>
      <c r="D925" s="15"/>
      <c r="E925" s="22"/>
      <c r="F925" s="22"/>
      <c r="G925" s="22"/>
      <c r="I925" s="5"/>
      <c r="J925" s="5"/>
      <c r="K925" s="22"/>
      <c r="L925" s="22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19"/>
      <c r="AH925" s="5"/>
      <c r="AI925" s="5"/>
      <c r="AJ925" s="5"/>
      <c r="AK925" s="5"/>
    </row>
    <row r="926" spans="1:37" x14ac:dyDescent="0.25">
      <c r="A926" s="182"/>
      <c r="B926" s="6"/>
      <c r="C926" s="6"/>
      <c r="D926" s="15"/>
      <c r="E926" s="22"/>
      <c r="F926" s="22"/>
      <c r="G926" s="22"/>
      <c r="I926" s="5"/>
      <c r="J926" s="5"/>
      <c r="K926" s="22"/>
      <c r="L926" s="22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19"/>
      <c r="AH926" s="5"/>
      <c r="AI926" s="5"/>
      <c r="AJ926" s="5"/>
      <c r="AK926" s="5"/>
    </row>
    <row r="927" spans="1:37" x14ac:dyDescent="0.25">
      <c r="A927" s="182"/>
      <c r="B927" s="6"/>
      <c r="C927" s="6"/>
      <c r="D927" s="15"/>
      <c r="E927" s="22"/>
      <c r="F927" s="22"/>
      <c r="G927" s="22"/>
      <c r="I927" s="5"/>
      <c r="J927" s="5"/>
      <c r="K927" s="22"/>
      <c r="L927" s="22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19"/>
      <c r="AH927" s="5"/>
      <c r="AI927" s="5"/>
      <c r="AJ927" s="5"/>
      <c r="AK927" s="5"/>
    </row>
    <row r="928" spans="1:37" x14ac:dyDescent="0.25">
      <c r="A928" s="182"/>
      <c r="B928" s="6"/>
      <c r="C928" s="6"/>
      <c r="D928" s="15"/>
      <c r="E928" s="22"/>
      <c r="F928" s="22"/>
      <c r="G928" s="22"/>
      <c r="I928" s="5"/>
      <c r="J928" s="5"/>
      <c r="K928" s="22"/>
      <c r="L928" s="22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19"/>
      <c r="AH928" s="5"/>
      <c r="AI928" s="5"/>
      <c r="AJ928" s="5"/>
      <c r="AK928" s="5"/>
    </row>
    <row r="929" spans="1:37" x14ac:dyDescent="0.25">
      <c r="A929" s="182"/>
      <c r="B929" s="6"/>
      <c r="C929" s="6"/>
      <c r="D929" s="15"/>
      <c r="E929" s="22"/>
      <c r="F929" s="22"/>
      <c r="G929" s="22"/>
      <c r="I929" s="5"/>
      <c r="J929" s="5"/>
      <c r="K929" s="22"/>
      <c r="L929" s="22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19"/>
      <c r="AH929" s="5"/>
      <c r="AI929" s="5"/>
      <c r="AJ929" s="5"/>
      <c r="AK929" s="5"/>
    </row>
    <row r="930" spans="1:37" x14ac:dyDescent="0.25">
      <c r="A930" s="182"/>
      <c r="B930" s="6"/>
      <c r="C930" s="6"/>
      <c r="D930" s="15"/>
      <c r="E930" s="22"/>
      <c r="F930" s="22"/>
      <c r="G930" s="22"/>
      <c r="I930" s="5"/>
      <c r="J930" s="5"/>
      <c r="K930" s="22"/>
      <c r="L930" s="22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19"/>
      <c r="AH930" s="5"/>
      <c r="AI930" s="5"/>
      <c r="AJ930" s="5"/>
      <c r="AK930" s="5"/>
    </row>
    <row r="931" spans="1:37" x14ac:dyDescent="0.25">
      <c r="A931" s="182"/>
      <c r="B931" s="6"/>
      <c r="C931" s="6"/>
      <c r="D931" s="15"/>
      <c r="E931" s="22"/>
      <c r="F931" s="22"/>
      <c r="G931" s="22"/>
      <c r="I931" s="5"/>
      <c r="J931" s="5"/>
      <c r="K931" s="22"/>
      <c r="L931" s="22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19"/>
      <c r="AH931" s="5"/>
      <c r="AI931" s="5"/>
      <c r="AJ931" s="5"/>
      <c r="AK931" s="5"/>
    </row>
    <row r="932" spans="1:37" x14ac:dyDescent="0.25">
      <c r="A932" s="182"/>
      <c r="B932" s="6"/>
      <c r="C932" s="6"/>
      <c r="D932" s="15"/>
      <c r="E932" s="22"/>
      <c r="F932" s="22"/>
      <c r="G932" s="22"/>
      <c r="I932" s="5"/>
      <c r="J932" s="5"/>
      <c r="K932" s="22"/>
      <c r="L932" s="22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19"/>
      <c r="AH932" s="5"/>
      <c r="AI932" s="5"/>
      <c r="AJ932" s="5"/>
      <c r="AK932" s="5"/>
    </row>
    <row r="933" spans="1:37" x14ac:dyDescent="0.25">
      <c r="A933" s="182"/>
      <c r="B933" s="6"/>
      <c r="C933" s="6"/>
      <c r="D933" s="15"/>
      <c r="E933" s="22"/>
      <c r="F933" s="22"/>
      <c r="G933" s="22"/>
      <c r="I933" s="5"/>
      <c r="J933" s="5"/>
      <c r="K933" s="22"/>
      <c r="L933" s="22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19"/>
      <c r="AH933" s="5"/>
      <c r="AI933" s="5"/>
      <c r="AJ933" s="5"/>
      <c r="AK933" s="5"/>
    </row>
    <row r="934" spans="1:37" x14ac:dyDescent="0.25">
      <c r="A934" s="182"/>
      <c r="B934" s="6"/>
      <c r="C934" s="6"/>
      <c r="D934" s="15"/>
      <c r="E934" s="22"/>
      <c r="F934" s="22"/>
      <c r="G934" s="22"/>
      <c r="I934" s="5"/>
      <c r="J934" s="5"/>
      <c r="K934" s="22"/>
      <c r="L934" s="22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19"/>
      <c r="AH934" s="5"/>
      <c r="AI934" s="5"/>
      <c r="AJ934" s="5"/>
      <c r="AK934" s="5"/>
    </row>
    <row r="935" spans="1:37" x14ac:dyDescent="0.25">
      <c r="A935" s="182"/>
      <c r="B935" s="6"/>
      <c r="C935" s="6"/>
      <c r="D935" s="15"/>
      <c r="E935" s="22"/>
      <c r="F935" s="22"/>
      <c r="G935" s="22"/>
      <c r="I935" s="5"/>
      <c r="J935" s="5"/>
      <c r="K935" s="22"/>
      <c r="L935" s="22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19"/>
      <c r="AH935" s="5"/>
      <c r="AI935" s="5"/>
      <c r="AJ935" s="5"/>
      <c r="AK935" s="5"/>
    </row>
    <row r="936" spans="1:37" x14ac:dyDescent="0.25">
      <c r="A936" s="182"/>
      <c r="B936" s="6"/>
      <c r="C936" s="6"/>
      <c r="D936" s="15"/>
      <c r="E936" s="22"/>
      <c r="F936" s="22"/>
      <c r="G936" s="22"/>
      <c r="I936" s="5"/>
      <c r="J936" s="5"/>
      <c r="K936" s="22"/>
      <c r="L936" s="22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19"/>
      <c r="AH936" s="5"/>
      <c r="AI936" s="5"/>
      <c r="AJ936" s="5"/>
      <c r="AK936" s="5"/>
    </row>
    <row r="937" spans="1:37" x14ac:dyDescent="0.25">
      <c r="A937" s="182"/>
      <c r="B937" s="6"/>
      <c r="C937" s="6"/>
      <c r="D937" s="15"/>
      <c r="E937" s="22"/>
      <c r="F937" s="22"/>
      <c r="G937" s="22"/>
      <c r="I937" s="5"/>
      <c r="J937" s="5"/>
      <c r="K937" s="22"/>
      <c r="L937" s="22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19"/>
      <c r="AH937" s="5"/>
      <c r="AI937" s="5"/>
      <c r="AJ937" s="5"/>
      <c r="AK937" s="5"/>
    </row>
    <row r="938" spans="1:37" x14ac:dyDescent="0.25">
      <c r="A938" s="182"/>
      <c r="B938" s="6"/>
      <c r="C938" s="6"/>
      <c r="D938" s="15"/>
      <c r="E938" s="22"/>
      <c r="F938" s="22"/>
      <c r="G938" s="22"/>
      <c r="I938" s="5"/>
      <c r="J938" s="5"/>
      <c r="K938" s="22"/>
      <c r="L938" s="22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19"/>
      <c r="AH938" s="5"/>
      <c r="AI938" s="5"/>
      <c r="AJ938" s="5"/>
      <c r="AK938" s="5"/>
    </row>
    <row r="939" spans="1:37" x14ac:dyDescent="0.25">
      <c r="A939" s="182"/>
      <c r="B939" s="6"/>
      <c r="C939" s="6"/>
      <c r="D939" s="15"/>
      <c r="E939" s="22"/>
      <c r="F939" s="22"/>
      <c r="G939" s="22"/>
      <c r="I939" s="5"/>
      <c r="J939" s="5"/>
      <c r="K939" s="22"/>
      <c r="L939" s="22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19"/>
      <c r="AH939" s="5"/>
      <c r="AI939" s="5"/>
      <c r="AJ939" s="5"/>
      <c r="AK939" s="5"/>
    </row>
    <row r="940" spans="1:37" x14ac:dyDescent="0.25">
      <c r="A940" s="182"/>
      <c r="B940" s="6"/>
      <c r="C940" s="6"/>
      <c r="D940" s="15"/>
      <c r="E940" s="22"/>
      <c r="F940" s="22"/>
      <c r="G940" s="22"/>
      <c r="I940" s="5"/>
      <c r="J940" s="5"/>
      <c r="K940" s="22"/>
      <c r="L940" s="22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19"/>
      <c r="AH940" s="5"/>
      <c r="AI940" s="5"/>
      <c r="AJ940" s="5"/>
      <c r="AK940" s="5"/>
    </row>
    <row r="941" spans="1:37" x14ac:dyDescent="0.25">
      <c r="A941" s="182"/>
      <c r="B941" s="6"/>
      <c r="C941" s="6"/>
      <c r="D941" s="15"/>
      <c r="E941" s="22"/>
      <c r="F941" s="22"/>
      <c r="G941" s="22"/>
      <c r="I941" s="5"/>
      <c r="J941" s="5"/>
      <c r="K941" s="22"/>
      <c r="L941" s="22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19"/>
      <c r="AH941" s="5"/>
      <c r="AI941" s="5"/>
      <c r="AJ941" s="5"/>
      <c r="AK941" s="5"/>
    </row>
    <row r="942" spans="1:37" x14ac:dyDescent="0.25">
      <c r="A942" s="182"/>
      <c r="B942" s="6"/>
      <c r="C942" s="6"/>
      <c r="D942" s="15"/>
      <c r="E942" s="22"/>
      <c r="F942" s="22"/>
      <c r="G942" s="22"/>
      <c r="I942" s="5"/>
      <c r="J942" s="5"/>
      <c r="K942" s="22"/>
      <c r="L942" s="22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19"/>
      <c r="AH942" s="5"/>
      <c r="AI942" s="5"/>
      <c r="AJ942" s="5"/>
      <c r="AK942" s="5"/>
    </row>
    <row r="943" spans="1:37" x14ac:dyDescent="0.25">
      <c r="A943" s="182"/>
      <c r="B943" s="6"/>
      <c r="C943" s="6"/>
      <c r="D943" s="15"/>
      <c r="E943" s="22"/>
      <c r="F943" s="22"/>
      <c r="G943" s="22"/>
      <c r="I943" s="5"/>
      <c r="J943" s="5"/>
      <c r="K943" s="22"/>
      <c r="L943" s="22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19"/>
      <c r="AH943" s="5"/>
      <c r="AI943" s="5"/>
      <c r="AJ943" s="5"/>
      <c r="AK943" s="5"/>
    </row>
    <row r="944" spans="1:37" x14ac:dyDescent="0.25">
      <c r="A944" s="182"/>
      <c r="B944" s="6"/>
      <c r="C944" s="6"/>
      <c r="D944" s="15"/>
      <c r="E944" s="22"/>
      <c r="F944" s="22"/>
      <c r="G944" s="22"/>
      <c r="I944" s="5"/>
      <c r="J944" s="5"/>
      <c r="K944" s="22"/>
      <c r="L944" s="22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19"/>
      <c r="AH944" s="5"/>
      <c r="AI944" s="5"/>
      <c r="AJ944" s="5"/>
      <c r="AK944" s="5"/>
    </row>
    <row r="945" spans="1:37" x14ac:dyDescent="0.25">
      <c r="A945" s="182"/>
      <c r="B945" s="6"/>
      <c r="C945" s="6"/>
      <c r="D945" s="15"/>
      <c r="E945" s="22"/>
      <c r="F945" s="22"/>
      <c r="G945" s="22"/>
      <c r="I945" s="5"/>
      <c r="J945" s="5"/>
      <c r="K945" s="22"/>
      <c r="L945" s="22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19"/>
      <c r="AH945" s="5"/>
      <c r="AI945" s="5"/>
      <c r="AJ945" s="5"/>
      <c r="AK945" s="5"/>
    </row>
    <row r="946" spans="1:37" x14ac:dyDescent="0.25">
      <c r="A946" s="182"/>
      <c r="B946" s="6"/>
      <c r="C946" s="6"/>
      <c r="D946" s="15"/>
      <c r="E946" s="22"/>
      <c r="F946" s="22"/>
      <c r="G946" s="22"/>
      <c r="I946" s="5"/>
      <c r="J946" s="5"/>
      <c r="K946" s="22"/>
      <c r="L946" s="22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19"/>
      <c r="AH946" s="5"/>
      <c r="AI946" s="5"/>
      <c r="AJ946" s="5"/>
      <c r="AK946" s="5"/>
    </row>
    <row r="947" spans="1:37" x14ac:dyDescent="0.25">
      <c r="A947" s="182"/>
      <c r="B947" s="6"/>
      <c r="C947" s="6"/>
      <c r="D947" s="15"/>
      <c r="E947" s="22"/>
      <c r="F947" s="22"/>
      <c r="G947" s="22"/>
      <c r="I947" s="5"/>
      <c r="J947" s="5"/>
      <c r="K947" s="22"/>
      <c r="L947" s="22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19"/>
      <c r="AH947" s="5"/>
      <c r="AI947" s="5"/>
      <c r="AJ947" s="5"/>
      <c r="AK947" s="5"/>
    </row>
    <row r="948" spans="1:37" x14ac:dyDescent="0.25">
      <c r="A948" s="182"/>
      <c r="B948" s="6"/>
      <c r="C948" s="6"/>
      <c r="D948" s="15"/>
      <c r="E948" s="22"/>
      <c r="F948" s="22"/>
      <c r="G948" s="22"/>
      <c r="I948" s="5"/>
      <c r="J948" s="5"/>
      <c r="K948" s="22"/>
      <c r="L948" s="22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19"/>
      <c r="AH948" s="5"/>
      <c r="AI948" s="5"/>
      <c r="AJ948" s="5"/>
      <c r="AK948" s="5"/>
    </row>
    <row r="949" spans="1:37" x14ac:dyDescent="0.25">
      <c r="A949" s="182"/>
      <c r="B949" s="6"/>
      <c r="C949" s="6"/>
      <c r="D949" s="15"/>
      <c r="E949" s="22"/>
      <c r="F949" s="22"/>
      <c r="G949" s="22"/>
      <c r="I949" s="5"/>
      <c r="J949" s="5"/>
      <c r="K949" s="22"/>
      <c r="L949" s="22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19"/>
      <c r="AH949" s="5"/>
      <c r="AI949" s="5"/>
      <c r="AJ949" s="5"/>
      <c r="AK949" s="5"/>
    </row>
    <row r="950" spans="1:37" x14ac:dyDescent="0.25">
      <c r="A950" s="182"/>
      <c r="B950" s="6"/>
      <c r="C950" s="6"/>
      <c r="D950" s="15"/>
      <c r="E950" s="22"/>
      <c r="F950" s="22"/>
      <c r="G950" s="22"/>
      <c r="I950" s="5"/>
      <c r="J950" s="5"/>
      <c r="K950" s="22"/>
      <c r="L950" s="22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19"/>
      <c r="AH950" s="5"/>
      <c r="AI950" s="5"/>
      <c r="AJ950" s="5"/>
      <c r="AK950" s="5"/>
    </row>
    <row r="951" spans="1:37" x14ac:dyDescent="0.25">
      <c r="A951" s="182"/>
      <c r="B951" s="6"/>
      <c r="C951" s="6"/>
      <c r="D951" s="15"/>
      <c r="E951" s="22"/>
      <c r="F951" s="22"/>
      <c r="G951" s="22"/>
      <c r="I951" s="5"/>
      <c r="J951" s="5"/>
      <c r="K951" s="22"/>
      <c r="L951" s="22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19"/>
      <c r="AH951" s="5"/>
      <c r="AI951" s="5"/>
      <c r="AJ951" s="5"/>
      <c r="AK951" s="5"/>
    </row>
    <row r="952" spans="1:37" x14ac:dyDescent="0.25">
      <c r="A952" s="182"/>
      <c r="B952" s="6"/>
      <c r="C952" s="6"/>
      <c r="D952" s="15"/>
      <c r="E952" s="22"/>
      <c r="F952" s="22"/>
      <c r="G952" s="22"/>
      <c r="I952" s="5"/>
      <c r="J952" s="5"/>
      <c r="K952" s="22"/>
      <c r="L952" s="22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19"/>
      <c r="AH952" s="5"/>
      <c r="AI952" s="5"/>
      <c r="AJ952" s="5"/>
      <c r="AK952" s="5"/>
    </row>
    <row r="953" spans="1:37" x14ac:dyDescent="0.25">
      <c r="A953" s="182"/>
      <c r="B953" s="6"/>
      <c r="C953" s="6"/>
      <c r="D953" s="15"/>
      <c r="E953" s="22"/>
      <c r="F953" s="22"/>
      <c r="G953" s="22"/>
      <c r="I953" s="5"/>
      <c r="J953" s="5"/>
      <c r="K953" s="22"/>
      <c r="L953" s="22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19"/>
      <c r="AH953" s="5"/>
      <c r="AI953" s="5"/>
      <c r="AJ953" s="5"/>
      <c r="AK953" s="5"/>
    </row>
    <row r="954" spans="1:37" x14ac:dyDescent="0.25">
      <c r="A954" s="182"/>
      <c r="B954" s="6"/>
      <c r="C954" s="6"/>
      <c r="D954" s="15"/>
      <c r="E954" s="22"/>
      <c r="F954" s="22"/>
      <c r="G954" s="22"/>
      <c r="I954" s="5"/>
      <c r="J954" s="5"/>
      <c r="K954" s="22"/>
      <c r="L954" s="22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19"/>
      <c r="AH954" s="5"/>
      <c r="AI954" s="5"/>
      <c r="AJ954" s="5"/>
      <c r="AK954" s="5"/>
    </row>
    <row r="955" spans="1:37" x14ac:dyDescent="0.25">
      <c r="A955" s="182"/>
      <c r="B955" s="6"/>
      <c r="C955" s="6"/>
      <c r="D955" s="15"/>
      <c r="E955" s="22"/>
      <c r="F955" s="22"/>
      <c r="G955" s="22"/>
      <c r="I955" s="5"/>
      <c r="J955" s="5"/>
      <c r="K955" s="22"/>
      <c r="L955" s="22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19"/>
      <c r="AH955" s="5"/>
      <c r="AI955" s="5"/>
      <c r="AJ955" s="5"/>
      <c r="AK955" s="5"/>
    </row>
    <row r="956" spans="1:37" x14ac:dyDescent="0.25">
      <c r="A956" s="182"/>
      <c r="B956" s="6"/>
      <c r="C956" s="6"/>
      <c r="D956" s="15"/>
      <c r="E956" s="22"/>
      <c r="F956" s="22"/>
      <c r="G956" s="22"/>
      <c r="I956" s="5"/>
      <c r="J956" s="5"/>
      <c r="K956" s="22"/>
      <c r="L956" s="22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19"/>
      <c r="AH956" s="5"/>
      <c r="AI956" s="5"/>
      <c r="AJ956" s="5"/>
      <c r="AK956" s="5"/>
    </row>
    <row r="957" spans="1:37" x14ac:dyDescent="0.25">
      <c r="A957" s="182"/>
      <c r="B957" s="6"/>
      <c r="C957" s="6"/>
      <c r="D957" s="15"/>
      <c r="E957" s="22"/>
      <c r="F957" s="22"/>
      <c r="G957" s="22"/>
      <c r="I957" s="5"/>
      <c r="J957" s="5"/>
      <c r="K957" s="22"/>
      <c r="L957" s="22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19"/>
      <c r="AH957" s="5"/>
      <c r="AI957" s="5"/>
      <c r="AJ957" s="5"/>
      <c r="AK957" s="5"/>
    </row>
    <row r="958" spans="1:37" x14ac:dyDescent="0.25">
      <c r="A958" s="182"/>
      <c r="B958" s="6"/>
      <c r="C958" s="6"/>
      <c r="D958" s="15"/>
      <c r="E958" s="22"/>
      <c r="F958" s="22"/>
      <c r="G958" s="22"/>
      <c r="I958" s="5"/>
      <c r="J958" s="5"/>
      <c r="K958" s="22"/>
      <c r="L958" s="22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19"/>
      <c r="AH958" s="5"/>
      <c r="AI958" s="5"/>
      <c r="AJ958" s="5"/>
      <c r="AK958" s="5"/>
    </row>
    <row r="959" spans="1:37" x14ac:dyDescent="0.25">
      <c r="A959" s="182"/>
      <c r="B959" s="6"/>
      <c r="C959" s="6"/>
      <c r="D959" s="15"/>
      <c r="E959" s="22"/>
      <c r="F959" s="22"/>
      <c r="G959" s="22"/>
      <c r="I959" s="5"/>
      <c r="J959" s="5"/>
      <c r="K959" s="22"/>
      <c r="L959" s="22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19"/>
      <c r="AH959" s="5"/>
      <c r="AI959" s="5"/>
      <c r="AJ959" s="5"/>
      <c r="AK959" s="5"/>
    </row>
    <row r="960" spans="1:37" x14ac:dyDescent="0.25">
      <c r="A960" s="182"/>
      <c r="B960" s="6"/>
      <c r="C960" s="6"/>
      <c r="D960" s="15"/>
      <c r="E960" s="22"/>
      <c r="F960" s="22"/>
      <c r="G960" s="22"/>
      <c r="I960" s="5"/>
      <c r="J960" s="5"/>
      <c r="K960" s="22"/>
      <c r="L960" s="22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19"/>
      <c r="AH960" s="5"/>
      <c r="AI960" s="5"/>
      <c r="AJ960" s="5"/>
      <c r="AK960" s="5"/>
    </row>
    <row r="961" spans="1:37" x14ac:dyDescent="0.25">
      <c r="A961" s="182"/>
      <c r="B961" s="6"/>
      <c r="C961" s="6"/>
      <c r="D961" s="15"/>
      <c r="E961" s="22"/>
      <c r="F961" s="22"/>
      <c r="G961" s="22"/>
      <c r="I961" s="5"/>
      <c r="J961" s="5"/>
      <c r="K961" s="22"/>
      <c r="L961" s="22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19"/>
      <c r="AH961" s="5"/>
      <c r="AI961" s="5"/>
      <c r="AJ961" s="5"/>
      <c r="AK961" s="5"/>
    </row>
    <row r="962" spans="1:37" x14ac:dyDescent="0.25">
      <c r="A962" s="182"/>
      <c r="B962" s="6"/>
      <c r="C962" s="6"/>
      <c r="D962" s="15"/>
      <c r="E962" s="22"/>
      <c r="F962" s="22"/>
      <c r="G962" s="22"/>
      <c r="I962" s="5"/>
      <c r="J962" s="5"/>
      <c r="K962" s="22"/>
      <c r="L962" s="22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19"/>
      <c r="AH962" s="5"/>
      <c r="AI962" s="5"/>
      <c r="AJ962" s="5"/>
      <c r="AK962" s="5"/>
    </row>
    <row r="963" spans="1:37" x14ac:dyDescent="0.25">
      <c r="A963" s="182"/>
      <c r="B963" s="6"/>
      <c r="C963" s="6"/>
      <c r="D963" s="15"/>
      <c r="E963" s="22"/>
      <c r="F963" s="22"/>
      <c r="G963" s="22"/>
      <c r="I963" s="5"/>
      <c r="J963" s="5"/>
      <c r="K963" s="22"/>
      <c r="L963" s="22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19"/>
      <c r="AH963" s="5"/>
      <c r="AI963" s="5"/>
      <c r="AJ963" s="5"/>
      <c r="AK963" s="5"/>
    </row>
    <row r="964" spans="1:37" x14ac:dyDescent="0.25">
      <c r="A964" s="182"/>
      <c r="B964" s="6"/>
      <c r="C964" s="6"/>
      <c r="D964" s="15"/>
      <c r="E964" s="22"/>
      <c r="F964" s="22"/>
      <c r="G964" s="22"/>
      <c r="I964" s="5"/>
      <c r="J964" s="5"/>
      <c r="K964" s="22"/>
      <c r="L964" s="22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19"/>
      <c r="AH964" s="5"/>
      <c r="AI964" s="5"/>
      <c r="AJ964" s="5"/>
      <c r="AK964" s="5"/>
    </row>
    <row r="965" spans="1:37" x14ac:dyDescent="0.25">
      <c r="A965" s="182"/>
      <c r="B965" s="6"/>
      <c r="C965" s="6"/>
      <c r="D965" s="15"/>
      <c r="E965" s="22"/>
      <c r="F965" s="22"/>
      <c r="G965" s="22"/>
      <c r="I965" s="5"/>
      <c r="J965" s="5"/>
      <c r="K965" s="22"/>
      <c r="L965" s="22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19"/>
      <c r="AH965" s="5"/>
      <c r="AI965" s="5"/>
      <c r="AJ965" s="5"/>
      <c r="AK965" s="5"/>
    </row>
    <row r="966" spans="1:37" x14ac:dyDescent="0.25">
      <c r="A966" s="182"/>
      <c r="B966" s="6"/>
      <c r="C966" s="6"/>
      <c r="D966" s="15"/>
      <c r="E966" s="22"/>
      <c r="F966" s="22"/>
      <c r="G966" s="22"/>
      <c r="I966" s="5"/>
      <c r="J966" s="5"/>
      <c r="K966" s="22"/>
      <c r="L966" s="22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19"/>
      <c r="AH966" s="5"/>
      <c r="AI966" s="5"/>
      <c r="AJ966" s="5"/>
      <c r="AK966" s="5"/>
    </row>
    <row r="967" spans="1:37" x14ac:dyDescent="0.25">
      <c r="A967" s="182"/>
      <c r="B967" s="6"/>
      <c r="C967" s="6"/>
      <c r="D967" s="15"/>
      <c r="E967" s="22"/>
      <c r="F967" s="22"/>
      <c r="G967" s="22"/>
      <c r="I967" s="5"/>
      <c r="J967" s="5"/>
      <c r="K967" s="22"/>
      <c r="L967" s="22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19"/>
      <c r="AH967" s="5"/>
      <c r="AI967" s="5"/>
      <c r="AJ967" s="5"/>
      <c r="AK967" s="5"/>
    </row>
    <row r="968" spans="1:37" x14ac:dyDescent="0.25">
      <c r="A968" s="182"/>
      <c r="B968" s="6"/>
      <c r="C968" s="6"/>
      <c r="D968" s="15"/>
      <c r="E968" s="22"/>
      <c r="F968" s="22"/>
      <c r="G968" s="22"/>
      <c r="I968" s="5"/>
      <c r="J968" s="5"/>
      <c r="K968" s="22"/>
      <c r="L968" s="22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19"/>
      <c r="AH968" s="5"/>
      <c r="AI968" s="5"/>
      <c r="AJ968" s="5"/>
      <c r="AK968" s="5"/>
    </row>
    <row r="969" spans="1:37" x14ac:dyDescent="0.25">
      <c r="A969" s="182"/>
      <c r="B969" s="6"/>
      <c r="C969" s="6"/>
      <c r="D969" s="15"/>
      <c r="E969" s="22"/>
      <c r="F969" s="22"/>
      <c r="G969" s="22"/>
      <c r="I969" s="5"/>
      <c r="J969" s="5"/>
      <c r="K969" s="22"/>
      <c r="L969" s="22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19"/>
      <c r="AH969" s="5"/>
      <c r="AI969" s="5"/>
      <c r="AJ969" s="5"/>
      <c r="AK969" s="5"/>
    </row>
    <row r="970" spans="1:37" x14ac:dyDescent="0.25">
      <c r="A970" s="182"/>
      <c r="B970" s="6"/>
      <c r="C970" s="6"/>
      <c r="D970" s="15"/>
      <c r="E970" s="22"/>
      <c r="F970" s="22"/>
      <c r="G970" s="22"/>
      <c r="I970" s="5"/>
      <c r="J970" s="5"/>
      <c r="K970" s="22"/>
      <c r="L970" s="22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19"/>
      <c r="AH970" s="5"/>
      <c r="AI970" s="5"/>
      <c r="AJ970" s="5"/>
      <c r="AK970" s="5"/>
    </row>
    <row r="971" spans="1:37" x14ac:dyDescent="0.25">
      <c r="A971" s="182"/>
      <c r="B971" s="6"/>
      <c r="C971" s="6"/>
      <c r="D971" s="15"/>
      <c r="E971" s="22"/>
      <c r="F971" s="22"/>
      <c r="G971" s="22"/>
      <c r="I971" s="5"/>
      <c r="J971" s="5"/>
      <c r="K971" s="22"/>
      <c r="L971" s="22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19"/>
      <c r="AH971" s="5"/>
      <c r="AI971" s="5"/>
      <c r="AJ971" s="5"/>
      <c r="AK971" s="5"/>
    </row>
    <row r="972" spans="1:37" x14ac:dyDescent="0.25">
      <c r="A972" s="182"/>
      <c r="B972" s="6"/>
      <c r="C972" s="6"/>
      <c r="D972" s="15"/>
      <c r="E972" s="22"/>
      <c r="F972" s="22"/>
      <c r="G972" s="22"/>
      <c r="I972" s="5"/>
      <c r="J972" s="5"/>
      <c r="K972" s="22"/>
      <c r="L972" s="22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19"/>
      <c r="AH972" s="5"/>
      <c r="AI972" s="5"/>
      <c r="AJ972" s="5"/>
      <c r="AK972" s="5"/>
    </row>
    <row r="973" spans="1:37" x14ac:dyDescent="0.25">
      <c r="A973" s="182"/>
      <c r="B973" s="6"/>
      <c r="C973" s="6"/>
      <c r="D973" s="15"/>
      <c r="E973" s="22"/>
      <c r="F973" s="22"/>
      <c r="G973" s="22"/>
      <c r="I973" s="5"/>
      <c r="J973" s="5"/>
      <c r="K973" s="22"/>
      <c r="L973" s="22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19"/>
      <c r="AH973" s="5"/>
      <c r="AI973" s="5"/>
      <c r="AJ973" s="5"/>
      <c r="AK973" s="5"/>
    </row>
    <row r="974" spans="1:37" x14ac:dyDescent="0.25">
      <c r="A974" s="182"/>
      <c r="B974" s="6"/>
      <c r="C974" s="6"/>
      <c r="D974" s="15"/>
      <c r="E974" s="22"/>
      <c r="F974" s="22"/>
      <c r="G974" s="22"/>
      <c r="I974" s="5"/>
      <c r="J974" s="5"/>
      <c r="K974" s="22"/>
      <c r="L974" s="22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19"/>
      <c r="AH974" s="5"/>
      <c r="AI974" s="5"/>
      <c r="AJ974" s="5"/>
      <c r="AK974" s="5"/>
    </row>
    <row r="975" spans="1:37" x14ac:dyDescent="0.25">
      <c r="A975" s="182"/>
      <c r="B975" s="6"/>
      <c r="C975" s="6"/>
      <c r="D975" s="15"/>
      <c r="E975" s="22"/>
      <c r="F975" s="22"/>
      <c r="G975" s="22"/>
      <c r="I975" s="5"/>
      <c r="J975" s="5"/>
      <c r="K975" s="22"/>
      <c r="L975" s="22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19"/>
      <c r="AH975" s="5"/>
      <c r="AI975" s="5"/>
      <c r="AJ975" s="5"/>
      <c r="AK975" s="5"/>
    </row>
    <row r="976" spans="1:37" x14ac:dyDescent="0.25">
      <c r="A976" s="182"/>
      <c r="B976" s="6"/>
      <c r="C976" s="6"/>
      <c r="D976" s="15"/>
      <c r="E976" s="22"/>
      <c r="F976" s="22"/>
      <c r="G976" s="22"/>
      <c r="I976" s="5"/>
      <c r="J976" s="5"/>
      <c r="K976" s="22"/>
      <c r="L976" s="22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19"/>
      <c r="AH976" s="5"/>
      <c r="AI976" s="5"/>
      <c r="AJ976" s="5"/>
      <c r="AK976" s="5"/>
    </row>
    <row r="977" spans="1:37" x14ac:dyDescent="0.25">
      <c r="A977" s="182"/>
      <c r="B977" s="6"/>
      <c r="C977" s="6"/>
      <c r="D977" s="15"/>
      <c r="E977" s="22"/>
      <c r="F977" s="22"/>
      <c r="G977" s="22"/>
      <c r="I977" s="5"/>
      <c r="J977" s="5"/>
      <c r="K977" s="22"/>
      <c r="L977" s="22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19"/>
      <c r="AH977" s="5"/>
      <c r="AI977" s="5"/>
      <c r="AJ977" s="5"/>
      <c r="AK977" s="5"/>
    </row>
    <row r="978" spans="1:37" x14ac:dyDescent="0.25">
      <c r="A978" s="182"/>
      <c r="B978" s="6"/>
      <c r="C978" s="6"/>
      <c r="D978" s="15"/>
      <c r="E978" s="22"/>
      <c r="F978" s="22"/>
      <c r="G978" s="22"/>
      <c r="I978" s="5"/>
      <c r="J978" s="5"/>
      <c r="K978" s="22"/>
      <c r="L978" s="22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19"/>
      <c r="AH978" s="5"/>
      <c r="AI978" s="5"/>
      <c r="AJ978" s="5"/>
      <c r="AK978" s="5"/>
    </row>
    <row r="979" spans="1:37" x14ac:dyDescent="0.25">
      <c r="A979" s="182"/>
      <c r="B979" s="6"/>
      <c r="C979" s="6"/>
      <c r="D979" s="15"/>
      <c r="E979" s="22"/>
      <c r="F979" s="22"/>
      <c r="G979" s="22"/>
      <c r="I979" s="5"/>
      <c r="J979" s="5"/>
      <c r="K979" s="22"/>
      <c r="L979" s="22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19"/>
      <c r="AH979" s="5"/>
      <c r="AI979" s="5"/>
      <c r="AJ979" s="5"/>
      <c r="AK979" s="5"/>
    </row>
    <row r="980" spans="1:37" x14ac:dyDescent="0.25">
      <c r="A980" s="182"/>
      <c r="B980" s="6"/>
      <c r="C980" s="6"/>
      <c r="D980" s="15"/>
      <c r="E980" s="22"/>
      <c r="F980" s="22"/>
      <c r="G980" s="22"/>
      <c r="I980" s="5"/>
      <c r="J980" s="5"/>
      <c r="K980" s="22"/>
      <c r="L980" s="22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19"/>
      <c r="AH980" s="5"/>
      <c r="AI980" s="5"/>
      <c r="AJ980" s="5"/>
      <c r="AK980" s="5"/>
    </row>
    <row r="981" spans="1:37" x14ac:dyDescent="0.25">
      <c r="A981" s="182"/>
      <c r="B981" s="6"/>
      <c r="C981" s="6"/>
      <c r="D981" s="15"/>
      <c r="E981" s="22"/>
      <c r="F981" s="22"/>
      <c r="G981" s="22"/>
      <c r="I981" s="5"/>
      <c r="J981" s="5"/>
      <c r="K981" s="22"/>
      <c r="L981" s="22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19"/>
      <c r="AH981" s="5"/>
      <c r="AI981" s="5"/>
      <c r="AJ981" s="5"/>
      <c r="AK981" s="5"/>
    </row>
    <row r="982" spans="1:37" x14ac:dyDescent="0.25">
      <c r="A982" s="182"/>
      <c r="B982" s="6"/>
      <c r="C982" s="6"/>
      <c r="D982" s="15"/>
      <c r="E982" s="22"/>
      <c r="F982" s="22"/>
      <c r="G982" s="22"/>
      <c r="I982" s="5"/>
      <c r="J982" s="5"/>
      <c r="K982" s="22"/>
      <c r="L982" s="22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19"/>
      <c r="AH982" s="5"/>
      <c r="AI982" s="5"/>
      <c r="AJ982" s="5"/>
      <c r="AK982" s="5"/>
    </row>
    <row r="983" spans="1:37" x14ac:dyDescent="0.25">
      <c r="A983" s="182"/>
      <c r="B983" s="6"/>
      <c r="C983" s="6"/>
      <c r="D983" s="15"/>
      <c r="E983" s="22"/>
      <c r="F983" s="22"/>
      <c r="G983" s="22"/>
      <c r="I983" s="5"/>
      <c r="J983" s="5"/>
      <c r="K983" s="22"/>
      <c r="L983" s="22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19"/>
      <c r="AH983" s="5"/>
      <c r="AI983" s="5"/>
      <c r="AJ983" s="5"/>
      <c r="AK983" s="5"/>
    </row>
    <row r="984" spans="1:37" x14ac:dyDescent="0.25">
      <c r="A984" s="182"/>
      <c r="B984" s="6"/>
      <c r="C984" s="6"/>
      <c r="D984" s="15"/>
      <c r="E984" s="22"/>
      <c r="F984" s="22"/>
      <c r="G984" s="22"/>
      <c r="I984" s="5"/>
      <c r="J984" s="5"/>
      <c r="K984" s="22"/>
      <c r="L984" s="22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19"/>
      <c r="AH984" s="5"/>
      <c r="AI984" s="5"/>
      <c r="AJ984" s="5"/>
      <c r="AK984" s="5"/>
    </row>
    <row r="985" spans="1:37" x14ac:dyDescent="0.25">
      <c r="A985" s="182"/>
      <c r="B985" s="6"/>
      <c r="C985" s="6"/>
      <c r="D985" s="15"/>
      <c r="E985" s="22"/>
      <c r="F985" s="22"/>
      <c r="G985" s="22"/>
      <c r="I985" s="5"/>
      <c r="J985" s="5"/>
      <c r="K985" s="22"/>
      <c r="L985" s="22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19"/>
      <c r="AH985" s="5"/>
      <c r="AI985" s="5"/>
      <c r="AJ985" s="5"/>
      <c r="AK985" s="5"/>
    </row>
    <row r="986" spans="1:37" x14ac:dyDescent="0.25">
      <c r="A986" s="182"/>
      <c r="B986" s="6"/>
      <c r="C986" s="6"/>
      <c r="D986" s="15"/>
      <c r="E986" s="22"/>
      <c r="F986" s="22"/>
      <c r="G986" s="22"/>
      <c r="I986" s="5"/>
      <c r="J986" s="5"/>
      <c r="K986" s="22"/>
      <c r="L986" s="22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19"/>
      <c r="AH986" s="5"/>
      <c r="AI986" s="5"/>
      <c r="AJ986" s="5"/>
      <c r="AK986" s="5"/>
    </row>
    <row r="987" spans="1:37" x14ac:dyDescent="0.25">
      <c r="A987" s="182"/>
      <c r="B987" s="6"/>
      <c r="C987" s="6"/>
      <c r="D987" s="15"/>
      <c r="E987" s="22"/>
      <c r="F987" s="22"/>
      <c r="G987" s="22"/>
      <c r="I987" s="5"/>
      <c r="J987" s="5"/>
      <c r="K987" s="22"/>
      <c r="L987" s="22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19"/>
      <c r="AH987" s="5"/>
      <c r="AI987" s="5"/>
      <c r="AJ987" s="5"/>
      <c r="AK987" s="5"/>
    </row>
    <row r="988" spans="1:37" x14ac:dyDescent="0.25">
      <c r="A988" s="182"/>
      <c r="B988" s="6"/>
      <c r="C988" s="6"/>
      <c r="D988" s="15"/>
      <c r="E988" s="22"/>
      <c r="F988" s="22"/>
      <c r="G988" s="22"/>
      <c r="I988" s="5"/>
      <c r="J988" s="5"/>
      <c r="K988" s="22"/>
      <c r="L988" s="22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19"/>
      <c r="AH988" s="5"/>
      <c r="AI988" s="5"/>
      <c r="AJ988" s="5"/>
      <c r="AK988" s="5"/>
    </row>
    <row r="989" spans="1:37" x14ac:dyDescent="0.25">
      <c r="A989" s="182"/>
      <c r="B989" s="6"/>
      <c r="C989" s="6"/>
      <c r="D989" s="15"/>
      <c r="E989" s="22"/>
      <c r="F989" s="22"/>
      <c r="G989" s="22"/>
      <c r="I989" s="5"/>
      <c r="J989" s="5"/>
      <c r="K989" s="22"/>
      <c r="L989" s="22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19"/>
      <c r="AH989" s="5"/>
      <c r="AI989" s="5"/>
      <c r="AJ989" s="5"/>
      <c r="AK989" s="5"/>
    </row>
    <row r="990" spans="1:37" x14ac:dyDescent="0.25">
      <c r="A990" s="182"/>
      <c r="B990" s="6"/>
      <c r="C990" s="6"/>
      <c r="D990" s="15"/>
      <c r="E990" s="22"/>
      <c r="F990" s="22"/>
      <c r="G990" s="22"/>
      <c r="I990" s="5"/>
      <c r="J990" s="5"/>
      <c r="K990" s="22"/>
      <c r="L990" s="22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19"/>
      <c r="AH990" s="5"/>
      <c r="AI990" s="5"/>
      <c r="AJ990" s="5"/>
      <c r="AK990" s="5"/>
    </row>
    <row r="991" spans="1:37" x14ac:dyDescent="0.25">
      <c r="A991" s="182"/>
      <c r="B991" s="6"/>
      <c r="C991" s="6"/>
      <c r="D991" s="15"/>
      <c r="E991" s="22"/>
      <c r="F991" s="22"/>
      <c r="G991" s="22"/>
      <c r="I991" s="5"/>
      <c r="J991" s="5"/>
      <c r="K991" s="22"/>
      <c r="L991" s="22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19"/>
      <c r="AH991" s="5"/>
      <c r="AI991" s="5"/>
      <c r="AJ991" s="5"/>
      <c r="AK991" s="5"/>
    </row>
    <row r="992" spans="1:37" x14ac:dyDescent="0.25">
      <c r="A992" s="182"/>
      <c r="B992" s="6"/>
      <c r="C992" s="6"/>
      <c r="D992" s="15"/>
      <c r="E992" s="22"/>
      <c r="F992" s="22"/>
      <c r="G992" s="22"/>
      <c r="I992" s="5"/>
      <c r="J992" s="5"/>
      <c r="K992" s="22"/>
      <c r="L992" s="22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19"/>
      <c r="AH992" s="5"/>
      <c r="AI992" s="5"/>
      <c r="AJ992" s="5"/>
      <c r="AK992" s="5"/>
    </row>
    <row r="993" spans="1:37" x14ac:dyDescent="0.25">
      <c r="A993" s="182"/>
      <c r="B993" s="6"/>
      <c r="C993" s="6"/>
      <c r="D993" s="15"/>
      <c r="E993" s="22"/>
      <c r="F993" s="22"/>
      <c r="G993" s="22"/>
      <c r="I993" s="5"/>
      <c r="J993" s="5"/>
      <c r="K993" s="22"/>
      <c r="L993" s="22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19"/>
      <c r="AH993" s="5"/>
      <c r="AI993" s="5"/>
      <c r="AJ993" s="5"/>
      <c r="AK993" s="5"/>
    </row>
    <row r="994" spans="1:37" x14ac:dyDescent="0.25">
      <c r="A994" s="182"/>
      <c r="B994" s="6"/>
      <c r="C994" s="6"/>
      <c r="D994" s="15"/>
      <c r="E994" s="22"/>
      <c r="F994" s="22"/>
      <c r="G994" s="22"/>
      <c r="I994" s="5"/>
      <c r="J994" s="5"/>
      <c r="K994" s="22"/>
      <c r="L994" s="22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19"/>
      <c r="AH994" s="5"/>
      <c r="AI994" s="5"/>
      <c r="AJ994" s="5"/>
      <c r="AK994" s="5"/>
    </row>
    <row r="995" spans="1:37" x14ac:dyDescent="0.25">
      <c r="A995" s="182"/>
      <c r="B995" s="6"/>
      <c r="C995" s="6"/>
      <c r="D995" s="15"/>
      <c r="E995" s="22"/>
      <c r="F995" s="22"/>
      <c r="G995" s="22"/>
      <c r="I995" s="5"/>
      <c r="J995" s="5"/>
      <c r="K995" s="22"/>
      <c r="L995" s="22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19"/>
      <c r="AH995" s="5"/>
      <c r="AI995" s="5"/>
      <c r="AJ995" s="5"/>
      <c r="AK995" s="5"/>
    </row>
    <row r="996" spans="1:37" x14ac:dyDescent="0.25">
      <c r="A996" s="182"/>
      <c r="B996" s="6"/>
      <c r="C996" s="6"/>
      <c r="D996" s="15"/>
      <c r="E996" s="22"/>
      <c r="F996" s="22"/>
      <c r="G996" s="22"/>
      <c r="I996" s="5"/>
      <c r="J996" s="5"/>
      <c r="K996" s="22"/>
      <c r="L996" s="22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19"/>
      <c r="AH996" s="5"/>
      <c r="AI996" s="5"/>
      <c r="AJ996" s="5"/>
      <c r="AK996" s="5"/>
    </row>
    <row r="997" spans="1:37" x14ac:dyDescent="0.25">
      <c r="A997" s="182"/>
      <c r="B997" s="6"/>
      <c r="C997" s="6"/>
      <c r="D997" s="15"/>
      <c r="E997" s="22"/>
      <c r="F997" s="22"/>
      <c r="G997" s="22"/>
      <c r="I997" s="5"/>
      <c r="J997" s="5"/>
      <c r="K997" s="22"/>
      <c r="L997" s="22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19"/>
      <c r="AH997" s="5"/>
      <c r="AI997" s="5"/>
      <c r="AJ997" s="5"/>
      <c r="AK997" s="5"/>
    </row>
    <row r="998" spans="1:37" x14ac:dyDescent="0.25">
      <c r="A998" s="182"/>
      <c r="B998" s="6"/>
      <c r="C998" s="6"/>
      <c r="D998" s="15"/>
      <c r="E998" s="22"/>
      <c r="F998" s="22"/>
      <c r="G998" s="22"/>
      <c r="I998" s="5"/>
      <c r="J998" s="5"/>
      <c r="K998" s="22"/>
      <c r="L998" s="22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19"/>
      <c r="AH998" s="5"/>
      <c r="AI998" s="5"/>
      <c r="AJ998" s="5"/>
      <c r="AK998" s="5"/>
    </row>
    <row r="999" spans="1:37" x14ac:dyDescent="0.25">
      <c r="A999" s="182"/>
      <c r="B999" s="6"/>
      <c r="C999" s="6"/>
      <c r="D999" s="15"/>
      <c r="E999" s="22"/>
      <c r="F999" s="22"/>
      <c r="G999" s="22"/>
      <c r="I999" s="5"/>
      <c r="J999" s="5"/>
      <c r="K999" s="22"/>
      <c r="L999" s="22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19"/>
      <c r="AH999" s="5"/>
      <c r="AI999" s="5"/>
      <c r="AJ999" s="5"/>
      <c r="AK999" s="5"/>
    </row>
    <row r="1000" spans="1:37" x14ac:dyDescent="0.25">
      <c r="A1000" s="182"/>
      <c r="B1000" s="6"/>
      <c r="C1000" s="6"/>
      <c r="D1000" s="15"/>
      <c r="E1000" s="22"/>
      <c r="F1000" s="22"/>
      <c r="G1000" s="22"/>
      <c r="I1000" s="5"/>
      <c r="J1000" s="5"/>
      <c r="K1000" s="22"/>
      <c r="L1000" s="22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19"/>
      <c r="AH1000" s="5"/>
      <c r="AI1000" s="5"/>
      <c r="AJ1000" s="5"/>
      <c r="AK1000" s="5"/>
    </row>
    <row r="1001" spans="1:37" x14ac:dyDescent="0.25">
      <c r="A1001" s="182"/>
      <c r="B1001" s="6"/>
      <c r="C1001" s="6"/>
      <c r="D1001" s="15"/>
      <c r="E1001" s="22"/>
      <c r="F1001" s="22"/>
      <c r="G1001" s="22"/>
      <c r="I1001" s="5"/>
      <c r="J1001" s="5"/>
      <c r="K1001" s="22"/>
      <c r="L1001" s="22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19"/>
      <c r="AH1001" s="5"/>
      <c r="AI1001" s="5"/>
      <c r="AJ1001" s="5"/>
      <c r="AK1001" s="5"/>
    </row>
    <row r="1002" spans="1:37" x14ac:dyDescent="0.25">
      <c r="A1002" s="182"/>
      <c r="B1002" s="6"/>
      <c r="C1002" s="6"/>
      <c r="D1002" s="15"/>
      <c r="E1002" s="22"/>
      <c r="F1002" s="22"/>
      <c r="G1002" s="22"/>
      <c r="I1002" s="5"/>
      <c r="J1002" s="5"/>
      <c r="K1002" s="22"/>
      <c r="L1002" s="22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19"/>
      <c r="AH1002" s="5"/>
      <c r="AI1002" s="5"/>
      <c r="AJ1002" s="5"/>
      <c r="AK1002" s="5"/>
    </row>
    <row r="1003" spans="1:37" x14ac:dyDescent="0.25">
      <c r="A1003" s="182"/>
      <c r="B1003" s="6"/>
      <c r="C1003" s="6"/>
      <c r="D1003" s="15"/>
      <c r="E1003" s="22"/>
      <c r="F1003" s="22"/>
      <c r="G1003" s="22"/>
      <c r="I1003" s="5"/>
      <c r="J1003" s="5"/>
      <c r="K1003" s="22"/>
      <c r="L1003" s="22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19"/>
      <c r="AH1003" s="5"/>
      <c r="AI1003" s="5"/>
      <c r="AJ1003" s="5"/>
      <c r="AK1003" s="5"/>
    </row>
    <row r="1004" spans="1:37" x14ac:dyDescent="0.25">
      <c r="A1004" s="182"/>
      <c r="B1004" s="6"/>
      <c r="C1004" s="6"/>
      <c r="D1004" s="15"/>
      <c r="E1004" s="22"/>
      <c r="F1004" s="22"/>
      <c r="G1004" s="22"/>
      <c r="I1004" s="5"/>
      <c r="J1004" s="5"/>
      <c r="K1004" s="22"/>
      <c r="L1004" s="22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19"/>
      <c r="AH1004" s="5"/>
      <c r="AI1004" s="5"/>
      <c r="AJ1004" s="5"/>
      <c r="AK1004" s="5"/>
    </row>
    <row r="1005" spans="1:37" x14ac:dyDescent="0.25">
      <c r="A1005" s="182"/>
      <c r="B1005" s="6"/>
      <c r="C1005" s="6"/>
      <c r="D1005" s="15"/>
      <c r="E1005" s="22"/>
      <c r="F1005" s="22"/>
      <c r="G1005" s="22"/>
      <c r="I1005" s="5"/>
      <c r="J1005" s="5"/>
      <c r="K1005" s="22"/>
      <c r="L1005" s="22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19"/>
      <c r="AH1005" s="5"/>
      <c r="AI1005" s="5"/>
      <c r="AJ1005" s="5"/>
      <c r="AK1005" s="5"/>
    </row>
    <row r="1006" spans="1:37" x14ac:dyDescent="0.25">
      <c r="A1006" s="182"/>
      <c r="B1006" s="6"/>
      <c r="C1006" s="6"/>
      <c r="D1006" s="15"/>
      <c r="E1006" s="22"/>
      <c r="F1006" s="22"/>
      <c r="G1006" s="22"/>
      <c r="I1006" s="5"/>
      <c r="J1006" s="5"/>
      <c r="K1006" s="22"/>
      <c r="L1006" s="22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19"/>
      <c r="AH1006" s="5"/>
      <c r="AI1006" s="5"/>
      <c r="AJ1006" s="5"/>
      <c r="AK1006" s="5"/>
    </row>
    <row r="1007" spans="1:37" x14ac:dyDescent="0.25">
      <c r="A1007" s="182"/>
      <c r="B1007" s="6"/>
      <c r="C1007" s="6"/>
      <c r="D1007" s="15"/>
      <c r="E1007" s="22"/>
      <c r="F1007" s="22"/>
      <c r="G1007" s="22"/>
      <c r="I1007" s="5"/>
      <c r="J1007" s="5"/>
      <c r="K1007" s="22"/>
      <c r="L1007" s="22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19"/>
      <c r="AH1007" s="5"/>
      <c r="AI1007" s="5"/>
      <c r="AJ1007" s="5"/>
      <c r="AK1007" s="5"/>
    </row>
    <row r="1008" spans="1:37" x14ac:dyDescent="0.25">
      <c r="A1008" s="182"/>
      <c r="B1008" s="6"/>
      <c r="C1008" s="6"/>
      <c r="D1008" s="15"/>
      <c r="E1008" s="22"/>
      <c r="F1008" s="22"/>
      <c r="G1008" s="22"/>
      <c r="I1008" s="5"/>
      <c r="J1008" s="5"/>
      <c r="K1008" s="22"/>
      <c r="L1008" s="22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19"/>
      <c r="AH1008" s="5"/>
      <c r="AI1008" s="5"/>
      <c r="AJ1008" s="5"/>
      <c r="AK1008" s="5"/>
    </row>
    <row r="1009" spans="1:37" x14ac:dyDescent="0.25">
      <c r="A1009" s="182"/>
      <c r="B1009" s="6"/>
      <c r="C1009" s="6"/>
      <c r="D1009" s="15"/>
      <c r="E1009" s="22"/>
      <c r="F1009" s="22"/>
      <c r="G1009" s="22"/>
      <c r="I1009" s="5"/>
      <c r="J1009" s="5"/>
      <c r="K1009" s="22"/>
      <c r="L1009" s="22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19"/>
      <c r="AH1009" s="5"/>
      <c r="AI1009" s="5"/>
      <c r="AJ1009" s="5"/>
      <c r="AK1009" s="5"/>
    </row>
    <row r="1010" spans="1:37" x14ac:dyDescent="0.25">
      <c r="A1010" s="182"/>
      <c r="B1010" s="6"/>
      <c r="C1010" s="6"/>
      <c r="D1010" s="15"/>
      <c r="E1010" s="22"/>
      <c r="F1010" s="22"/>
      <c r="G1010" s="22"/>
      <c r="I1010" s="5"/>
      <c r="J1010" s="5"/>
      <c r="K1010" s="22"/>
      <c r="L1010" s="22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19"/>
      <c r="AH1010" s="5"/>
      <c r="AI1010" s="5"/>
      <c r="AJ1010" s="5"/>
      <c r="AK1010" s="5"/>
    </row>
    <row r="1011" spans="1:37" x14ac:dyDescent="0.25">
      <c r="A1011" s="182"/>
      <c r="B1011" s="6"/>
      <c r="C1011" s="6"/>
      <c r="D1011" s="15"/>
      <c r="E1011" s="22"/>
      <c r="F1011" s="22"/>
      <c r="G1011" s="22"/>
      <c r="I1011" s="5"/>
      <c r="J1011" s="5"/>
      <c r="K1011" s="22"/>
      <c r="L1011" s="22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19"/>
      <c r="AH1011" s="5"/>
      <c r="AI1011" s="5"/>
      <c r="AJ1011" s="5"/>
      <c r="AK1011" s="5"/>
    </row>
    <row r="1012" spans="1:37" x14ac:dyDescent="0.25">
      <c r="A1012" s="182"/>
      <c r="B1012" s="6"/>
      <c r="C1012" s="6"/>
      <c r="D1012" s="15"/>
      <c r="E1012" s="22"/>
      <c r="F1012" s="22"/>
      <c r="G1012" s="22"/>
      <c r="I1012" s="5"/>
      <c r="J1012" s="5"/>
      <c r="K1012" s="22"/>
      <c r="L1012" s="22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19"/>
      <c r="AH1012" s="5"/>
      <c r="AI1012" s="5"/>
      <c r="AJ1012" s="5"/>
      <c r="AK1012" s="5"/>
    </row>
    <row r="1013" spans="1:37" x14ac:dyDescent="0.25">
      <c r="A1013" s="182"/>
      <c r="B1013" s="6"/>
      <c r="C1013" s="6"/>
      <c r="D1013" s="15"/>
      <c r="E1013" s="22"/>
      <c r="F1013" s="22"/>
      <c r="G1013" s="22"/>
      <c r="I1013" s="5"/>
      <c r="J1013" s="5"/>
      <c r="K1013" s="22"/>
      <c r="L1013" s="22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19"/>
      <c r="AH1013" s="5"/>
      <c r="AI1013" s="5"/>
      <c r="AJ1013" s="5"/>
      <c r="AK1013" s="5"/>
    </row>
    <row r="1014" spans="1:37" x14ac:dyDescent="0.25">
      <c r="A1014" s="182"/>
      <c r="B1014" s="6"/>
      <c r="C1014" s="6"/>
      <c r="D1014" s="15"/>
      <c r="E1014" s="22"/>
      <c r="F1014" s="22"/>
      <c r="G1014" s="22"/>
      <c r="I1014" s="5"/>
      <c r="J1014" s="5"/>
      <c r="K1014" s="22"/>
      <c r="L1014" s="22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19"/>
      <c r="AH1014" s="5"/>
      <c r="AI1014" s="5"/>
      <c r="AJ1014" s="5"/>
      <c r="AK1014" s="5"/>
    </row>
    <row r="1015" spans="1:37" x14ac:dyDescent="0.25">
      <c r="A1015" s="182"/>
      <c r="B1015" s="6"/>
      <c r="C1015" s="6"/>
      <c r="D1015" s="15"/>
      <c r="E1015" s="22"/>
      <c r="F1015" s="22"/>
      <c r="G1015" s="22"/>
      <c r="I1015" s="5"/>
      <c r="J1015" s="5"/>
      <c r="K1015" s="22"/>
      <c r="L1015" s="22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19"/>
      <c r="AH1015" s="5"/>
      <c r="AI1015" s="5"/>
      <c r="AJ1015" s="5"/>
      <c r="AK1015" s="5"/>
    </row>
    <row r="1016" spans="1:37" x14ac:dyDescent="0.25">
      <c r="A1016" s="182"/>
      <c r="B1016" s="6"/>
      <c r="C1016" s="6"/>
      <c r="D1016" s="15"/>
      <c r="E1016" s="22"/>
      <c r="F1016" s="22"/>
      <c r="G1016" s="22"/>
      <c r="I1016" s="5"/>
      <c r="J1016" s="5"/>
      <c r="K1016" s="22"/>
      <c r="L1016" s="22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19"/>
      <c r="AH1016" s="5"/>
      <c r="AI1016" s="5"/>
      <c r="AJ1016" s="5"/>
      <c r="AK1016" s="5"/>
    </row>
    <row r="1017" spans="1:37" x14ac:dyDescent="0.25">
      <c r="A1017" s="182"/>
      <c r="B1017" s="6"/>
      <c r="C1017" s="6"/>
      <c r="D1017" s="15"/>
      <c r="E1017" s="22"/>
      <c r="F1017" s="22"/>
      <c r="G1017" s="22"/>
      <c r="I1017" s="5"/>
      <c r="J1017" s="5"/>
      <c r="K1017" s="22"/>
      <c r="L1017" s="22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19"/>
      <c r="AH1017" s="5"/>
      <c r="AI1017" s="5"/>
      <c r="AJ1017" s="5"/>
      <c r="AK1017" s="5"/>
    </row>
    <row r="1018" spans="1:37" x14ac:dyDescent="0.25">
      <c r="A1018" s="182"/>
      <c r="B1018" s="6"/>
      <c r="C1018" s="6"/>
      <c r="D1018" s="15"/>
      <c r="E1018" s="22"/>
      <c r="F1018" s="22"/>
      <c r="G1018" s="22"/>
      <c r="I1018" s="5"/>
      <c r="J1018" s="5"/>
      <c r="K1018" s="22"/>
      <c r="L1018" s="22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19"/>
      <c r="AH1018" s="5"/>
      <c r="AI1018" s="5"/>
      <c r="AJ1018" s="5"/>
      <c r="AK1018" s="5"/>
    </row>
    <row r="1019" spans="1:37" x14ac:dyDescent="0.25">
      <c r="A1019" s="182"/>
      <c r="B1019" s="6"/>
      <c r="C1019" s="6"/>
      <c r="D1019" s="15"/>
      <c r="E1019" s="22"/>
      <c r="F1019" s="22"/>
      <c r="G1019" s="22"/>
      <c r="I1019" s="5"/>
      <c r="J1019" s="5"/>
      <c r="K1019" s="22"/>
      <c r="L1019" s="22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19"/>
      <c r="AH1019" s="5"/>
      <c r="AI1019" s="5"/>
      <c r="AJ1019" s="5"/>
      <c r="AK1019" s="5"/>
    </row>
    <row r="1020" spans="1:37" x14ac:dyDescent="0.25">
      <c r="A1020" s="182"/>
      <c r="B1020" s="6"/>
      <c r="C1020" s="6"/>
      <c r="D1020" s="15"/>
      <c r="E1020" s="22"/>
      <c r="F1020" s="22"/>
      <c r="G1020" s="22"/>
      <c r="I1020" s="5"/>
      <c r="J1020" s="5"/>
      <c r="K1020" s="22"/>
      <c r="L1020" s="22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19"/>
      <c r="AH1020" s="5"/>
      <c r="AI1020" s="5"/>
      <c r="AJ1020" s="5"/>
      <c r="AK1020" s="5"/>
    </row>
    <row r="1021" spans="1:37" x14ac:dyDescent="0.25">
      <c r="A1021" s="182"/>
      <c r="B1021" s="6"/>
      <c r="C1021" s="6"/>
      <c r="D1021" s="15"/>
      <c r="E1021" s="22"/>
      <c r="F1021" s="22"/>
      <c r="G1021" s="22"/>
      <c r="I1021" s="5"/>
      <c r="J1021" s="5"/>
      <c r="K1021" s="22"/>
      <c r="L1021" s="22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19"/>
      <c r="AH1021" s="5"/>
      <c r="AI1021" s="5"/>
      <c r="AJ1021" s="5"/>
      <c r="AK1021" s="5"/>
    </row>
    <row r="1022" spans="1:37" x14ac:dyDescent="0.25">
      <c r="A1022" s="182"/>
      <c r="B1022" s="6"/>
      <c r="C1022" s="6"/>
      <c r="D1022" s="15"/>
      <c r="E1022" s="22"/>
      <c r="F1022" s="22"/>
      <c r="G1022" s="22"/>
      <c r="I1022" s="5"/>
      <c r="J1022" s="5"/>
      <c r="K1022" s="22"/>
      <c r="L1022" s="22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19"/>
      <c r="AH1022" s="5"/>
      <c r="AI1022" s="5"/>
      <c r="AJ1022" s="5"/>
      <c r="AK1022" s="5"/>
    </row>
    <row r="1023" spans="1:37" x14ac:dyDescent="0.25">
      <c r="A1023" s="182"/>
      <c r="B1023" s="6"/>
      <c r="C1023" s="6"/>
      <c r="D1023" s="15"/>
      <c r="E1023" s="22"/>
      <c r="F1023" s="22"/>
      <c r="G1023" s="22"/>
      <c r="I1023" s="5"/>
      <c r="J1023" s="5"/>
      <c r="K1023" s="22"/>
      <c r="L1023" s="22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19"/>
      <c r="AH1023" s="5"/>
      <c r="AI1023" s="5"/>
      <c r="AJ1023" s="5"/>
      <c r="AK1023" s="5"/>
    </row>
    <row r="1024" spans="1:37" x14ac:dyDescent="0.25">
      <c r="A1024" s="182"/>
      <c r="B1024" s="6"/>
      <c r="C1024" s="6"/>
      <c r="D1024" s="15"/>
      <c r="E1024" s="22"/>
      <c r="F1024" s="22"/>
      <c r="G1024" s="22"/>
      <c r="I1024" s="5"/>
      <c r="J1024" s="5"/>
      <c r="K1024" s="22"/>
      <c r="L1024" s="22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19"/>
      <c r="AH1024" s="5"/>
      <c r="AI1024" s="5"/>
      <c r="AJ1024" s="5"/>
      <c r="AK1024" s="5"/>
    </row>
    <row r="1025" spans="1:37" x14ac:dyDescent="0.25">
      <c r="A1025" s="182"/>
      <c r="B1025" s="6"/>
      <c r="C1025" s="6"/>
      <c r="D1025" s="15"/>
      <c r="E1025" s="22"/>
      <c r="F1025" s="22"/>
      <c r="G1025" s="22"/>
      <c r="I1025" s="5"/>
      <c r="J1025" s="5"/>
      <c r="K1025" s="22"/>
      <c r="L1025" s="22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19"/>
      <c r="AH1025" s="5"/>
      <c r="AI1025" s="5"/>
      <c r="AJ1025" s="5"/>
      <c r="AK1025" s="5"/>
    </row>
    <row r="1026" spans="1:37" x14ac:dyDescent="0.25">
      <c r="A1026" s="182"/>
      <c r="B1026" s="6"/>
      <c r="C1026" s="6"/>
      <c r="D1026" s="15"/>
      <c r="E1026" s="22"/>
      <c r="F1026" s="22"/>
      <c r="G1026" s="22"/>
      <c r="I1026" s="5"/>
      <c r="J1026" s="5"/>
      <c r="K1026" s="22"/>
      <c r="L1026" s="22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19"/>
      <c r="AH1026" s="5"/>
      <c r="AI1026" s="5"/>
      <c r="AJ1026" s="5"/>
      <c r="AK1026" s="5"/>
    </row>
    <row r="1027" spans="1:37" x14ac:dyDescent="0.25">
      <c r="A1027" s="182"/>
      <c r="B1027" s="6"/>
      <c r="C1027" s="6"/>
      <c r="D1027" s="15"/>
      <c r="E1027" s="22"/>
      <c r="F1027" s="22"/>
      <c r="G1027" s="22"/>
      <c r="I1027" s="5"/>
      <c r="J1027" s="5"/>
      <c r="K1027" s="22"/>
      <c r="L1027" s="22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19"/>
      <c r="AH1027" s="5"/>
      <c r="AI1027" s="5"/>
      <c r="AJ1027" s="5"/>
      <c r="AK1027" s="5"/>
    </row>
    <row r="1028" spans="1:37" x14ac:dyDescent="0.25">
      <c r="A1028" s="182"/>
      <c r="B1028" s="6"/>
      <c r="C1028" s="6"/>
      <c r="D1028" s="15"/>
      <c r="E1028" s="22"/>
      <c r="F1028" s="22"/>
      <c r="G1028" s="22"/>
      <c r="I1028" s="5"/>
      <c r="J1028" s="5"/>
      <c r="K1028" s="22"/>
      <c r="L1028" s="22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19"/>
      <c r="AH1028" s="5"/>
      <c r="AI1028" s="5"/>
      <c r="AJ1028" s="5"/>
      <c r="AK1028" s="5"/>
    </row>
    <row r="1029" spans="1:37" x14ac:dyDescent="0.25">
      <c r="A1029" s="182"/>
      <c r="B1029" s="6"/>
      <c r="C1029" s="6"/>
      <c r="D1029" s="15"/>
      <c r="E1029" s="22"/>
      <c r="F1029" s="22"/>
      <c r="G1029" s="22"/>
      <c r="I1029" s="5"/>
      <c r="J1029" s="5"/>
      <c r="K1029" s="22"/>
      <c r="L1029" s="22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19"/>
      <c r="AH1029" s="5"/>
      <c r="AI1029" s="5"/>
      <c r="AJ1029" s="5"/>
      <c r="AK1029" s="5"/>
    </row>
    <row r="1030" spans="1:37" x14ac:dyDescent="0.25">
      <c r="A1030" s="182"/>
      <c r="B1030" s="6"/>
      <c r="C1030" s="6"/>
      <c r="D1030" s="15"/>
      <c r="E1030" s="22"/>
      <c r="F1030" s="22"/>
      <c r="G1030" s="22"/>
      <c r="I1030" s="5"/>
      <c r="J1030" s="5"/>
      <c r="K1030" s="22"/>
      <c r="L1030" s="22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19"/>
      <c r="AH1030" s="5"/>
      <c r="AI1030" s="5"/>
      <c r="AJ1030" s="5"/>
      <c r="AK1030" s="5"/>
    </row>
    <row r="1031" spans="1:37" x14ac:dyDescent="0.25">
      <c r="A1031" s="182"/>
      <c r="B1031" s="6"/>
      <c r="C1031" s="6"/>
      <c r="D1031" s="15"/>
      <c r="E1031" s="22"/>
      <c r="F1031" s="22"/>
      <c r="G1031" s="22"/>
      <c r="I1031" s="5"/>
      <c r="J1031" s="5"/>
      <c r="K1031" s="22"/>
      <c r="L1031" s="22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19"/>
      <c r="AH1031" s="5"/>
      <c r="AI1031" s="5"/>
      <c r="AJ1031" s="5"/>
      <c r="AK1031" s="5"/>
    </row>
    <row r="1032" spans="1:37" x14ac:dyDescent="0.25">
      <c r="A1032" s="182"/>
      <c r="B1032" s="6"/>
      <c r="C1032" s="6"/>
      <c r="D1032" s="15"/>
      <c r="E1032" s="22"/>
      <c r="F1032" s="22"/>
      <c r="G1032" s="22"/>
      <c r="I1032" s="5"/>
      <c r="J1032" s="5"/>
      <c r="K1032" s="22"/>
      <c r="L1032" s="22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19"/>
      <c r="AH1032" s="5"/>
      <c r="AI1032" s="5"/>
      <c r="AJ1032" s="5"/>
      <c r="AK1032" s="5"/>
    </row>
    <row r="1033" spans="1:37" x14ac:dyDescent="0.25">
      <c r="A1033" s="182"/>
      <c r="B1033" s="6"/>
      <c r="C1033" s="6"/>
      <c r="D1033" s="15"/>
      <c r="E1033" s="22"/>
      <c r="F1033" s="22"/>
      <c r="G1033" s="22"/>
      <c r="I1033" s="5"/>
      <c r="J1033" s="5"/>
      <c r="K1033" s="22"/>
      <c r="L1033" s="22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19"/>
      <c r="AH1033" s="5"/>
      <c r="AI1033" s="5"/>
      <c r="AJ1033" s="5"/>
      <c r="AK1033" s="5"/>
    </row>
    <row r="1034" spans="1:37" x14ac:dyDescent="0.25">
      <c r="A1034" s="182"/>
      <c r="B1034" s="6"/>
      <c r="C1034" s="6"/>
      <c r="D1034" s="15"/>
      <c r="E1034" s="22"/>
      <c r="F1034" s="22"/>
      <c r="G1034" s="22"/>
      <c r="I1034" s="5"/>
      <c r="J1034" s="5"/>
      <c r="K1034" s="22"/>
      <c r="L1034" s="22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19"/>
      <c r="AH1034" s="5"/>
      <c r="AI1034" s="5"/>
      <c r="AJ1034" s="5"/>
      <c r="AK1034" s="5"/>
    </row>
    <row r="1035" spans="1:37" x14ac:dyDescent="0.25">
      <c r="A1035" s="182"/>
      <c r="B1035" s="6"/>
      <c r="C1035" s="6"/>
      <c r="D1035" s="15"/>
      <c r="E1035" s="22"/>
      <c r="F1035" s="22"/>
      <c r="G1035" s="22"/>
      <c r="I1035" s="5"/>
      <c r="J1035" s="5"/>
      <c r="K1035" s="22"/>
      <c r="L1035" s="22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19"/>
      <c r="AH1035" s="5"/>
      <c r="AI1035" s="5"/>
      <c r="AJ1035" s="5"/>
      <c r="AK1035" s="5"/>
    </row>
    <row r="1036" spans="1:37" x14ac:dyDescent="0.25">
      <c r="A1036" s="182"/>
      <c r="B1036" s="6"/>
      <c r="C1036" s="6"/>
      <c r="D1036" s="15"/>
      <c r="E1036" s="22"/>
      <c r="F1036" s="22"/>
      <c r="G1036" s="22"/>
      <c r="I1036" s="5"/>
      <c r="J1036" s="5"/>
      <c r="K1036" s="22"/>
      <c r="L1036" s="22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19"/>
      <c r="AH1036" s="5"/>
      <c r="AI1036" s="5"/>
      <c r="AJ1036" s="5"/>
      <c r="AK1036" s="5"/>
    </row>
    <row r="1037" spans="1:37" x14ac:dyDescent="0.25">
      <c r="A1037" s="182"/>
      <c r="B1037" s="6"/>
      <c r="C1037" s="6"/>
      <c r="D1037" s="15"/>
      <c r="E1037" s="22"/>
      <c r="F1037" s="22"/>
      <c r="G1037" s="22"/>
      <c r="I1037" s="5"/>
      <c r="J1037" s="5"/>
      <c r="K1037" s="22"/>
      <c r="L1037" s="22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19"/>
      <c r="AH1037" s="5"/>
      <c r="AI1037" s="5"/>
      <c r="AJ1037" s="5"/>
      <c r="AK1037" s="5"/>
    </row>
    <row r="1038" spans="1:37" x14ac:dyDescent="0.25">
      <c r="A1038" s="182"/>
      <c r="B1038" s="6"/>
      <c r="C1038" s="6"/>
      <c r="D1038" s="15"/>
      <c r="E1038" s="22"/>
      <c r="F1038" s="22"/>
      <c r="G1038" s="22"/>
      <c r="I1038" s="5"/>
      <c r="J1038" s="5"/>
      <c r="K1038" s="22"/>
      <c r="L1038" s="22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19"/>
      <c r="AH1038" s="5"/>
      <c r="AI1038" s="5"/>
      <c r="AJ1038" s="5"/>
      <c r="AK1038" s="5"/>
    </row>
    <row r="1039" spans="1:37" x14ac:dyDescent="0.25">
      <c r="A1039" s="182"/>
      <c r="B1039" s="6"/>
      <c r="C1039" s="6"/>
      <c r="D1039" s="15"/>
      <c r="E1039" s="22"/>
      <c r="F1039" s="22"/>
      <c r="G1039" s="22"/>
      <c r="I1039" s="5"/>
      <c r="J1039" s="5"/>
      <c r="K1039" s="22"/>
      <c r="L1039" s="22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19"/>
      <c r="AH1039" s="5"/>
      <c r="AI1039" s="5"/>
      <c r="AJ1039" s="5"/>
      <c r="AK1039" s="5"/>
    </row>
    <row r="1040" spans="1:37" x14ac:dyDescent="0.25">
      <c r="A1040" s="182"/>
      <c r="B1040" s="6"/>
      <c r="C1040" s="6"/>
      <c r="D1040" s="15"/>
      <c r="E1040" s="22"/>
      <c r="F1040" s="22"/>
      <c r="G1040" s="22"/>
      <c r="I1040" s="5"/>
      <c r="J1040" s="5"/>
      <c r="K1040" s="22"/>
      <c r="L1040" s="22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19"/>
      <c r="AH1040" s="5"/>
      <c r="AI1040" s="5"/>
      <c r="AJ1040" s="5"/>
      <c r="AK1040" s="5"/>
    </row>
    <row r="1041" spans="1:37" x14ac:dyDescent="0.25">
      <c r="A1041" s="182"/>
      <c r="B1041" s="6"/>
      <c r="C1041" s="6"/>
      <c r="D1041" s="15"/>
      <c r="E1041" s="22"/>
      <c r="F1041" s="22"/>
      <c r="G1041" s="22"/>
      <c r="I1041" s="5"/>
      <c r="J1041" s="5"/>
      <c r="K1041" s="22"/>
      <c r="L1041" s="22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19"/>
      <c r="AH1041" s="5"/>
      <c r="AI1041" s="5"/>
      <c r="AJ1041" s="5"/>
      <c r="AK1041" s="5"/>
    </row>
    <row r="1042" spans="1:37" x14ac:dyDescent="0.25">
      <c r="A1042" s="182"/>
      <c r="B1042" s="6"/>
      <c r="C1042" s="6"/>
      <c r="D1042" s="15"/>
      <c r="E1042" s="22"/>
      <c r="F1042" s="22"/>
      <c r="G1042" s="22"/>
      <c r="I1042" s="5"/>
      <c r="J1042" s="5"/>
      <c r="K1042" s="22"/>
      <c r="L1042" s="22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19"/>
      <c r="AH1042" s="5"/>
      <c r="AI1042" s="5"/>
      <c r="AJ1042" s="5"/>
      <c r="AK1042" s="5"/>
    </row>
    <row r="1043" spans="1:37" x14ac:dyDescent="0.25">
      <c r="A1043" s="182"/>
      <c r="B1043" s="6"/>
      <c r="C1043" s="6"/>
      <c r="D1043" s="15"/>
      <c r="E1043" s="22"/>
      <c r="F1043" s="22"/>
      <c r="G1043" s="22"/>
      <c r="I1043" s="5"/>
      <c r="J1043" s="5"/>
      <c r="K1043" s="22"/>
      <c r="L1043" s="22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19"/>
      <c r="AH1043" s="5"/>
      <c r="AI1043" s="5"/>
      <c r="AJ1043" s="5"/>
      <c r="AK1043" s="5"/>
    </row>
    <row r="1044" spans="1:37" x14ac:dyDescent="0.25">
      <c r="A1044" s="182"/>
      <c r="B1044" s="6"/>
      <c r="C1044" s="6"/>
      <c r="D1044" s="15"/>
      <c r="E1044" s="22"/>
      <c r="F1044" s="22"/>
      <c r="G1044" s="22"/>
      <c r="I1044" s="5"/>
      <c r="J1044" s="5"/>
      <c r="K1044" s="22"/>
      <c r="L1044" s="22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19"/>
      <c r="AH1044" s="5"/>
      <c r="AI1044" s="5"/>
      <c r="AJ1044" s="5"/>
      <c r="AK1044" s="5"/>
    </row>
    <row r="1045" spans="1:37" x14ac:dyDescent="0.25">
      <c r="A1045" s="182"/>
      <c r="B1045" s="6"/>
      <c r="C1045" s="6"/>
      <c r="D1045" s="15"/>
      <c r="E1045" s="22"/>
      <c r="F1045" s="22"/>
      <c r="G1045" s="22"/>
      <c r="I1045" s="5"/>
      <c r="J1045" s="5"/>
      <c r="K1045" s="22"/>
      <c r="L1045" s="22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19"/>
      <c r="AH1045" s="5"/>
      <c r="AI1045" s="5"/>
      <c r="AJ1045" s="5"/>
      <c r="AK1045" s="5"/>
    </row>
    <row r="1046" spans="1:37" x14ac:dyDescent="0.25">
      <c r="A1046" s="182"/>
      <c r="B1046" s="6"/>
      <c r="C1046" s="6"/>
      <c r="D1046" s="15"/>
      <c r="E1046" s="22"/>
      <c r="F1046" s="22"/>
      <c r="G1046" s="22"/>
      <c r="I1046" s="5"/>
      <c r="J1046" s="5"/>
      <c r="K1046" s="22"/>
      <c r="L1046" s="22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19"/>
      <c r="AH1046" s="5"/>
      <c r="AI1046" s="5"/>
      <c r="AJ1046" s="5"/>
      <c r="AK1046" s="5"/>
    </row>
    <row r="1047" spans="1:37" x14ac:dyDescent="0.25">
      <c r="A1047" s="182"/>
      <c r="B1047" s="6"/>
      <c r="C1047" s="6"/>
      <c r="D1047" s="15"/>
      <c r="E1047" s="22"/>
      <c r="F1047" s="22"/>
      <c r="G1047" s="22"/>
      <c r="I1047" s="5"/>
      <c r="J1047" s="5"/>
      <c r="K1047" s="22"/>
      <c r="L1047" s="22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19"/>
      <c r="AH1047" s="5"/>
      <c r="AI1047" s="5"/>
      <c r="AJ1047" s="5"/>
      <c r="AK1047" s="5"/>
    </row>
    <row r="1048" spans="1:37" x14ac:dyDescent="0.25">
      <c r="A1048" s="182"/>
      <c r="B1048" s="6"/>
      <c r="C1048" s="6"/>
      <c r="D1048" s="15"/>
      <c r="E1048" s="22"/>
      <c r="F1048" s="22"/>
      <c r="G1048" s="22"/>
      <c r="I1048" s="5"/>
      <c r="J1048" s="5"/>
      <c r="K1048" s="22"/>
      <c r="L1048" s="22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19"/>
      <c r="AH1048" s="5"/>
      <c r="AI1048" s="5"/>
      <c r="AJ1048" s="5"/>
      <c r="AK1048" s="5"/>
    </row>
    <row r="1049" spans="1:37" x14ac:dyDescent="0.25">
      <c r="A1049" s="182"/>
      <c r="B1049" s="6"/>
      <c r="C1049" s="6"/>
      <c r="D1049" s="15"/>
      <c r="E1049" s="22"/>
      <c r="F1049" s="22"/>
      <c r="G1049" s="22"/>
      <c r="I1049" s="5"/>
      <c r="J1049" s="5"/>
      <c r="K1049" s="22"/>
      <c r="L1049" s="22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19"/>
      <c r="AH1049" s="5"/>
      <c r="AI1049" s="5"/>
      <c r="AJ1049" s="5"/>
      <c r="AK1049" s="5"/>
    </row>
    <row r="1050" spans="1:37" x14ac:dyDescent="0.25">
      <c r="A1050" s="182"/>
      <c r="B1050" s="6"/>
      <c r="C1050" s="6"/>
      <c r="D1050" s="15"/>
      <c r="E1050" s="22"/>
      <c r="F1050" s="22"/>
      <c r="G1050" s="22"/>
      <c r="I1050" s="5"/>
      <c r="J1050" s="5"/>
      <c r="K1050" s="22"/>
      <c r="L1050" s="22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19"/>
      <c r="AH1050" s="5"/>
      <c r="AI1050" s="5"/>
      <c r="AJ1050" s="5"/>
      <c r="AK1050" s="5"/>
    </row>
    <row r="1051" spans="1:37" x14ac:dyDescent="0.25">
      <c r="A1051" s="182"/>
      <c r="B1051" s="6"/>
      <c r="C1051" s="6"/>
      <c r="D1051" s="15"/>
      <c r="E1051" s="22"/>
      <c r="F1051" s="22"/>
      <c r="G1051" s="22"/>
      <c r="I1051" s="5"/>
      <c r="J1051" s="5"/>
      <c r="K1051" s="22"/>
      <c r="L1051" s="22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19"/>
      <c r="AH1051" s="5"/>
      <c r="AI1051" s="5"/>
      <c r="AJ1051" s="5"/>
      <c r="AK1051" s="5"/>
    </row>
    <row r="1052" spans="1:37" x14ac:dyDescent="0.25">
      <c r="A1052" s="182"/>
      <c r="B1052" s="6"/>
      <c r="C1052" s="6"/>
      <c r="D1052" s="15"/>
      <c r="E1052" s="22"/>
      <c r="F1052" s="22"/>
      <c r="G1052" s="22"/>
      <c r="I1052" s="5"/>
      <c r="J1052" s="5"/>
      <c r="K1052" s="22"/>
      <c r="L1052" s="22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19"/>
      <c r="AH1052" s="5"/>
      <c r="AI1052" s="5"/>
      <c r="AJ1052" s="5"/>
      <c r="AK1052" s="5"/>
    </row>
    <row r="1053" spans="1:37" x14ac:dyDescent="0.25">
      <c r="A1053" s="182"/>
      <c r="B1053" s="6"/>
      <c r="C1053" s="6"/>
      <c r="D1053" s="15"/>
      <c r="E1053" s="22"/>
      <c r="F1053" s="22"/>
      <c r="G1053" s="22"/>
      <c r="I1053" s="5"/>
      <c r="J1053" s="5"/>
      <c r="K1053" s="22"/>
      <c r="L1053" s="22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19"/>
      <c r="AH1053" s="5"/>
      <c r="AI1053" s="5"/>
      <c r="AJ1053" s="5"/>
      <c r="AK1053" s="5"/>
    </row>
    <row r="1054" spans="1:37" x14ac:dyDescent="0.25">
      <c r="A1054" s="182"/>
      <c r="B1054" s="6"/>
      <c r="C1054" s="6"/>
      <c r="D1054" s="15"/>
      <c r="E1054" s="22"/>
      <c r="F1054" s="22"/>
      <c r="G1054" s="22"/>
      <c r="I1054" s="5"/>
      <c r="J1054" s="5"/>
      <c r="K1054" s="22"/>
      <c r="L1054" s="22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19"/>
      <c r="AH1054" s="5"/>
      <c r="AI1054" s="5"/>
      <c r="AJ1054" s="5"/>
      <c r="AK1054" s="5"/>
    </row>
    <row r="1055" spans="1:37" x14ac:dyDescent="0.25">
      <c r="A1055" s="182"/>
      <c r="B1055" s="6"/>
      <c r="C1055" s="6"/>
      <c r="D1055" s="15"/>
      <c r="E1055" s="22"/>
      <c r="F1055" s="22"/>
      <c r="G1055" s="22"/>
      <c r="I1055" s="5"/>
      <c r="J1055" s="5"/>
      <c r="K1055" s="22"/>
      <c r="L1055" s="22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19"/>
      <c r="AH1055" s="5"/>
      <c r="AI1055" s="5"/>
      <c r="AJ1055" s="5"/>
      <c r="AK1055" s="5"/>
    </row>
    <row r="1056" spans="1:37" x14ac:dyDescent="0.25">
      <c r="A1056" s="182"/>
      <c r="B1056" s="6"/>
      <c r="C1056" s="6"/>
      <c r="D1056" s="15"/>
      <c r="E1056" s="22"/>
      <c r="F1056" s="22"/>
      <c r="G1056" s="22"/>
      <c r="I1056" s="5"/>
      <c r="J1056" s="5"/>
      <c r="K1056" s="22"/>
      <c r="L1056" s="22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19"/>
      <c r="AH1056" s="5"/>
      <c r="AI1056" s="5"/>
      <c r="AJ1056" s="5"/>
      <c r="AK1056" s="5"/>
    </row>
    <row r="1057" spans="1:37" x14ac:dyDescent="0.25">
      <c r="A1057" s="182"/>
      <c r="B1057" s="6"/>
      <c r="C1057" s="6"/>
      <c r="D1057" s="15"/>
      <c r="E1057" s="22"/>
      <c r="F1057" s="22"/>
      <c r="G1057" s="22"/>
      <c r="I1057" s="5"/>
      <c r="J1057" s="5"/>
      <c r="K1057" s="22"/>
      <c r="L1057" s="22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19"/>
      <c r="AH1057" s="5"/>
      <c r="AI1057" s="5"/>
      <c r="AJ1057" s="5"/>
      <c r="AK1057" s="5"/>
    </row>
    <row r="1058" spans="1:37" x14ac:dyDescent="0.25">
      <c r="A1058" s="182"/>
      <c r="B1058" s="6"/>
      <c r="C1058" s="6"/>
      <c r="D1058" s="15"/>
      <c r="E1058" s="22"/>
      <c r="F1058" s="22"/>
      <c r="G1058" s="22"/>
      <c r="I1058" s="5"/>
      <c r="J1058" s="5"/>
      <c r="K1058" s="22"/>
      <c r="L1058" s="22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19"/>
      <c r="AH1058" s="5"/>
      <c r="AI1058" s="5"/>
      <c r="AJ1058" s="5"/>
      <c r="AK1058" s="5"/>
    </row>
    <row r="1059" spans="1:37" x14ac:dyDescent="0.25">
      <c r="A1059" s="182"/>
      <c r="B1059" s="6"/>
      <c r="C1059" s="6"/>
      <c r="D1059" s="15"/>
      <c r="E1059" s="22"/>
      <c r="F1059" s="22"/>
      <c r="G1059" s="22"/>
      <c r="I1059" s="5"/>
      <c r="J1059" s="5"/>
      <c r="K1059" s="22"/>
      <c r="L1059" s="22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19"/>
      <c r="AH1059" s="5"/>
      <c r="AI1059" s="5"/>
      <c r="AJ1059" s="5"/>
      <c r="AK1059" s="5"/>
    </row>
    <row r="1060" spans="1:37" x14ac:dyDescent="0.25">
      <c r="A1060" s="182"/>
      <c r="B1060" s="6"/>
      <c r="C1060" s="6"/>
      <c r="D1060" s="15"/>
      <c r="E1060" s="22"/>
      <c r="F1060" s="22"/>
      <c r="G1060" s="22"/>
      <c r="I1060" s="5"/>
      <c r="J1060" s="5"/>
      <c r="K1060" s="22"/>
      <c r="L1060" s="22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19"/>
      <c r="AH1060" s="5"/>
      <c r="AI1060" s="5"/>
      <c r="AJ1060" s="5"/>
      <c r="AK1060" s="5"/>
    </row>
    <row r="1061" spans="1:37" x14ac:dyDescent="0.25">
      <c r="A1061" s="182"/>
      <c r="B1061" s="6"/>
      <c r="C1061" s="6"/>
      <c r="D1061" s="15"/>
      <c r="E1061" s="22"/>
      <c r="F1061" s="22"/>
      <c r="G1061" s="22"/>
      <c r="I1061" s="5"/>
      <c r="J1061" s="5"/>
      <c r="K1061" s="22"/>
      <c r="L1061" s="22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19"/>
      <c r="AH1061" s="5"/>
      <c r="AI1061" s="5"/>
      <c r="AJ1061" s="5"/>
      <c r="AK1061" s="5"/>
    </row>
    <row r="1062" spans="1:37" x14ac:dyDescent="0.25">
      <c r="A1062" s="182"/>
      <c r="B1062" s="6"/>
      <c r="C1062" s="6"/>
      <c r="D1062" s="15"/>
      <c r="E1062" s="22"/>
      <c r="F1062" s="22"/>
      <c r="G1062" s="22"/>
      <c r="I1062" s="5"/>
      <c r="J1062" s="5"/>
      <c r="K1062" s="22"/>
      <c r="L1062" s="22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19"/>
      <c r="AH1062" s="5"/>
      <c r="AI1062" s="5"/>
      <c r="AJ1062" s="5"/>
      <c r="AK1062" s="5"/>
    </row>
    <row r="1063" spans="1:37" x14ac:dyDescent="0.25">
      <c r="A1063" s="182"/>
      <c r="B1063" s="6"/>
      <c r="C1063" s="6"/>
      <c r="D1063" s="15"/>
      <c r="E1063" s="22"/>
      <c r="F1063" s="22"/>
      <c r="G1063" s="22"/>
      <c r="I1063" s="5"/>
      <c r="J1063" s="5"/>
      <c r="K1063" s="22"/>
      <c r="L1063" s="22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19"/>
      <c r="AH1063" s="5"/>
      <c r="AI1063" s="5"/>
      <c r="AJ1063" s="5"/>
      <c r="AK1063" s="5"/>
    </row>
    <row r="1064" spans="1:37" x14ac:dyDescent="0.25">
      <c r="A1064" s="182"/>
      <c r="B1064" s="6"/>
      <c r="C1064" s="6"/>
      <c r="D1064" s="15"/>
      <c r="E1064" s="22"/>
      <c r="F1064" s="22"/>
      <c r="G1064" s="22"/>
      <c r="I1064" s="5"/>
      <c r="J1064" s="5"/>
      <c r="K1064" s="22"/>
      <c r="L1064" s="22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19"/>
      <c r="AH1064" s="5"/>
      <c r="AI1064" s="5"/>
      <c r="AJ1064" s="5"/>
      <c r="AK1064" s="5"/>
    </row>
    <row r="1065" spans="1:37" x14ac:dyDescent="0.25">
      <c r="A1065" s="182"/>
      <c r="B1065" s="6"/>
      <c r="C1065" s="6"/>
      <c r="D1065" s="15"/>
      <c r="E1065" s="22"/>
      <c r="F1065" s="22"/>
      <c r="G1065" s="22"/>
      <c r="I1065" s="5"/>
      <c r="J1065" s="5"/>
      <c r="K1065" s="22"/>
      <c r="L1065" s="22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19"/>
      <c r="AH1065" s="5"/>
      <c r="AI1065" s="5"/>
      <c r="AJ1065" s="5"/>
      <c r="AK1065" s="5"/>
    </row>
    <row r="1066" spans="1:37" x14ac:dyDescent="0.25">
      <c r="A1066" s="182"/>
      <c r="B1066" s="6"/>
      <c r="C1066" s="6"/>
      <c r="D1066" s="15"/>
      <c r="E1066" s="22"/>
      <c r="F1066" s="22"/>
      <c r="G1066" s="22"/>
      <c r="I1066" s="5"/>
      <c r="J1066" s="5"/>
      <c r="K1066" s="22"/>
      <c r="L1066" s="22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19"/>
      <c r="AH1066" s="5"/>
      <c r="AI1066" s="5"/>
      <c r="AJ1066" s="5"/>
      <c r="AK1066" s="5"/>
    </row>
    <row r="1067" spans="1:37" x14ac:dyDescent="0.25">
      <c r="A1067" s="182"/>
      <c r="B1067" s="6"/>
      <c r="C1067" s="6"/>
      <c r="D1067" s="15"/>
      <c r="E1067" s="22"/>
      <c r="F1067" s="22"/>
      <c r="G1067" s="22"/>
      <c r="I1067" s="5"/>
      <c r="J1067" s="5"/>
      <c r="K1067" s="22"/>
      <c r="L1067" s="22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19"/>
      <c r="AH1067" s="5"/>
      <c r="AI1067" s="5"/>
      <c r="AJ1067" s="5"/>
      <c r="AK1067" s="5"/>
    </row>
    <row r="1068" spans="1:37" x14ac:dyDescent="0.25">
      <c r="A1068" s="182"/>
      <c r="B1068" s="6"/>
      <c r="C1068" s="6"/>
      <c r="D1068" s="15"/>
      <c r="E1068" s="22"/>
      <c r="F1068" s="22"/>
      <c r="G1068" s="22"/>
      <c r="I1068" s="5"/>
      <c r="J1068" s="5"/>
      <c r="K1068" s="22"/>
      <c r="L1068" s="22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19"/>
      <c r="AH1068" s="5"/>
      <c r="AI1068" s="5"/>
      <c r="AJ1068" s="5"/>
      <c r="AK1068" s="5"/>
    </row>
    <row r="1069" spans="1:37" x14ac:dyDescent="0.25">
      <c r="A1069" s="182"/>
      <c r="B1069" s="6"/>
      <c r="C1069" s="6"/>
      <c r="D1069" s="15"/>
      <c r="E1069" s="22"/>
      <c r="F1069" s="22"/>
      <c r="G1069" s="22"/>
      <c r="I1069" s="5"/>
      <c r="J1069" s="5"/>
      <c r="K1069" s="22"/>
      <c r="L1069" s="22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19"/>
      <c r="AH1069" s="5"/>
      <c r="AI1069" s="5"/>
      <c r="AJ1069" s="5"/>
      <c r="AK1069" s="5"/>
    </row>
    <row r="1070" spans="1:37" x14ac:dyDescent="0.25">
      <c r="A1070" s="182"/>
      <c r="B1070" s="6"/>
      <c r="C1070" s="6"/>
      <c r="D1070" s="15"/>
      <c r="E1070" s="22"/>
      <c r="F1070" s="22"/>
      <c r="G1070" s="22"/>
      <c r="I1070" s="5"/>
      <c r="J1070" s="5"/>
      <c r="K1070" s="22"/>
      <c r="L1070" s="22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19"/>
      <c r="AH1070" s="5"/>
      <c r="AI1070" s="5"/>
      <c r="AJ1070" s="5"/>
      <c r="AK1070" s="5"/>
    </row>
    <row r="1071" spans="1:37" x14ac:dyDescent="0.25">
      <c r="A1071" s="182"/>
      <c r="B1071" s="6"/>
      <c r="C1071" s="6"/>
      <c r="D1071" s="15"/>
      <c r="E1071" s="22"/>
      <c r="F1071" s="22"/>
      <c r="G1071" s="22"/>
      <c r="I1071" s="5"/>
      <c r="J1071" s="5"/>
      <c r="K1071" s="22"/>
      <c r="L1071" s="22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19"/>
      <c r="AH1071" s="5"/>
      <c r="AI1071" s="5"/>
      <c r="AJ1071" s="5"/>
      <c r="AK1071" s="5"/>
    </row>
    <row r="1072" spans="1:37" x14ac:dyDescent="0.25">
      <c r="A1072" s="182"/>
      <c r="B1072" s="6"/>
      <c r="C1072" s="6"/>
      <c r="D1072" s="15"/>
      <c r="E1072" s="22"/>
      <c r="F1072" s="22"/>
      <c r="G1072" s="22"/>
      <c r="I1072" s="5"/>
      <c r="J1072" s="5"/>
      <c r="K1072" s="22"/>
      <c r="L1072" s="22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19"/>
      <c r="AH1072" s="5"/>
      <c r="AI1072" s="5"/>
      <c r="AJ1072" s="5"/>
      <c r="AK1072" s="5"/>
    </row>
    <row r="1073" spans="1:37" x14ac:dyDescent="0.25">
      <c r="A1073" s="182"/>
      <c r="B1073" s="6"/>
      <c r="C1073" s="6"/>
      <c r="D1073" s="15"/>
      <c r="E1073" s="22"/>
      <c r="F1073" s="22"/>
      <c r="G1073" s="22"/>
      <c r="I1073" s="5"/>
      <c r="J1073" s="5"/>
      <c r="K1073" s="22"/>
      <c r="L1073" s="22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19"/>
      <c r="AH1073" s="5"/>
      <c r="AI1073" s="5"/>
      <c r="AJ1073" s="5"/>
      <c r="AK1073" s="5"/>
    </row>
    <row r="1074" spans="1:37" x14ac:dyDescent="0.25">
      <c r="A1074" s="182"/>
      <c r="B1074" s="6"/>
      <c r="C1074" s="6"/>
      <c r="D1074" s="15"/>
      <c r="E1074" s="22"/>
      <c r="F1074" s="22"/>
      <c r="G1074" s="22"/>
      <c r="I1074" s="5"/>
      <c r="J1074" s="5"/>
      <c r="K1074" s="22"/>
      <c r="L1074" s="22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19"/>
      <c r="AH1074" s="5"/>
      <c r="AI1074" s="5"/>
      <c r="AJ1074" s="5"/>
      <c r="AK1074" s="5"/>
    </row>
    <row r="1075" spans="1:37" x14ac:dyDescent="0.25">
      <c r="A1075" s="182"/>
      <c r="B1075" s="6"/>
      <c r="C1075" s="6"/>
      <c r="D1075" s="15"/>
      <c r="E1075" s="22"/>
      <c r="F1075" s="22"/>
      <c r="G1075" s="22"/>
      <c r="I1075" s="5"/>
      <c r="J1075" s="5"/>
      <c r="K1075" s="22"/>
      <c r="L1075" s="22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19"/>
      <c r="AH1075" s="5"/>
      <c r="AI1075" s="5"/>
      <c r="AJ1075" s="5"/>
      <c r="AK1075" s="5"/>
    </row>
    <row r="1076" spans="1:37" x14ac:dyDescent="0.25">
      <c r="A1076" s="182"/>
      <c r="B1076" s="6"/>
      <c r="C1076" s="6"/>
      <c r="D1076" s="15"/>
      <c r="E1076" s="22"/>
      <c r="F1076" s="22"/>
      <c r="G1076" s="22"/>
      <c r="I1076" s="5"/>
      <c r="J1076" s="5"/>
      <c r="K1076" s="22"/>
      <c r="L1076" s="22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19"/>
      <c r="AH1076" s="5"/>
      <c r="AI1076" s="5"/>
      <c r="AJ1076" s="5"/>
      <c r="AK1076" s="5"/>
    </row>
    <row r="1077" spans="1:37" x14ac:dyDescent="0.25">
      <c r="A1077" s="182"/>
      <c r="B1077" s="6"/>
      <c r="C1077" s="6"/>
      <c r="D1077" s="15"/>
      <c r="E1077" s="22"/>
      <c r="F1077" s="22"/>
      <c r="G1077" s="22"/>
      <c r="I1077" s="5"/>
      <c r="J1077" s="5"/>
      <c r="K1077" s="22"/>
      <c r="L1077" s="22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19"/>
      <c r="AH1077" s="5"/>
      <c r="AI1077" s="5"/>
      <c r="AJ1077" s="5"/>
      <c r="AK1077" s="5"/>
    </row>
    <row r="1078" spans="1:37" x14ac:dyDescent="0.25">
      <c r="A1078" s="182"/>
      <c r="B1078" s="6"/>
      <c r="C1078" s="6"/>
      <c r="D1078" s="15"/>
      <c r="E1078" s="22"/>
      <c r="F1078" s="22"/>
      <c r="G1078" s="22"/>
      <c r="I1078" s="5"/>
      <c r="J1078" s="5"/>
      <c r="K1078" s="22"/>
      <c r="L1078" s="22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19"/>
      <c r="AH1078" s="5"/>
      <c r="AI1078" s="5"/>
      <c r="AJ1078" s="5"/>
      <c r="AK1078" s="5"/>
    </row>
    <row r="1079" spans="1:37" x14ac:dyDescent="0.25">
      <c r="A1079" s="182"/>
      <c r="B1079" s="6"/>
      <c r="C1079" s="6"/>
      <c r="D1079" s="15"/>
      <c r="E1079" s="22"/>
      <c r="F1079" s="22"/>
      <c r="G1079" s="22"/>
      <c r="I1079" s="5"/>
      <c r="J1079" s="5"/>
      <c r="K1079" s="22"/>
      <c r="L1079" s="22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19"/>
      <c r="AH1079" s="5"/>
      <c r="AI1079" s="5"/>
      <c r="AJ1079" s="5"/>
      <c r="AK1079" s="5"/>
    </row>
    <row r="1080" spans="1:37" x14ac:dyDescent="0.25">
      <c r="A1080" s="182"/>
      <c r="B1080" s="6"/>
      <c r="C1080" s="6"/>
      <c r="D1080" s="15"/>
      <c r="E1080" s="22"/>
      <c r="F1080" s="22"/>
      <c r="G1080" s="22"/>
      <c r="I1080" s="5"/>
      <c r="J1080" s="5"/>
      <c r="K1080" s="22"/>
      <c r="L1080" s="22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19"/>
      <c r="AH1080" s="5"/>
      <c r="AI1080" s="5"/>
      <c r="AJ1080" s="5"/>
      <c r="AK1080" s="5"/>
    </row>
    <row r="1081" spans="1:37" x14ac:dyDescent="0.25">
      <c r="A1081" s="182"/>
      <c r="B1081" s="6"/>
      <c r="C1081" s="6"/>
      <c r="D1081" s="15"/>
      <c r="E1081" s="22"/>
      <c r="F1081" s="22"/>
      <c r="G1081" s="22"/>
      <c r="I1081" s="5"/>
      <c r="J1081" s="5"/>
      <c r="K1081" s="22"/>
      <c r="L1081" s="22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19"/>
      <c r="AH1081" s="5"/>
      <c r="AI1081" s="5"/>
      <c r="AJ1081" s="5"/>
      <c r="AK1081" s="5"/>
    </row>
    <row r="1082" spans="1:37" x14ac:dyDescent="0.25">
      <c r="A1082" s="182"/>
      <c r="B1082" s="6"/>
      <c r="C1082" s="6"/>
      <c r="D1082" s="15"/>
      <c r="E1082" s="22"/>
      <c r="F1082" s="22"/>
      <c r="G1082" s="22"/>
      <c r="I1082" s="5"/>
      <c r="J1082" s="5"/>
      <c r="K1082" s="22"/>
      <c r="L1082" s="22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19"/>
      <c r="AH1082" s="5"/>
      <c r="AI1082" s="5"/>
      <c r="AJ1082" s="5"/>
      <c r="AK1082" s="5"/>
    </row>
    <row r="1083" spans="1:37" x14ac:dyDescent="0.25">
      <c r="A1083" s="182"/>
      <c r="B1083" s="6"/>
      <c r="C1083" s="6"/>
      <c r="D1083" s="15"/>
      <c r="E1083" s="22"/>
      <c r="F1083" s="22"/>
      <c r="G1083" s="22"/>
      <c r="I1083" s="5"/>
      <c r="J1083" s="5"/>
      <c r="K1083" s="22"/>
      <c r="L1083" s="22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19"/>
      <c r="AH1083" s="5"/>
      <c r="AI1083" s="5"/>
      <c r="AJ1083" s="5"/>
      <c r="AK1083" s="5"/>
    </row>
    <row r="1084" spans="1:37" x14ac:dyDescent="0.25">
      <c r="A1084" s="182"/>
      <c r="B1084" s="6"/>
      <c r="C1084" s="6"/>
      <c r="D1084" s="15"/>
      <c r="E1084" s="22"/>
      <c r="F1084" s="22"/>
      <c r="G1084" s="22"/>
      <c r="I1084" s="5"/>
      <c r="J1084" s="5"/>
      <c r="K1084" s="22"/>
      <c r="L1084" s="22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19"/>
      <c r="AH1084" s="5"/>
      <c r="AI1084" s="5"/>
      <c r="AJ1084" s="5"/>
      <c r="AK1084" s="5"/>
    </row>
    <row r="1085" spans="1:37" x14ac:dyDescent="0.25">
      <c r="A1085" s="182"/>
      <c r="B1085" s="6"/>
      <c r="C1085" s="6"/>
      <c r="D1085" s="15"/>
      <c r="E1085" s="22"/>
      <c r="F1085" s="22"/>
      <c r="G1085" s="22"/>
      <c r="I1085" s="5"/>
      <c r="J1085" s="5"/>
      <c r="K1085" s="22"/>
      <c r="L1085" s="22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19"/>
      <c r="AH1085" s="5"/>
      <c r="AI1085" s="5"/>
      <c r="AJ1085" s="5"/>
      <c r="AK1085" s="5"/>
    </row>
    <row r="1086" spans="1:37" x14ac:dyDescent="0.25">
      <c r="A1086" s="182"/>
      <c r="B1086" s="6"/>
      <c r="C1086" s="6"/>
      <c r="D1086" s="15"/>
      <c r="E1086" s="22"/>
      <c r="F1086" s="22"/>
      <c r="G1086" s="22"/>
      <c r="I1086" s="5"/>
      <c r="J1086" s="5"/>
      <c r="K1086" s="22"/>
      <c r="L1086" s="22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19"/>
      <c r="AH1086" s="5"/>
      <c r="AI1086" s="5"/>
      <c r="AJ1086" s="5"/>
      <c r="AK1086" s="5"/>
    </row>
    <row r="1087" spans="1:37" x14ac:dyDescent="0.25">
      <c r="A1087" s="182"/>
      <c r="B1087" s="6"/>
      <c r="C1087" s="6"/>
      <c r="D1087" s="15"/>
      <c r="E1087" s="22"/>
      <c r="F1087" s="22"/>
      <c r="G1087" s="22"/>
      <c r="I1087" s="5"/>
      <c r="J1087" s="5"/>
      <c r="K1087" s="22"/>
      <c r="L1087" s="22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19"/>
      <c r="AH1087" s="5"/>
      <c r="AI1087" s="5"/>
      <c r="AJ1087" s="5"/>
      <c r="AK1087" s="5"/>
    </row>
    <row r="1088" spans="1:37" x14ac:dyDescent="0.25">
      <c r="A1088" s="182"/>
      <c r="B1088" s="6"/>
      <c r="C1088" s="6"/>
      <c r="D1088" s="15"/>
      <c r="E1088" s="22"/>
      <c r="F1088" s="22"/>
      <c r="G1088" s="22"/>
      <c r="I1088" s="5"/>
      <c r="J1088" s="5"/>
      <c r="K1088" s="22"/>
      <c r="L1088" s="22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19"/>
      <c r="AH1088" s="5"/>
      <c r="AI1088" s="5"/>
      <c r="AJ1088" s="5"/>
      <c r="AK1088" s="5"/>
    </row>
    <row r="1089" spans="1:37" x14ac:dyDescent="0.25">
      <c r="A1089" s="182"/>
      <c r="B1089" s="6"/>
      <c r="C1089" s="6"/>
      <c r="D1089" s="15"/>
      <c r="E1089" s="22"/>
      <c r="F1089" s="22"/>
      <c r="G1089" s="22"/>
      <c r="I1089" s="5"/>
      <c r="J1089" s="5"/>
      <c r="K1089" s="22"/>
      <c r="L1089" s="22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19"/>
      <c r="AH1089" s="5"/>
      <c r="AI1089" s="5"/>
      <c r="AJ1089" s="5"/>
      <c r="AK1089" s="5"/>
    </row>
    <row r="1090" spans="1:37" x14ac:dyDescent="0.25">
      <c r="A1090" s="182"/>
      <c r="B1090" s="6"/>
      <c r="C1090" s="6"/>
      <c r="D1090" s="15"/>
      <c r="E1090" s="22"/>
      <c r="F1090" s="22"/>
      <c r="G1090" s="22"/>
      <c r="I1090" s="5"/>
      <c r="J1090" s="5"/>
      <c r="K1090" s="22"/>
      <c r="L1090" s="22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19"/>
      <c r="AH1090" s="5"/>
      <c r="AI1090" s="5"/>
      <c r="AJ1090" s="5"/>
      <c r="AK1090" s="5"/>
    </row>
    <row r="1091" spans="1:37" x14ac:dyDescent="0.25">
      <c r="A1091" s="182"/>
      <c r="B1091" s="6"/>
      <c r="C1091" s="6"/>
      <c r="D1091" s="15"/>
      <c r="E1091" s="22"/>
      <c r="F1091" s="22"/>
      <c r="G1091" s="22"/>
      <c r="I1091" s="5"/>
      <c r="J1091" s="5"/>
      <c r="K1091" s="22"/>
      <c r="L1091" s="22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19"/>
      <c r="AH1091" s="5"/>
      <c r="AI1091" s="5"/>
      <c r="AJ1091" s="5"/>
      <c r="AK1091" s="5"/>
    </row>
    <row r="1092" spans="1:37" x14ac:dyDescent="0.25">
      <c r="A1092" s="182"/>
      <c r="B1092" s="6"/>
      <c r="C1092" s="6"/>
      <c r="D1092" s="15"/>
      <c r="E1092" s="22"/>
      <c r="F1092" s="22"/>
      <c r="G1092" s="22"/>
      <c r="I1092" s="5"/>
      <c r="J1092" s="5"/>
      <c r="K1092" s="22"/>
      <c r="L1092" s="22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19"/>
      <c r="AH1092" s="5"/>
      <c r="AI1092" s="5"/>
      <c r="AJ1092" s="5"/>
      <c r="AK1092" s="5"/>
    </row>
    <row r="1093" spans="1:37" x14ac:dyDescent="0.25">
      <c r="A1093" s="182"/>
      <c r="B1093" s="6"/>
      <c r="C1093" s="6"/>
      <c r="D1093" s="15"/>
      <c r="E1093" s="22"/>
      <c r="F1093" s="22"/>
      <c r="G1093" s="22"/>
      <c r="I1093" s="5"/>
      <c r="J1093" s="5"/>
      <c r="K1093" s="22"/>
      <c r="L1093" s="22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19"/>
      <c r="AH1093" s="5"/>
      <c r="AI1093" s="5"/>
      <c r="AJ1093" s="5"/>
      <c r="AK1093" s="5"/>
    </row>
    <row r="1094" spans="1:37" x14ac:dyDescent="0.25">
      <c r="A1094" s="182"/>
      <c r="B1094" s="6"/>
      <c r="C1094" s="6"/>
      <c r="D1094" s="15"/>
      <c r="E1094" s="22"/>
      <c r="F1094" s="22"/>
      <c r="G1094" s="22"/>
      <c r="I1094" s="5"/>
      <c r="J1094" s="5"/>
      <c r="K1094" s="22"/>
      <c r="L1094" s="22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19"/>
      <c r="AH1094" s="5"/>
      <c r="AI1094" s="5"/>
      <c r="AJ1094" s="5"/>
      <c r="AK1094" s="5"/>
    </row>
    <row r="1095" spans="1:37" x14ac:dyDescent="0.25">
      <c r="A1095" s="182"/>
      <c r="B1095" s="6"/>
      <c r="C1095" s="6"/>
      <c r="D1095" s="15"/>
      <c r="E1095" s="22"/>
      <c r="F1095" s="22"/>
      <c r="G1095" s="22"/>
      <c r="I1095" s="5"/>
      <c r="J1095" s="5"/>
      <c r="K1095" s="22"/>
      <c r="L1095" s="22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19"/>
      <c r="AH1095" s="5"/>
      <c r="AI1095" s="5"/>
      <c r="AJ1095" s="5"/>
      <c r="AK1095" s="5"/>
    </row>
    <row r="1096" spans="1:37" x14ac:dyDescent="0.25">
      <c r="A1096" s="182"/>
      <c r="B1096" s="6"/>
      <c r="C1096" s="6"/>
      <c r="D1096" s="15"/>
      <c r="E1096" s="22"/>
      <c r="F1096" s="22"/>
      <c r="G1096" s="22"/>
      <c r="I1096" s="5"/>
      <c r="J1096" s="5"/>
      <c r="K1096" s="22"/>
      <c r="L1096" s="22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19"/>
      <c r="AH1096" s="5"/>
      <c r="AI1096" s="5"/>
      <c r="AJ1096" s="5"/>
      <c r="AK1096" s="5"/>
    </row>
    <row r="1097" spans="1:37" x14ac:dyDescent="0.25">
      <c r="A1097" s="182"/>
      <c r="B1097" s="6"/>
      <c r="C1097" s="6"/>
      <c r="D1097" s="15"/>
      <c r="E1097" s="22"/>
      <c r="F1097" s="22"/>
      <c r="G1097" s="22"/>
      <c r="I1097" s="5"/>
      <c r="J1097" s="5"/>
      <c r="K1097" s="22"/>
      <c r="L1097" s="22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19"/>
      <c r="AH1097" s="5"/>
      <c r="AI1097" s="5"/>
      <c r="AJ1097" s="5"/>
      <c r="AK1097" s="5"/>
    </row>
    <row r="1098" spans="1:37" x14ac:dyDescent="0.25">
      <c r="A1098" s="182"/>
      <c r="B1098" s="6"/>
      <c r="C1098" s="6"/>
      <c r="D1098" s="15"/>
      <c r="E1098" s="22"/>
      <c r="F1098" s="22"/>
      <c r="G1098" s="22"/>
      <c r="I1098" s="5"/>
      <c r="J1098" s="5"/>
      <c r="K1098" s="22"/>
      <c r="L1098" s="22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19"/>
      <c r="AH1098" s="5"/>
      <c r="AI1098" s="5"/>
      <c r="AJ1098" s="5"/>
      <c r="AK1098" s="5"/>
    </row>
    <row r="1099" spans="1:37" x14ac:dyDescent="0.25">
      <c r="A1099" s="182"/>
      <c r="B1099" s="6"/>
      <c r="C1099" s="6"/>
      <c r="D1099" s="15"/>
      <c r="E1099" s="22"/>
      <c r="F1099" s="22"/>
      <c r="G1099" s="22"/>
      <c r="I1099" s="5"/>
      <c r="J1099" s="5"/>
      <c r="K1099" s="22"/>
      <c r="L1099" s="22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19"/>
      <c r="AH1099" s="5"/>
      <c r="AI1099" s="5"/>
      <c r="AJ1099" s="5"/>
      <c r="AK1099" s="5"/>
    </row>
    <row r="1100" spans="1:37" x14ac:dyDescent="0.25">
      <c r="A1100" s="182"/>
      <c r="B1100" s="6"/>
      <c r="C1100" s="6"/>
      <c r="D1100" s="15"/>
      <c r="E1100" s="22"/>
      <c r="F1100" s="22"/>
      <c r="G1100" s="22"/>
      <c r="I1100" s="5"/>
      <c r="J1100" s="5"/>
      <c r="K1100" s="22"/>
      <c r="L1100" s="22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19"/>
      <c r="AH1100" s="5"/>
      <c r="AI1100" s="5"/>
      <c r="AJ1100" s="5"/>
      <c r="AK1100" s="5"/>
    </row>
    <row r="1101" spans="1:37" x14ac:dyDescent="0.25">
      <c r="A1101" s="182"/>
      <c r="B1101" s="6"/>
      <c r="C1101" s="6"/>
      <c r="D1101" s="15"/>
      <c r="E1101" s="22"/>
      <c r="F1101" s="22"/>
      <c r="G1101" s="22"/>
      <c r="I1101" s="5"/>
      <c r="J1101" s="5"/>
      <c r="K1101" s="22"/>
      <c r="L1101" s="22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19"/>
      <c r="AH1101" s="5"/>
      <c r="AI1101" s="5"/>
      <c r="AJ1101" s="5"/>
      <c r="AK1101" s="5"/>
    </row>
    <row r="1102" spans="1:37" x14ac:dyDescent="0.25">
      <c r="A1102" s="182"/>
      <c r="B1102" s="6"/>
      <c r="C1102" s="6"/>
      <c r="D1102" s="15"/>
      <c r="E1102" s="22"/>
      <c r="F1102" s="22"/>
      <c r="G1102" s="22"/>
      <c r="I1102" s="5"/>
      <c r="J1102" s="5"/>
      <c r="K1102" s="22"/>
      <c r="L1102" s="22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19"/>
      <c r="AH1102" s="5"/>
      <c r="AI1102" s="5"/>
      <c r="AJ1102" s="5"/>
      <c r="AK1102" s="5"/>
    </row>
    <row r="1103" spans="1:37" x14ac:dyDescent="0.25">
      <c r="A1103" s="182"/>
      <c r="B1103" s="6"/>
      <c r="C1103" s="6"/>
      <c r="D1103" s="15"/>
      <c r="E1103" s="22"/>
      <c r="F1103" s="22"/>
      <c r="G1103" s="22"/>
      <c r="I1103" s="5"/>
      <c r="J1103" s="5"/>
      <c r="K1103" s="22"/>
      <c r="L1103" s="22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19"/>
      <c r="AH1103" s="5"/>
      <c r="AI1103" s="5"/>
      <c r="AJ1103" s="5"/>
      <c r="AK1103" s="5"/>
    </row>
    <row r="1104" spans="1:37" x14ac:dyDescent="0.25">
      <c r="A1104" s="182"/>
      <c r="B1104" s="6"/>
      <c r="C1104" s="6"/>
      <c r="D1104" s="15"/>
      <c r="E1104" s="22"/>
      <c r="F1104" s="22"/>
      <c r="G1104" s="22"/>
      <c r="I1104" s="5"/>
      <c r="J1104" s="5"/>
      <c r="K1104" s="22"/>
      <c r="L1104" s="22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19"/>
      <c r="AH1104" s="5"/>
      <c r="AI1104" s="5"/>
      <c r="AJ1104" s="5"/>
      <c r="AK1104" s="5"/>
    </row>
    <row r="1105" spans="1:37" x14ac:dyDescent="0.25">
      <c r="A1105" s="182"/>
      <c r="B1105" s="6"/>
      <c r="C1105" s="6"/>
      <c r="D1105" s="15"/>
      <c r="E1105" s="22"/>
      <c r="F1105" s="22"/>
      <c r="G1105" s="22"/>
      <c r="I1105" s="5"/>
      <c r="J1105" s="5"/>
      <c r="K1105" s="22"/>
      <c r="L1105" s="22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19"/>
      <c r="AH1105" s="5"/>
      <c r="AI1105" s="5"/>
      <c r="AJ1105" s="5"/>
      <c r="AK1105" s="5"/>
    </row>
    <row r="1106" spans="1:37" x14ac:dyDescent="0.25">
      <c r="A1106" s="182"/>
      <c r="B1106" s="6"/>
      <c r="C1106" s="6"/>
      <c r="D1106" s="15"/>
      <c r="E1106" s="22"/>
      <c r="F1106" s="22"/>
      <c r="G1106" s="22"/>
      <c r="I1106" s="5"/>
      <c r="J1106" s="5"/>
      <c r="K1106" s="22"/>
      <c r="L1106" s="22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19"/>
      <c r="AH1106" s="5"/>
      <c r="AI1106" s="5"/>
      <c r="AJ1106" s="5"/>
      <c r="AK1106" s="5"/>
    </row>
    <row r="1107" spans="1:37" x14ac:dyDescent="0.25">
      <c r="A1107" s="182"/>
      <c r="B1107" s="6"/>
      <c r="C1107" s="6"/>
      <c r="D1107" s="15"/>
      <c r="E1107" s="22"/>
      <c r="F1107" s="22"/>
      <c r="G1107" s="22"/>
      <c r="I1107" s="5"/>
      <c r="J1107" s="5"/>
      <c r="K1107" s="22"/>
      <c r="L1107" s="22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19"/>
      <c r="AH1107" s="5"/>
      <c r="AI1107" s="5"/>
      <c r="AJ1107" s="5"/>
      <c r="AK1107" s="5"/>
    </row>
    <row r="1108" spans="1:37" x14ac:dyDescent="0.25">
      <c r="A1108" s="182"/>
      <c r="B1108" s="6"/>
      <c r="C1108" s="6"/>
      <c r="D1108" s="15"/>
      <c r="E1108" s="22"/>
      <c r="F1108" s="22"/>
      <c r="G1108" s="22"/>
      <c r="I1108" s="5"/>
      <c r="J1108" s="5"/>
      <c r="K1108" s="22"/>
      <c r="L1108" s="22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19"/>
      <c r="AH1108" s="5"/>
      <c r="AI1108" s="5"/>
      <c r="AJ1108" s="5"/>
      <c r="AK1108" s="5"/>
    </row>
    <row r="1109" spans="1:37" x14ac:dyDescent="0.25">
      <c r="A1109" s="182"/>
      <c r="B1109" s="6"/>
      <c r="C1109" s="6"/>
      <c r="D1109" s="15"/>
      <c r="E1109" s="22"/>
      <c r="F1109" s="22"/>
      <c r="G1109" s="22"/>
      <c r="I1109" s="5"/>
      <c r="J1109" s="5"/>
      <c r="K1109" s="22"/>
      <c r="L1109" s="22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19"/>
      <c r="AH1109" s="5"/>
      <c r="AI1109" s="5"/>
      <c r="AJ1109" s="5"/>
      <c r="AK1109" s="5"/>
    </row>
    <row r="1110" spans="1:37" x14ac:dyDescent="0.25">
      <c r="A1110" s="182"/>
      <c r="B1110" s="6"/>
      <c r="C1110" s="6"/>
      <c r="D1110" s="15"/>
      <c r="E1110" s="22"/>
      <c r="F1110" s="22"/>
      <c r="G1110" s="22"/>
      <c r="I1110" s="5"/>
      <c r="J1110" s="5"/>
      <c r="K1110" s="22"/>
      <c r="L1110" s="22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19"/>
      <c r="AH1110" s="5"/>
      <c r="AI1110" s="5"/>
      <c r="AJ1110" s="5"/>
      <c r="AK1110" s="5"/>
    </row>
    <row r="1111" spans="1:37" x14ac:dyDescent="0.25">
      <c r="A1111" s="182"/>
      <c r="B1111" s="6"/>
      <c r="C1111" s="6"/>
      <c r="D1111" s="15"/>
      <c r="E1111" s="22"/>
      <c r="F1111" s="22"/>
      <c r="G1111" s="22"/>
      <c r="I1111" s="5"/>
      <c r="J1111" s="5"/>
      <c r="K1111" s="22"/>
      <c r="L1111" s="22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19"/>
      <c r="AH1111" s="5"/>
      <c r="AI1111" s="5"/>
      <c r="AJ1111" s="5"/>
      <c r="AK1111" s="5"/>
    </row>
    <row r="1112" spans="1:37" x14ac:dyDescent="0.25">
      <c r="A1112" s="182"/>
      <c r="B1112" s="6"/>
      <c r="C1112" s="6"/>
      <c r="D1112" s="15"/>
      <c r="E1112" s="22"/>
      <c r="F1112" s="22"/>
      <c r="G1112" s="22"/>
      <c r="I1112" s="5"/>
      <c r="J1112" s="5"/>
      <c r="K1112" s="22"/>
      <c r="L1112" s="22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19"/>
      <c r="AH1112" s="5"/>
      <c r="AI1112" s="5"/>
      <c r="AJ1112" s="5"/>
      <c r="AK1112" s="5"/>
    </row>
    <row r="1113" spans="1:37" x14ac:dyDescent="0.25">
      <c r="A1113" s="182"/>
      <c r="B1113" s="6"/>
      <c r="C1113" s="6"/>
      <c r="D1113" s="15"/>
      <c r="E1113" s="22"/>
      <c r="F1113" s="22"/>
      <c r="G1113" s="22"/>
      <c r="I1113" s="5"/>
      <c r="J1113" s="5"/>
      <c r="K1113" s="22"/>
      <c r="L1113" s="22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19"/>
      <c r="AH1113" s="5"/>
      <c r="AI1113" s="5"/>
      <c r="AJ1113" s="5"/>
      <c r="AK1113" s="5"/>
    </row>
    <row r="1114" spans="1:37" x14ac:dyDescent="0.25">
      <c r="A1114" s="182"/>
      <c r="B1114" s="6"/>
      <c r="C1114" s="6"/>
      <c r="D1114" s="15"/>
      <c r="E1114" s="22"/>
      <c r="F1114" s="22"/>
      <c r="G1114" s="22"/>
      <c r="I1114" s="5"/>
      <c r="J1114" s="5"/>
      <c r="K1114" s="22"/>
      <c r="L1114" s="22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19"/>
      <c r="AH1114" s="5"/>
      <c r="AI1114" s="5"/>
      <c r="AJ1114" s="5"/>
      <c r="AK1114" s="5"/>
    </row>
    <row r="1115" spans="1:37" x14ac:dyDescent="0.25">
      <c r="A1115" s="182"/>
      <c r="B1115" s="6"/>
      <c r="C1115" s="6"/>
      <c r="D1115" s="15"/>
      <c r="E1115" s="22"/>
      <c r="F1115" s="22"/>
      <c r="G1115" s="22"/>
      <c r="I1115" s="5"/>
      <c r="J1115" s="5"/>
      <c r="K1115" s="22"/>
      <c r="L1115" s="22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19"/>
      <c r="AH1115" s="5"/>
      <c r="AI1115" s="5"/>
      <c r="AJ1115" s="5"/>
      <c r="AK1115" s="5"/>
    </row>
    <row r="1116" spans="1:37" x14ac:dyDescent="0.25">
      <c r="A1116" s="182"/>
      <c r="B1116" s="6"/>
      <c r="C1116" s="6"/>
      <c r="D1116" s="15"/>
      <c r="E1116" s="22"/>
      <c r="F1116" s="22"/>
      <c r="G1116" s="22"/>
      <c r="I1116" s="5"/>
      <c r="J1116" s="5"/>
      <c r="K1116" s="22"/>
      <c r="L1116" s="22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19"/>
      <c r="AH1116" s="5"/>
      <c r="AI1116" s="5"/>
      <c r="AJ1116" s="5"/>
      <c r="AK1116" s="5"/>
    </row>
    <row r="1117" spans="1:37" x14ac:dyDescent="0.25">
      <c r="A1117" s="182"/>
      <c r="B1117" s="6"/>
      <c r="C1117" s="6"/>
      <c r="D1117" s="15"/>
      <c r="E1117" s="22"/>
      <c r="F1117" s="22"/>
      <c r="G1117" s="22"/>
      <c r="I1117" s="5"/>
      <c r="J1117" s="5"/>
      <c r="K1117" s="22"/>
      <c r="L1117" s="22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19"/>
      <c r="AH1117" s="5"/>
      <c r="AI1117" s="5"/>
      <c r="AJ1117" s="5"/>
      <c r="AK1117" s="5"/>
    </row>
    <row r="1118" spans="1:37" x14ac:dyDescent="0.25">
      <c r="A1118" s="182"/>
      <c r="B1118" s="6"/>
      <c r="C1118" s="6"/>
      <c r="D1118" s="15"/>
      <c r="E1118" s="22"/>
      <c r="F1118" s="22"/>
      <c r="G1118" s="22"/>
      <c r="I1118" s="5"/>
      <c r="J1118" s="5"/>
      <c r="K1118" s="22"/>
      <c r="L1118" s="22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19"/>
      <c r="AH1118" s="5"/>
      <c r="AI1118" s="5"/>
      <c r="AJ1118" s="5"/>
      <c r="AK1118" s="5"/>
    </row>
    <row r="1119" spans="1:37" x14ac:dyDescent="0.25">
      <c r="A1119" s="182"/>
      <c r="B1119" s="6"/>
      <c r="C1119" s="6"/>
      <c r="D1119" s="15"/>
      <c r="E1119" s="22"/>
      <c r="F1119" s="22"/>
      <c r="G1119" s="22"/>
      <c r="I1119" s="5"/>
      <c r="J1119" s="5"/>
      <c r="K1119" s="22"/>
      <c r="L1119" s="22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19"/>
      <c r="AH1119" s="5"/>
      <c r="AI1119" s="5"/>
      <c r="AJ1119" s="5"/>
      <c r="AK1119" s="5"/>
    </row>
    <row r="1120" spans="1:37" x14ac:dyDescent="0.25">
      <c r="A1120" s="182"/>
      <c r="B1120" s="6"/>
      <c r="C1120" s="6"/>
      <c r="D1120" s="15"/>
      <c r="E1120" s="22"/>
      <c r="F1120" s="22"/>
      <c r="G1120" s="22"/>
      <c r="I1120" s="5"/>
      <c r="J1120" s="5"/>
      <c r="K1120" s="22"/>
      <c r="L1120" s="22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19"/>
      <c r="AH1120" s="5"/>
      <c r="AI1120" s="5"/>
      <c r="AJ1120" s="5"/>
      <c r="AK1120" s="5"/>
    </row>
    <row r="1121" spans="1:37" x14ac:dyDescent="0.25">
      <c r="A1121" s="182"/>
      <c r="B1121" s="6"/>
      <c r="C1121" s="6"/>
      <c r="D1121" s="15"/>
      <c r="E1121" s="22"/>
      <c r="F1121" s="22"/>
      <c r="G1121" s="22"/>
      <c r="I1121" s="5"/>
      <c r="J1121" s="5"/>
      <c r="K1121" s="22"/>
      <c r="L1121" s="22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19"/>
      <c r="AH1121" s="5"/>
      <c r="AI1121" s="5"/>
      <c r="AJ1121" s="5"/>
      <c r="AK1121" s="5"/>
    </row>
    <row r="1122" spans="1:37" x14ac:dyDescent="0.25">
      <c r="A1122" s="182"/>
      <c r="B1122" s="6"/>
      <c r="C1122" s="6"/>
      <c r="D1122" s="15"/>
      <c r="E1122" s="22"/>
      <c r="F1122" s="22"/>
      <c r="G1122" s="22"/>
      <c r="I1122" s="5"/>
      <c r="J1122" s="5"/>
      <c r="K1122" s="22"/>
      <c r="L1122" s="22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19"/>
      <c r="AH1122" s="5"/>
      <c r="AI1122" s="5"/>
      <c r="AJ1122" s="5"/>
      <c r="AK1122" s="5"/>
    </row>
    <row r="1123" spans="1:37" x14ac:dyDescent="0.25">
      <c r="A1123" s="182"/>
      <c r="B1123" s="6"/>
      <c r="C1123" s="6"/>
      <c r="D1123" s="15"/>
      <c r="E1123" s="22"/>
      <c r="F1123" s="22"/>
      <c r="G1123" s="22"/>
      <c r="I1123" s="5"/>
      <c r="J1123" s="5"/>
      <c r="K1123" s="22"/>
      <c r="L1123" s="22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19"/>
      <c r="AH1123" s="5"/>
      <c r="AI1123" s="5"/>
      <c r="AJ1123" s="5"/>
      <c r="AK1123" s="5"/>
    </row>
    <row r="1124" spans="1:37" x14ac:dyDescent="0.25">
      <c r="A1124" s="182"/>
      <c r="B1124" s="6"/>
      <c r="C1124" s="6"/>
      <c r="D1124" s="15"/>
      <c r="E1124" s="22"/>
      <c r="F1124" s="22"/>
      <c r="G1124" s="22"/>
      <c r="I1124" s="5"/>
      <c r="J1124" s="5"/>
      <c r="K1124" s="22"/>
      <c r="L1124" s="22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19"/>
      <c r="AH1124" s="5"/>
      <c r="AI1124" s="5"/>
      <c r="AJ1124" s="5"/>
      <c r="AK1124" s="5"/>
    </row>
    <row r="1125" spans="1:37" x14ac:dyDescent="0.25">
      <c r="A1125" s="182"/>
      <c r="B1125" s="6"/>
      <c r="C1125" s="6"/>
      <c r="D1125" s="15"/>
      <c r="E1125" s="22"/>
      <c r="F1125" s="22"/>
      <c r="G1125" s="22"/>
      <c r="I1125" s="5"/>
      <c r="J1125" s="5"/>
      <c r="K1125" s="22"/>
      <c r="L1125" s="22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19"/>
      <c r="AH1125" s="5"/>
      <c r="AI1125" s="5"/>
      <c r="AJ1125" s="5"/>
      <c r="AK1125" s="5"/>
    </row>
    <row r="1126" spans="1:37" x14ac:dyDescent="0.25">
      <c r="A1126" s="182"/>
      <c r="B1126" s="6"/>
      <c r="C1126" s="6"/>
      <c r="D1126" s="15"/>
      <c r="E1126" s="22"/>
      <c r="F1126" s="22"/>
      <c r="G1126" s="22"/>
      <c r="I1126" s="5"/>
      <c r="J1126" s="5"/>
      <c r="K1126" s="22"/>
      <c r="L1126" s="22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19"/>
      <c r="AH1126" s="5"/>
      <c r="AI1126" s="5"/>
      <c r="AJ1126" s="5"/>
      <c r="AK1126" s="5"/>
    </row>
    <row r="1127" spans="1:37" x14ac:dyDescent="0.25">
      <c r="A1127" s="182"/>
      <c r="B1127" s="6"/>
      <c r="C1127" s="6"/>
      <c r="D1127" s="15"/>
      <c r="E1127" s="22"/>
      <c r="F1127" s="22"/>
      <c r="G1127" s="22"/>
      <c r="I1127" s="5"/>
      <c r="J1127" s="5"/>
      <c r="K1127" s="22"/>
      <c r="L1127" s="22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19"/>
      <c r="AH1127" s="5"/>
      <c r="AI1127" s="5"/>
      <c r="AJ1127" s="5"/>
      <c r="AK1127" s="5"/>
    </row>
    <row r="1128" spans="1:37" x14ac:dyDescent="0.25">
      <c r="A1128" s="182"/>
      <c r="B1128" s="6"/>
      <c r="C1128" s="6"/>
      <c r="D1128" s="15"/>
      <c r="E1128" s="22"/>
      <c r="F1128" s="22"/>
      <c r="G1128" s="22"/>
      <c r="I1128" s="5"/>
      <c r="J1128" s="5"/>
      <c r="K1128" s="22"/>
      <c r="L1128" s="22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19"/>
      <c r="AH1128" s="5"/>
      <c r="AI1128" s="5"/>
      <c r="AJ1128" s="5"/>
      <c r="AK1128" s="5"/>
    </row>
    <row r="1129" spans="1:37" x14ac:dyDescent="0.25">
      <c r="A1129" s="182"/>
      <c r="B1129" s="6"/>
      <c r="C1129" s="6"/>
      <c r="D1129" s="15"/>
      <c r="E1129" s="22"/>
      <c r="F1129" s="22"/>
      <c r="G1129" s="22"/>
      <c r="I1129" s="5"/>
      <c r="J1129" s="5"/>
      <c r="K1129" s="22"/>
      <c r="L1129" s="22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19"/>
      <c r="AH1129" s="5"/>
      <c r="AI1129" s="5"/>
      <c r="AJ1129" s="5"/>
      <c r="AK1129" s="5"/>
    </row>
    <row r="1130" spans="1:37" x14ac:dyDescent="0.25">
      <c r="A1130" s="182"/>
      <c r="B1130" s="6"/>
      <c r="C1130" s="6"/>
      <c r="D1130" s="15"/>
      <c r="E1130" s="22"/>
      <c r="F1130" s="22"/>
      <c r="G1130" s="22"/>
      <c r="I1130" s="5"/>
      <c r="J1130" s="5"/>
      <c r="K1130" s="22"/>
      <c r="L1130" s="22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19"/>
      <c r="AH1130" s="5"/>
      <c r="AI1130" s="5"/>
      <c r="AJ1130" s="5"/>
      <c r="AK1130" s="5"/>
    </row>
    <row r="1131" spans="1:37" x14ac:dyDescent="0.25">
      <c r="A1131" s="182"/>
      <c r="B1131" s="6"/>
      <c r="C1131" s="6"/>
      <c r="D1131" s="15"/>
      <c r="E1131" s="22"/>
      <c r="F1131" s="22"/>
      <c r="G1131" s="22"/>
      <c r="I1131" s="5"/>
      <c r="J1131" s="5"/>
      <c r="K1131" s="22"/>
      <c r="L1131" s="22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19"/>
      <c r="AH1131" s="5"/>
      <c r="AI1131" s="5"/>
      <c r="AJ1131" s="5"/>
      <c r="AK1131" s="5"/>
    </row>
    <row r="1132" spans="1:37" x14ac:dyDescent="0.25">
      <c r="A1132" s="182"/>
      <c r="B1132" s="6"/>
      <c r="C1132" s="6"/>
      <c r="D1132" s="15"/>
      <c r="E1132" s="22"/>
      <c r="F1132" s="22"/>
      <c r="G1132" s="22"/>
      <c r="I1132" s="5"/>
      <c r="J1132" s="5"/>
      <c r="K1132" s="22"/>
      <c r="L1132" s="22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19"/>
      <c r="AH1132" s="5"/>
      <c r="AI1132" s="5"/>
      <c r="AJ1132" s="5"/>
      <c r="AK1132" s="5"/>
    </row>
    <row r="1133" spans="1:37" x14ac:dyDescent="0.25">
      <c r="A1133" s="182"/>
      <c r="B1133" s="6"/>
      <c r="C1133" s="6"/>
      <c r="D1133" s="15"/>
      <c r="E1133" s="22"/>
      <c r="F1133" s="22"/>
      <c r="G1133" s="22"/>
      <c r="I1133" s="5"/>
      <c r="J1133" s="5"/>
      <c r="K1133" s="22"/>
      <c r="L1133" s="22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19"/>
      <c r="AH1133" s="5"/>
      <c r="AI1133" s="5"/>
      <c r="AJ1133" s="5"/>
      <c r="AK1133" s="5"/>
    </row>
    <row r="1134" spans="1:37" x14ac:dyDescent="0.25">
      <c r="A1134" s="182"/>
      <c r="B1134" s="6"/>
      <c r="C1134" s="6"/>
      <c r="D1134" s="15"/>
      <c r="E1134" s="22"/>
      <c r="F1134" s="22"/>
      <c r="G1134" s="22"/>
      <c r="I1134" s="5"/>
      <c r="J1134" s="5"/>
      <c r="K1134" s="22"/>
      <c r="L1134" s="22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19"/>
      <c r="AH1134" s="5"/>
      <c r="AI1134" s="5"/>
      <c r="AJ1134" s="5"/>
      <c r="AK1134" s="5"/>
    </row>
    <row r="1135" spans="1:37" x14ac:dyDescent="0.25">
      <c r="A1135" s="182"/>
      <c r="B1135" s="6"/>
      <c r="C1135" s="6"/>
      <c r="D1135" s="15"/>
      <c r="E1135" s="22"/>
      <c r="F1135" s="22"/>
      <c r="G1135" s="22"/>
      <c r="I1135" s="5"/>
      <c r="J1135" s="5"/>
      <c r="K1135" s="22"/>
      <c r="L1135" s="22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19"/>
      <c r="AH1135" s="5"/>
      <c r="AI1135" s="5"/>
      <c r="AJ1135" s="5"/>
      <c r="AK1135" s="5"/>
    </row>
    <row r="1136" spans="1:37" x14ac:dyDescent="0.25">
      <c r="A1136" s="182"/>
      <c r="B1136" s="6"/>
      <c r="C1136" s="6"/>
      <c r="D1136" s="15"/>
      <c r="E1136" s="22"/>
      <c r="F1136" s="22"/>
      <c r="G1136" s="22"/>
      <c r="I1136" s="5"/>
      <c r="J1136" s="5"/>
      <c r="K1136" s="22"/>
      <c r="L1136" s="22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19"/>
      <c r="AH1136" s="5"/>
      <c r="AI1136" s="5"/>
      <c r="AJ1136" s="5"/>
      <c r="AK1136" s="5"/>
    </row>
    <row r="1137" spans="1:37" x14ac:dyDescent="0.25">
      <c r="A1137" s="182"/>
      <c r="B1137" s="6"/>
      <c r="C1137" s="6"/>
      <c r="D1137" s="15"/>
      <c r="E1137" s="22"/>
      <c r="F1137" s="22"/>
      <c r="G1137" s="22"/>
      <c r="I1137" s="5"/>
      <c r="J1137" s="5"/>
      <c r="K1137" s="22"/>
      <c r="L1137" s="22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19"/>
      <c r="AH1137" s="5"/>
      <c r="AI1137" s="5"/>
      <c r="AJ1137" s="5"/>
      <c r="AK1137" s="5"/>
    </row>
    <row r="1138" spans="1:37" x14ac:dyDescent="0.25">
      <c r="A1138" s="182"/>
      <c r="B1138" s="6"/>
      <c r="C1138" s="6"/>
      <c r="D1138" s="15"/>
      <c r="E1138" s="22"/>
      <c r="F1138" s="22"/>
      <c r="G1138" s="22"/>
      <c r="I1138" s="5"/>
      <c r="J1138" s="5"/>
      <c r="K1138" s="22"/>
      <c r="L1138" s="22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19"/>
      <c r="AH1138" s="5"/>
      <c r="AI1138" s="5"/>
      <c r="AJ1138" s="5"/>
      <c r="AK1138" s="5"/>
    </row>
    <row r="1139" spans="1:37" x14ac:dyDescent="0.25">
      <c r="A1139" s="182"/>
      <c r="B1139" s="6"/>
      <c r="C1139" s="6"/>
      <c r="D1139" s="15"/>
      <c r="E1139" s="22"/>
      <c r="F1139" s="22"/>
      <c r="G1139" s="22"/>
      <c r="I1139" s="5"/>
      <c r="J1139" s="5"/>
      <c r="K1139" s="22"/>
      <c r="L1139" s="22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19"/>
      <c r="AH1139" s="5"/>
      <c r="AI1139" s="5"/>
      <c r="AJ1139" s="5"/>
      <c r="AK1139" s="5"/>
    </row>
    <row r="1140" spans="1:37" x14ac:dyDescent="0.25">
      <c r="A1140" s="182"/>
      <c r="B1140" s="6"/>
      <c r="C1140" s="6"/>
      <c r="D1140" s="15"/>
      <c r="E1140" s="22"/>
      <c r="F1140" s="22"/>
      <c r="G1140" s="22"/>
      <c r="I1140" s="5"/>
      <c r="J1140" s="5"/>
      <c r="K1140" s="22"/>
      <c r="L1140" s="22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19"/>
      <c r="AH1140" s="5"/>
      <c r="AI1140" s="5"/>
      <c r="AJ1140" s="5"/>
      <c r="AK1140" s="5"/>
    </row>
    <row r="1141" spans="1:37" x14ac:dyDescent="0.25">
      <c r="A1141" s="182"/>
      <c r="B1141" s="6"/>
      <c r="C1141" s="6"/>
      <c r="D1141" s="15"/>
      <c r="E1141" s="22"/>
      <c r="F1141" s="22"/>
      <c r="G1141" s="22"/>
      <c r="I1141" s="5"/>
      <c r="J1141" s="5"/>
      <c r="K1141" s="22"/>
      <c r="L1141" s="22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19"/>
      <c r="AH1141" s="5"/>
      <c r="AI1141" s="5"/>
      <c r="AJ1141" s="5"/>
      <c r="AK1141" s="5"/>
    </row>
    <row r="1142" spans="1:37" x14ac:dyDescent="0.25">
      <c r="A1142" s="182"/>
      <c r="B1142" s="6"/>
      <c r="C1142" s="6"/>
      <c r="D1142" s="15"/>
      <c r="E1142" s="22"/>
      <c r="F1142" s="22"/>
      <c r="G1142" s="22"/>
      <c r="I1142" s="5"/>
      <c r="J1142" s="5"/>
      <c r="K1142" s="22"/>
      <c r="L1142" s="22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19"/>
      <c r="AH1142" s="5"/>
      <c r="AI1142" s="5"/>
      <c r="AJ1142" s="5"/>
      <c r="AK1142" s="5"/>
    </row>
    <row r="1143" spans="1:37" x14ac:dyDescent="0.25">
      <c r="A1143" s="182"/>
      <c r="B1143" s="6"/>
      <c r="C1143" s="6"/>
      <c r="D1143" s="15"/>
      <c r="E1143" s="22"/>
      <c r="F1143" s="22"/>
      <c r="G1143" s="22"/>
      <c r="I1143" s="5"/>
      <c r="J1143" s="5"/>
      <c r="K1143" s="22"/>
      <c r="L1143" s="22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19"/>
      <c r="AH1143" s="5"/>
      <c r="AI1143" s="5"/>
      <c r="AJ1143" s="5"/>
      <c r="AK1143" s="5"/>
    </row>
    <row r="1144" spans="1:37" x14ac:dyDescent="0.25">
      <c r="A1144" s="182"/>
      <c r="B1144" s="6"/>
      <c r="C1144" s="6"/>
      <c r="D1144" s="15"/>
      <c r="E1144" s="22"/>
      <c r="F1144" s="22"/>
      <c r="G1144" s="22"/>
      <c r="I1144" s="5"/>
      <c r="J1144" s="5"/>
      <c r="K1144" s="22"/>
      <c r="L1144" s="22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19"/>
      <c r="AH1144" s="5"/>
      <c r="AI1144" s="5"/>
      <c r="AJ1144" s="5"/>
      <c r="AK1144" s="5"/>
    </row>
    <row r="1145" spans="1:37" x14ac:dyDescent="0.25">
      <c r="A1145" s="182"/>
      <c r="B1145" s="6"/>
      <c r="C1145" s="6"/>
      <c r="D1145" s="15"/>
      <c r="E1145" s="22"/>
      <c r="F1145" s="22"/>
      <c r="G1145" s="22"/>
      <c r="I1145" s="5"/>
      <c r="J1145" s="5"/>
      <c r="K1145" s="22"/>
      <c r="L1145" s="22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19"/>
      <c r="AH1145" s="5"/>
      <c r="AI1145" s="5"/>
      <c r="AJ1145" s="5"/>
      <c r="AK1145" s="5"/>
    </row>
    <row r="1146" spans="1:37" x14ac:dyDescent="0.25">
      <c r="A1146" s="182"/>
      <c r="B1146" s="6"/>
      <c r="C1146" s="6"/>
      <c r="D1146" s="15"/>
      <c r="E1146" s="22"/>
      <c r="F1146" s="22"/>
      <c r="G1146" s="22"/>
      <c r="I1146" s="5"/>
      <c r="J1146" s="5"/>
      <c r="K1146" s="22"/>
      <c r="L1146" s="22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19"/>
      <c r="AH1146" s="5"/>
      <c r="AI1146" s="5"/>
      <c r="AJ1146" s="5"/>
      <c r="AK1146" s="5"/>
    </row>
    <row r="1147" spans="1:37" x14ac:dyDescent="0.25">
      <c r="A1147" s="182"/>
      <c r="B1147" s="6"/>
      <c r="C1147" s="6"/>
      <c r="D1147" s="15"/>
      <c r="E1147" s="22"/>
      <c r="F1147" s="22"/>
      <c r="G1147" s="22"/>
      <c r="I1147" s="5"/>
      <c r="J1147" s="5"/>
      <c r="K1147" s="22"/>
      <c r="L1147" s="22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19"/>
      <c r="AH1147" s="5"/>
      <c r="AI1147" s="5"/>
      <c r="AJ1147" s="5"/>
      <c r="AK1147" s="5"/>
    </row>
    <row r="1148" spans="1:37" x14ac:dyDescent="0.25">
      <c r="A1148" s="182"/>
      <c r="B1148" s="6"/>
      <c r="C1148" s="6"/>
      <c r="D1148" s="15"/>
      <c r="E1148" s="22"/>
      <c r="F1148" s="22"/>
      <c r="G1148" s="22"/>
      <c r="I1148" s="5"/>
      <c r="J1148" s="5"/>
      <c r="K1148" s="22"/>
      <c r="L1148" s="22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19"/>
      <c r="AH1148" s="5"/>
      <c r="AI1148" s="5"/>
      <c r="AJ1148" s="5"/>
      <c r="AK1148" s="5"/>
    </row>
    <row r="1149" spans="1:37" x14ac:dyDescent="0.25">
      <c r="A1149" s="182"/>
      <c r="B1149" s="6"/>
      <c r="C1149" s="6"/>
      <c r="D1149" s="15"/>
      <c r="E1149" s="22"/>
      <c r="F1149" s="22"/>
      <c r="G1149" s="22"/>
      <c r="I1149" s="5"/>
      <c r="J1149" s="5"/>
      <c r="K1149" s="22"/>
      <c r="L1149" s="22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19"/>
      <c r="AH1149" s="5"/>
      <c r="AI1149" s="5"/>
      <c r="AJ1149" s="5"/>
      <c r="AK1149" s="5"/>
    </row>
    <row r="1150" spans="1:37" x14ac:dyDescent="0.25">
      <c r="A1150" s="182"/>
      <c r="B1150" s="6"/>
      <c r="C1150" s="6"/>
      <c r="D1150" s="15"/>
      <c r="E1150" s="22"/>
      <c r="F1150" s="22"/>
      <c r="G1150" s="22"/>
      <c r="I1150" s="5"/>
      <c r="J1150" s="5"/>
      <c r="K1150" s="22"/>
      <c r="L1150" s="22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19"/>
      <c r="AH1150" s="5"/>
      <c r="AI1150" s="5"/>
      <c r="AJ1150" s="5"/>
      <c r="AK1150" s="5"/>
    </row>
    <row r="1151" spans="1:37" x14ac:dyDescent="0.25">
      <c r="A1151" s="182"/>
      <c r="B1151" s="6"/>
      <c r="C1151" s="6"/>
      <c r="D1151" s="15"/>
      <c r="E1151" s="22"/>
      <c r="F1151" s="22"/>
      <c r="G1151" s="22"/>
      <c r="I1151" s="5"/>
      <c r="J1151" s="5"/>
      <c r="K1151" s="22"/>
      <c r="L1151" s="22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19"/>
      <c r="AH1151" s="5"/>
      <c r="AI1151" s="5"/>
      <c r="AJ1151" s="5"/>
      <c r="AK1151" s="5"/>
    </row>
    <row r="1152" spans="1:37" x14ac:dyDescent="0.25">
      <c r="A1152" s="182"/>
      <c r="B1152" s="6"/>
      <c r="C1152" s="6"/>
      <c r="D1152" s="15"/>
      <c r="E1152" s="22"/>
      <c r="F1152" s="22"/>
      <c r="G1152" s="22"/>
      <c r="I1152" s="5"/>
      <c r="J1152" s="5"/>
      <c r="K1152" s="22"/>
      <c r="L1152" s="22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19"/>
      <c r="AH1152" s="5"/>
      <c r="AI1152" s="5"/>
      <c r="AJ1152" s="5"/>
      <c r="AK1152" s="5"/>
    </row>
    <row r="1153" spans="1:37" x14ac:dyDescent="0.25">
      <c r="A1153" s="182"/>
      <c r="B1153" s="6"/>
      <c r="C1153" s="6"/>
      <c r="D1153" s="15"/>
      <c r="E1153" s="22"/>
      <c r="F1153" s="22"/>
      <c r="G1153" s="22"/>
      <c r="I1153" s="5"/>
      <c r="J1153" s="5"/>
      <c r="K1153" s="22"/>
      <c r="L1153" s="22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19"/>
      <c r="AH1153" s="5"/>
      <c r="AI1153" s="5"/>
      <c r="AJ1153" s="5"/>
      <c r="AK1153" s="5"/>
    </row>
    <row r="1154" spans="1:37" x14ac:dyDescent="0.25">
      <c r="A1154" s="182"/>
      <c r="B1154" s="6"/>
      <c r="C1154" s="6"/>
      <c r="D1154" s="15"/>
      <c r="E1154" s="22"/>
      <c r="F1154" s="22"/>
      <c r="G1154" s="22"/>
      <c r="I1154" s="5"/>
      <c r="J1154" s="5"/>
      <c r="K1154" s="22"/>
      <c r="L1154" s="22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19"/>
      <c r="AH1154" s="5"/>
      <c r="AI1154" s="5"/>
      <c r="AJ1154" s="5"/>
      <c r="AK1154" s="5"/>
    </row>
    <row r="1155" spans="1:37" x14ac:dyDescent="0.25">
      <c r="A1155" s="182"/>
      <c r="B1155" s="6"/>
      <c r="C1155" s="6"/>
      <c r="D1155" s="15"/>
      <c r="E1155" s="22"/>
      <c r="F1155" s="22"/>
      <c r="G1155" s="22"/>
      <c r="I1155" s="5"/>
      <c r="J1155" s="5"/>
      <c r="K1155" s="22"/>
      <c r="L1155" s="22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19"/>
      <c r="AH1155" s="5"/>
      <c r="AI1155" s="5"/>
      <c r="AJ1155" s="5"/>
      <c r="AK1155" s="5"/>
    </row>
    <row r="1156" spans="1:37" x14ac:dyDescent="0.25">
      <c r="A1156" s="182"/>
      <c r="B1156" s="6"/>
      <c r="C1156" s="6"/>
      <c r="D1156" s="15"/>
      <c r="E1156" s="22"/>
      <c r="F1156" s="22"/>
      <c r="G1156" s="22"/>
      <c r="I1156" s="5"/>
      <c r="J1156" s="5"/>
      <c r="K1156" s="22"/>
      <c r="L1156" s="22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19"/>
      <c r="AH1156" s="5"/>
      <c r="AI1156" s="5"/>
      <c r="AJ1156" s="5"/>
      <c r="AK1156" s="5"/>
    </row>
    <row r="1157" spans="1:37" x14ac:dyDescent="0.25">
      <c r="A1157" s="182"/>
      <c r="B1157" s="6"/>
      <c r="C1157" s="6"/>
      <c r="D1157" s="15"/>
      <c r="E1157" s="22"/>
      <c r="F1157" s="22"/>
      <c r="G1157" s="22"/>
      <c r="I1157" s="5"/>
      <c r="J1157" s="5"/>
      <c r="K1157" s="22"/>
      <c r="L1157" s="22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19"/>
      <c r="AH1157" s="5"/>
      <c r="AI1157" s="5"/>
      <c r="AJ1157" s="5"/>
      <c r="AK1157" s="5"/>
    </row>
    <row r="1158" spans="1:37" x14ac:dyDescent="0.25">
      <c r="A1158" s="182"/>
      <c r="B1158" s="6"/>
      <c r="C1158" s="6"/>
      <c r="D1158" s="15"/>
      <c r="E1158" s="22"/>
      <c r="F1158" s="22"/>
      <c r="G1158" s="22"/>
      <c r="I1158" s="5"/>
      <c r="J1158" s="5"/>
      <c r="K1158" s="22"/>
      <c r="L1158" s="22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19"/>
      <c r="AH1158" s="5"/>
      <c r="AI1158" s="5"/>
      <c r="AJ1158" s="5"/>
      <c r="AK1158" s="5"/>
    </row>
    <row r="1159" spans="1:37" x14ac:dyDescent="0.25">
      <c r="A1159" s="182"/>
      <c r="B1159" s="6"/>
      <c r="C1159" s="6"/>
      <c r="D1159" s="15"/>
      <c r="E1159" s="22"/>
      <c r="F1159" s="22"/>
      <c r="G1159" s="22"/>
      <c r="I1159" s="5"/>
      <c r="J1159" s="5"/>
      <c r="K1159" s="22"/>
      <c r="L1159" s="22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19"/>
      <c r="AH1159" s="5"/>
      <c r="AI1159" s="5"/>
      <c r="AJ1159" s="5"/>
      <c r="AK1159" s="5"/>
    </row>
    <row r="1160" spans="1:37" x14ac:dyDescent="0.25">
      <c r="A1160" s="182"/>
      <c r="B1160" s="6"/>
      <c r="C1160" s="6"/>
      <c r="D1160" s="15"/>
      <c r="E1160" s="22"/>
      <c r="F1160" s="22"/>
      <c r="G1160" s="22"/>
      <c r="I1160" s="5"/>
      <c r="J1160" s="5"/>
      <c r="K1160" s="22"/>
      <c r="L1160" s="22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19"/>
      <c r="AH1160" s="5"/>
      <c r="AI1160" s="5"/>
      <c r="AJ1160" s="5"/>
      <c r="AK1160" s="5"/>
    </row>
    <row r="1161" spans="1:37" x14ac:dyDescent="0.25">
      <c r="A1161" s="182"/>
      <c r="B1161" s="6"/>
      <c r="C1161" s="6"/>
      <c r="D1161" s="15"/>
      <c r="E1161" s="22"/>
      <c r="F1161" s="22"/>
      <c r="G1161" s="22"/>
      <c r="I1161" s="5"/>
      <c r="J1161" s="5"/>
      <c r="K1161" s="22"/>
      <c r="L1161" s="22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19"/>
      <c r="AH1161" s="5"/>
      <c r="AI1161" s="5"/>
      <c r="AJ1161" s="5"/>
      <c r="AK1161" s="5"/>
    </row>
    <row r="1162" spans="1:37" x14ac:dyDescent="0.25">
      <c r="A1162" s="182"/>
      <c r="B1162" s="6"/>
      <c r="C1162" s="6"/>
      <c r="D1162" s="15"/>
      <c r="E1162" s="22"/>
      <c r="F1162" s="22"/>
      <c r="G1162" s="22"/>
      <c r="I1162" s="5"/>
      <c r="J1162" s="5"/>
      <c r="K1162" s="22"/>
      <c r="L1162" s="22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19"/>
      <c r="AH1162" s="5"/>
      <c r="AI1162" s="5"/>
      <c r="AJ1162" s="5"/>
      <c r="AK1162" s="5"/>
    </row>
    <row r="1163" spans="1:37" x14ac:dyDescent="0.25">
      <c r="A1163" s="182"/>
      <c r="B1163" s="6"/>
      <c r="C1163" s="6"/>
      <c r="D1163" s="15"/>
      <c r="E1163" s="22"/>
      <c r="F1163" s="22"/>
      <c r="G1163" s="22"/>
      <c r="I1163" s="5"/>
      <c r="J1163" s="5"/>
      <c r="K1163" s="22"/>
      <c r="L1163" s="22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19"/>
      <c r="AH1163" s="5"/>
      <c r="AI1163" s="5"/>
      <c r="AJ1163" s="5"/>
      <c r="AK1163" s="5"/>
    </row>
    <row r="1164" spans="1:37" x14ac:dyDescent="0.25">
      <c r="A1164" s="182"/>
      <c r="B1164" s="6"/>
      <c r="C1164" s="6"/>
      <c r="D1164" s="15"/>
      <c r="E1164" s="22"/>
      <c r="F1164" s="22"/>
      <c r="G1164" s="22"/>
      <c r="I1164" s="5"/>
      <c r="J1164" s="5"/>
      <c r="K1164" s="22"/>
      <c r="L1164" s="22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19"/>
      <c r="AH1164" s="5"/>
      <c r="AI1164" s="5"/>
      <c r="AJ1164" s="5"/>
      <c r="AK1164" s="5"/>
    </row>
    <row r="1165" spans="1:37" x14ac:dyDescent="0.25">
      <c r="A1165" s="182"/>
      <c r="B1165" s="6"/>
      <c r="C1165" s="6"/>
      <c r="D1165" s="15"/>
      <c r="E1165" s="22"/>
      <c r="F1165" s="22"/>
      <c r="G1165" s="22"/>
      <c r="I1165" s="5"/>
      <c r="J1165" s="5"/>
      <c r="K1165" s="22"/>
      <c r="L1165" s="22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19"/>
      <c r="AH1165" s="5"/>
      <c r="AI1165" s="5"/>
      <c r="AJ1165" s="5"/>
      <c r="AK1165" s="5"/>
    </row>
    <row r="1166" spans="1:37" x14ac:dyDescent="0.25">
      <c r="A1166" s="182"/>
      <c r="B1166" s="6"/>
      <c r="C1166" s="6"/>
      <c r="D1166" s="15"/>
      <c r="E1166" s="22"/>
      <c r="F1166" s="22"/>
      <c r="G1166" s="22"/>
      <c r="I1166" s="5"/>
      <c r="J1166" s="5"/>
      <c r="K1166" s="22"/>
      <c r="L1166" s="22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19"/>
      <c r="AH1166" s="5"/>
      <c r="AI1166" s="5"/>
      <c r="AJ1166" s="5"/>
      <c r="AK1166" s="5"/>
    </row>
    <row r="1167" spans="1:37" x14ac:dyDescent="0.25">
      <c r="A1167" s="182"/>
      <c r="B1167" s="6"/>
      <c r="C1167" s="6"/>
      <c r="D1167" s="15"/>
      <c r="E1167" s="22"/>
      <c r="F1167" s="22"/>
      <c r="G1167" s="22"/>
      <c r="I1167" s="5"/>
      <c r="J1167" s="5"/>
      <c r="K1167" s="22"/>
      <c r="L1167" s="22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19"/>
      <c r="AH1167" s="5"/>
      <c r="AI1167" s="5"/>
      <c r="AJ1167" s="5"/>
      <c r="AK1167" s="5"/>
    </row>
    <row r="1168" spans="1:37" x14ac:dyDescent="0.25">
      <c r="A1168" s="182"/>
      <c r="B1168" s="6"/>
      <c r="C1168" s="6"/>
      <c r="D1168" s="15"/>
      <c r="E1168" s="22"/>
      <c r="F1168" s="22"/>
      <c r="G1168" s="22"/>
      <c r="I1168" s="5"/>
      <c r="J1168" s="5"/>
      <c r="K1168" s="22"/>
      <c r="L1168" s="22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19"/>
      <c r="AH1168" s="5"/>
      <c r="AI1168" s="5"/>
      <c r="AJ1168" s="5"/>
      <c r="AK1168" s="5"/>
    </row>
    <row r="1169" spans="1:37" x14ac:dyDescent="0.25">
      <c r="A1169" s="182"/>
      <c r="B1169" s="6"/>
      <c r="C1169" s="6"/>
      <c r="D1169" s="15"/>
      <c r="E1169" s="22"/>
      <c r="F1169" s="22"/>
      <c r="G1169" s="22"/>
      <c r="I1169" s="5"/>
      <c r="J1169" s="5"/>
      <c r="K1169" s="22"/>
      <c r="L1169" s="22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19"/>
      <c r="AH1169" s="5"/>
      <c r="AI1169" s="5"/>
      <c r="AJ1169" s="5"/>
      <c r="AK1169" s="5"/>
    </row>
    <row r="1170" spans="1:37" x14ac:dyDescent="0.25">
      <c r="A1170" s="182"/>
      <c r="B1170" s="6"/>
      <c r="C1170" s="6"/>
      <c r="D1170" s="15"/>
      <c r="E1170" s="22"/>
      <c r="F1170" s="22"/>
      <c r="G1170" s="22"/>
      <c r="I1170" s="5"/>
      <c r="J1170" s="5"/>
      <c r="K1170" s="22"/>
      <c r="L1170" s="22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19"/>
      <c r="AH1170" s="5"/>
      <c r="AI1170" s="5"/>
      <c r="AJ1170" s="5"/>
      <c r="AK1170" s="5"/>
    </row>
    <row r="1171" spans="1:37" x14ac:dyDescent="0.25">
      <c r="A1171" s="182"/>
      <c r="B1171" s="6"/>
      <c r="C1171" s="6"/>
      <c r="D1171" s="15"/>
      <c r="E1171" s="22"/>
      <c r="F1171" s="22"/>
      <c r="G1171" s="22"/>
      <c r="I1171" s="5"/>
      <c r="J1171" s="5"/>
      <c r="K1171" s="22"/>
      <c r="L1171" s="22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19"/>
      <c r="AH1171" s="5"/>
      <c r="AI1171" s="5"/>
      <c r="AJ1171" s="5"/>
      <c r="AK1171" s="5"/>
    </row>
    <row r="1172" spans="1:37" x14ac:dyDescent="0.25">
      <c r="A1172" s="182"/>
      <c r="B1172" s="6"/>
      <c r="C1172" s="6"/>
      <c r="D1172" s="15"/>
      <c r="E1172" s="22"/>
      <c r="F1172" s="22"/>
      <c r="G1172" s="22"/>
      <c r="I1172" s="5"/>
      <c r="J1172" s="5"/>
      <c r="K1172" s="22"/>
      <c r="L1172" s="22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19"/>
      <c r="AH1172" s="5"/>
      <c r="AI1172" s="5"/>
      <c r="AJ1172" s="5"/>
      <c r="AK1172" s="5"/>
    </row>
    <row r="1173" spans="1:37" x14ac:dyDescent="0.25">
      <c r="A1173" s="182"/>
      <c r="B1173" s="6"/>
      <c r="C1173" s="6"/>
      <c r="D1173" s="15"/>
      <c r="E1173" s="22"/>
      <c r="F1173" s="22"/>
      <c r="G1173" s="22"/>
      <c r="I1173" s="5"/>
      <c r="J1173" s="5"/>
      <c r="K1173" s="22"/>
      <c r="L1173" s="22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19"/>
      <c r="AH1173" s="5"/>
      <c r="AI1173" s="5"/>
      <c r="AJ1173" s="5"/>
      <c r="AK1173" s="5"/>
    </row>
    <row r="1174" spans="1:37" x14ac:dyDescent="0.25">
      <c r="A1174" s="182"/>
      <c r="B1174" s="6"/>
      <c r="C1174" s="6"/>
      <c r="D1174" s="15"/>
      <c r="E1174" s="22"/>
      <c r="F1174" s="22"/>
      <c r="G1174" s="22"/>
      <c r="I1174" s="5"/>
      <c r="J1174" s="5"/>
      <c r="K1174" s="22"/>
      <c r="L1174" s="22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19"/>
      <c r="AH1174" s="5"/>
      <c r="AI1174" s="5"/>
      <c r="AJ1174" s="5"/>
      <c r="AK1174" s="5"/>
    </row>
    <row r="1175" spans="1:37" x14ac:dyDescent="0.25">
      <c r="A1175" s="182"/>
      <c r="B1175" s="6"/>
      <c r="C1175" s="6"/>
      <c r="D1175" s="15"/>
      <c r="E1175" s="22"/>
      <c r="F1175" s="22"/>
      <c r="G1175" s="22"/>
      <c r="I1175" s="5"/>
      <c r="J1175" s="5"/>
      <c r="K1175" s="22"/>
      <c r="L1175" s="22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19"/>
      <c r="AH1175" s="5"/>
      <c r="AI1175" s="5"/>
      <c r="AJ1175" s="5"/>
      <c r="AK1175" s="5"/>
    </row>
    <row r="1176" spans="1:37" x14ac:dyDescent="0.25">
      <c r="A1176" s="182"/>
      <c r="B1176" s="6"/>
      <c r="C1176" s="6"/>
      <c r="D1176" s="15"/>
      <c r="E1176" s="22"/>
      <c r="F1176" s="22"/>
      <c r="G1176" s="22"/>
      <c r="I1176" s="5"/>
      <c r="J1176" s="5"/>
      <c r="K1176" s="22"/>
      <c r="L1176" s="22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19"/>
      <c r="AH1176" s="5"/>
      <c r="AI1176" s="5"/>
      <c r="AJ1176" s="5"/>
      <c r="AK1176" s="5"/>
    </row>
    <row r="1177" spans="1:37" x14ac:dyDescent="0.25">
      <c r="A1177" s="182"/>
      <c r="B1177" s="6"/>
      <c r="C1177" s="6"/>
      <c r="D1177" s="15"/>
      <c r="E1177" s="22"/>
      <c r="F1177" s="22"/>
      <c r="G1177" s="22"/>
      <c r="I1177" s="5"/>
      <c r="J1177" s="5"/>
      <c r="K1177" s="22"/>
      <c r="L1177" s="22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19"/>
      <c r="AH1177" s="5"/>
      <c r="AI1177" s="5"/>
      <c r="AJ1177" s="5"/>
      <c r="AK1177" s="5"/>
    </row>
    <row r="1178" spans="1:37" x14ac:dyDescent="0.25">
      <c r="A1178" s="182"/>
      <c r="B1178" s="6"/>
      <c r="C1178" s="6"/>
      <c r="D1178" s="15"/>
      <c r="E1178" s="22"/>
      <c r="F1178" s="22"/>
      <c r="G1178" s="22"/>
      <c r="I1178" s="5"/>
      <c r="J1178" s="5"/>
      <c r="K1178" s="22"/>
      <c r="L1178" s="22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19"/>
      <c r="AH1178" s="5"/>
      <c r="AI1178" s="5"/>
      <c r="AJ1178" s="5"/>
      <c r="AK1178" s="5"/>
    </row>
    <row r="1179" spans="1:37" x14ac:dyDescent="0.25">
      <c r="A1179" s="182"/>
      <c r="B1179" s="6"/>
      <c r="C1179" s="6"/>
      <c r="D1179" s="15"/>
      <c r="E1179" s="22"/>
      <c r="F1179" s="22"/>
      <c r="G1179" s="22"/>
      <c r="I1179" s="5"/>
      <c r="J1179" s="5"/>
      <c r="K1179" s="22"/>
      <c r="L1179" s="22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19"/>
      <c r="AH1179" s="5"/>
      <c r="AI1179" s="5"/>
      <c r="AJ1179" s="5"/>
      <c r="AK1179" s="5"/>
    </row>
    <row r="1180" spans="1:37" x14ac:dyDescent="0.25">
      <c r="A1180" s="182"/>
      <c r="B1180" s="6"/>
      <c r="C1180" s="6"/>
      <c r="D1180" s="15"/>
      <c r="E1180" s="22"/>
      <c r="F1180" s="22"/>
      <c r="G1180" s="22"/>
      <c r="I1180" s="5"/>
      <c r="J1180" s="5"/>
      <c r="K1180" s="22"/>
      <c r="L1180" s="22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19"/>
      <c r="AH1180" s="5"/>
      <c r="AI1180" s="5"/>
      <c r="AJ1180" s="5"/>
      <c r="AK1180" s="5"/>
    </row>
    <row r="1181" spans="1:37" x14ac:dyDescent="0.25">
      <c r="A1181" s="182"/>
      <c r="B1181" s="6"/>
      <c r="C1181" s="6"/>
      <c r="D1181" s="15"/>
      <c r="E1181" s="22"/>
      <c r="F1181" s="22"/>
      <c r="G1181" s="22"/>
      <c r="I1181" s="5"/>
      <c r="J1181" s="5"/>
      <c r="K1181" s="22"/>
      <c r="L1181" s="22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19"/>
      <c r="AH1181" s="5"/>
      <c r="AI1181" s="5"/>
      <c r="AJ1181" s="5"/>
      <c r="AK1181" s="5"/>
    </row>
    <row r="1182" spans="1:37" x14ac:dyDescent="0.25">
      <c r="A1182" s="182"/>
      <c r="B1182" s="6"/>
      <c r="C1182" s="6"/>
      <c r="D1182" s="15"/>
      <c r="E1182" s="22"/>
      <c r="F1182" s="22"/>
      <c r="G1182" s="22"/>
      <c r="I1182" s="5"/>
      <c r="J1182" s="5"/>
      <c r="K1182" s="22"/>
      <c r="L1182" s="22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19"/>
      <c r="AH1182" s="5"/>
      <c r="AI1182" s="5"/>
      <c r="AJ1182" s="5"/>
      <c r="AK1182" s="5"/>
    </row>
    <row r="1183" spans="1:37" x14ac:dyDescent="0.25">
      <c r="A1183" s="182"/>
      <c r="B1183" s="6"/>
      <c r="C1183" s="6"/>
      <c r="D1183" s="15"/>
      <c r="E1183" s="22"/>
      <c r="F1183" s="22"/>
      <c r="G1183" s="22"/>
      <c r="I1183" s="5"/>
      <c r="J1183" s="5"/>
      <c r="K1183" s="22"/>
      <c r="L1183" s="22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19"/>
      <c r="AH1183" s="5"/>
      <c r="AI1183" s="5"/>
      <c r="AJ1183" s="5"/>
      <c r="AK1183" s="5"/>
    </row>
    <row r="1184" spans="1:37" x14ac:dyDescent="0.25">
      <c r="A1184" s="182"/>
      <c r="B1184" s="6"/>
      <c r="C1184" s="6"/>
      <c r="D1184" s="15"/>
      <c r="E1184" s="22"/>
      <c r="F1184" s="22"/>
      <c r="G1184" s="22"/>
      <c r="I1184" s="5"/>
      <c r="J1184" s="5"/>
      <c r="K1184" s="22"/>
      <c r="L1184" s="22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19"/>
      <c r="AH1184" s="5"/>
      <c r="AI1184" s="5"/>
      <c r="AJ1184" s="5"/>
      <c r="AK1184" s="5"/>
    </row>
    <row r="1185" spans="1:37" x14ac:dyDescent="0.25">
      <c r="A1185" s="182"/>
      <c r="B1185" s="6"/>
      <c r="C1185" s="6"/>
      <c r="D1185" s="15"/>
      <c r="E1185" s="22"/>
      <c r="F1185" s="22"/>
      <c r="G1185" s="22"/>
      <c r="I1185" s="5"/>
      <c r="J1185" s="5"/>
      <c r="K1185" s="22"/>
      <c r="L1185" s="22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19"/>
      <c r="AH1185" s="5"/>
      <c r="AI1185" s="5"/>
      <c r="AJ1185" s="5"/>
      <c r="AK1185" s="5"/>
    </row>
    <row r="1186" spans="1:37" x14ac:dyDescent="0.25">
      <c r="A1186" s="182"/>
      <c r="B1186" s="6"/>
      <c r="C1186" s="6"/>
      <c r="D1186" s="15"/>
      <c r="E1186" s="22"/>
      <c r="F1186" s="22"/>
      <c r="G1186" s="22"/>
      <c r="I1186" s="5"/>
      <c r="J1186" s="5"/>
      <c r="K1186" s="22"/>
      <c r="L1186" s="22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19"/>
      <c r="AH1186" s="5"/>
      <c r="AI1186" s="5"/>
      <c r="AJ1186" s="5"/>
      <c r="AK1186" s="5"/>
    </row>
    <row r="1187" spans="1:37" x14ac:dyDescent="0.25">
      <c r="A1187" s="182"/>
      <c r="B1187" s="6"/>
      <c r="C1187" s="6"/>
      <c r="D1187" s="15"/>
      <c r="E1187" s="22"/>
      <c r="F1187" s="22"/>
      <c r="G1187" s="22"/>
      <c r="I1187" s="5"/>
      <c r="J1187" s="5"/>
      <c r="K1187" s="22"/>
      <c r="L1187" s="22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19"/>
      <c r="AH1187" s="5"/>
      <c r="AI1187" s="5"/>
      <c r="AJ1187" s="5"/>
      <c r="AK1187" s="5"/>
    </row>
    <row r="1188" spans="1:37" x14ac:dyDescent="0.25">
      <c r="A1188" s="182"/>
      <c r="B1188" s="6"/>
      <c r="C1188" s="6"/>
      <c r="D1188" s="15"/>
      <c r="E1188" s="22"/>
      <c r="F1188" s="22"/>
      <c r="G1188" s="22"/>
      <c r="I1188" s="5"/>
      <c r="J1188" s="5"/>
      <c r="K1188" s="22"/>
      <c r="L1188" s="22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19"/>
      <c r="AH1188" s="5"/>
      <c r="AI1188" s="5"/>
      <c r="AJ1188" s="5"/>
      <c r="AK1188" s="5"/>
    </row>
    <row r="1189" spans="1:37" x14ac:dyDescent="0.25">
      <c r="A1189" s="182"/>
      <c r="B1189" s="6"/>
      <c r="C1189" s="6"/>
      <c r="D1189" s="15"/>
      <c r="E1189" s="22"/>
      <c r="F1189" s="22"/>
      <c r="G1189" s="22"/>
      <c r="I1189" s="5"/>
      <c r="J1189" s="5"/>
      <c r="K1189" s="22"/>
      <c r="L1189" s="22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19"/>
      <c r="AH1189" s="5"/>
      <c r="AI1189" s="5"/>
      <c r="AJ1189" s="5"/>
      <c r="AK1189" s="5"/>
    </row>
    <row r="1190" spans="1:37" x14ac:dyDescent="0.25">
      <c r="A1190" s="182"/>
      <c r="B1190" s="6"/>
      <c r="C1190" s="6"/>
      <c r="D1190" s="15"/>
      <c r="E1190" s="22"/>
      <c r="F1190" s="22"/>
      <c r="G1190" s="22"/>
      <c r="I1190" s="5"/>
      <c r="J1190" s="5"/>
      <c r="K1190" s="22"/>
      <c r="L1190" s="22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19"/>
      <c r="AH1190" s="5"/>
      <c r="AI1190" s="5"/>
      <c r="AJ1190" s="5"/>
      <c r="AK1190" s="5"/>
    </row>
    <row r="1191" spans="1:37" x14ac:dyDescent="0.25">
      <c r="A1191" s="182"/>
      <c r="B1191" s="6"/>
      <c r="C1191" s="6"/>
      <c r="D1191" s="15"/>
      <c r="E1191" s="22"/>
      <c r="F1191" s="22"/>
      <c r="G1191" s="22"/>
      <c r="I1191" s="5"/>
      <c r="J1191" s="5"/>
      <c r="K1191" s="22"/>
      <c r="L1191" s="22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19"/>
      <c r="AH1191" s="5"/>
      <c r="AI1191" s="5"/>
      <c r="AJ1191" s="5"/>
      <c r="AK1191" s="5"/>
    </row>
    <row r="1192" spans="1:37" x14ac:dyDescent="0.25">
      <c r="A1192" s="182"/>
      <c r="B1192" s="6"/>
      <c r="C1192" s="6"/>
      <c r="D1192" s="15"/>
      <c r="E1192" s="22"/>
      <c r="F1192" s="22"/>
      <c r="G1192" s="22"/>
      <c r="I1192" s="5"/>
      <c r="J1192" s="5"/>
      <c r="K1192" s="22"/>
      <c r="L1192" s="22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19"/>
      <c r="AH1192" s="5"/>
      <c r="AI1192" s="5"/>
      <c r="AJ1192" s="5"/>
      <c r="AK1192" s="5"/>
    </row>
    <row r="1193" spans="1:37" x14ac:dyDescent="0.25">
      <c r="A1193" s="182"/>
      <c r="B1193" s="6"/>
      <c r="C1193" s="6"/>
      <c r="D1193" s="15"/>
      <c r="E1193" s="22"/>
      <c r="F1193" s="22"/>
      <c r="G1193" s="22"/>
      <c r="I1193" s="5"/>
      <c r="J1193" s="5"/>
      <c r="K1193" s="22"/>
      <c r="L1193" s="22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19"/>
      <c r="AH1193" s="5"/>
      <c r="AI1193" s="5"/>
      <c r="AJ1193" s="5"/>
      <c r="AK1193" s="5"/>
    </row>
    <row r="1194" spans="1:37" x14ac:dyDescent="0.25">
      <c r="A1194" s="182"/>
      <c r="B1194" s="6"/>
      <c r="C1194" s="6"/>
      <c r="D1194" s="15"/>
      <c r="E1194" s="22"/>
      <c r="F1194" s="22"/>
      <c r="G1194" s="22"/>
      <c r="I1194" s="5"/>
      <c r="J1194" s="5"/>
      <c r="K1194" s="22"/>
      <c r="L1194" s="22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19"/>
      <c r="AH1194" s="5"/>
      <c r="AI1194" s="5"/>
      <c r="AJ1194" s="5"/>
      <c r="AK1194" s="5"/>
    </row>
    <row r="1195" spans="1:37" x14ac:dyDescent="0.25">
      <c r="A1195" s="182"/>
      <c r="B1195" s="6"/>
      <c r="C1195" s="6"/>
      <c r="D1195" s="15"/>
      <c r="E1195" s="22"/>
      <c r="F1195" s="22"/>
      <c r="G1195" s="22"/>
      <c r="I1195" s="5"/>
      <c r="J1195" s="5"/>
      <c r="K1195" s="22"/>
      <c r="L1195" s="22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19"/>
      <c r="AH1195" s="5"/>
      <c r="AI1195" s="5"/>
      <c r="AJ1195" s="5"/>
      <c r="AK1195" s="5"/>
    </row>
    <row r="1196" spans="1:37" x14ac:dyDescent="0.25">
      <c r="A1196" s="182"/>
      <c r="B1196" s="6"/>
      <c r="C1196" s="6"/>
      <c r="D1196" s="15"/>
      <c r="E1196" s="22"/>
      <c r="F1196" s="22"/>
      <c r="G1196" s="22"/>
      <c r="I1196" s="5"/>
      <c r="J1196" s="5"/>
      <c r="K1196" s="22"/>
      <c r="L1196" s="22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19"/>
      <c r="AH1196" s="5"/>
      <c r="AI1196" s="5"/>
      <c r="AJ1196" s="5"/>
      <c r="AK1196" s="5"/>
    </row>
    <row r="1197" spans="1:37" x14ac:dyDescent="0.25">
      <c r="A1197" s="182"/>
      <c r="B1197" s="6"/>
      <c r="C1197" s="6"/>
      <c r="D1197" s="15"/>
      <c r="E1197" s="22"/>
      <c r="F1197" s="22"/>
      <c r="G1197" s="22"/>
      <c r="I1197" s="5"/>
      <c r="J1197" s="5"/>
      <c r="K1197" s="22"/>
      <c r="L1197" s="22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19"/>
      <c r="AH1197" s="5"/>
      <c r="AI1197" s="5"/>
      <c r="AJ1197" s="5"/>
      <c r="AK1197" s="5"/>
    </row>
    <row r="1198" spans="1:37" x14ac:dyDescent="0.25">
      <c r="A1198" s="182"/>
      <c r="B1198" s="6"/>
      <c r="C1198" s="6"/>
      <c r="D1198" s="15"/>
      <c r="E1198" s="22"/>
      <c r="F1198" s="22"/>
      <c r="G1198" s="22"/>
      <c r="I1198" s="5"/>
      <c r="J1198" s="5"/>
      <c r="K1198" s="22"/>
      <c r="L1198" s="22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19"/>
      <c r="AH1198" s="5"/>
      <c r="AI1198" s="5"/>
      <c r="AJ1198" s="5"/>
      <c r="AK1198" s="5"/>
    </row>
    <row r="1199" spans="1:37" x14ac:dyDescent="0.25">
      <c r="A1199" s="182"/>
      <c r="B1199" s="6"/>
      <c r="C1199" s="6"/>
      <c r="D1199" s="15"/>
      <c r="E1199" s="22"/>
      <c r="F1199" s="22"/>
      <c r="G1199" s="22"/>
      <c r="I1199" s="5"/>
      <c r="J1199" s="5"/>
      <c r="K1199" s="22"/>
      <c r="L1199" s="22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19"/>
      <c r="AH1199" s="5"/>
      <c r="AI1199" s="5"/>
      <c r="AJ1199" s="5"/>
      <c r="AK1199" s="5"/>
    </row>
    <row r="1200" spans="1:37" x14ac:dyDescent="0.25">
      <c r="A1200" s="182"/>
      <c r="B1200" s="6"/>
      <c r="C1200" s="6"/>
      <c r="D1200" s="15"/>
      <c r="E1200" s="22"/>
      <c r="F1200" s="22"/>
      <c r="G1200" s="22"/>
      <c r="I1200" s="5"/>
      <c r="J1200" s="5"/>
      <c r="K1200" s="22"/>
      <c r="L1200" s="22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19"/>
      <c r="AH1200" s="5"/>
      <c r="AI1200" s="5"/>
      <c r="AJ1200" s="5"/>
      <c r="AK1200" s="5"/>
    </row>
    <row r="1201" spans="1:37" x14ac:dyDescent="0.25">
      <c r="A1201" s="182"/>
      <c r="B1201" s="6"/>
      <c r="C1201" s="6"/>
      <c r="D1201" s="15"/>
      <c r="E1201" s="22"/>
      <c r="F1201" s="22"/>
      <c r="G1201" s="22"/>
      <c r="I1201" s="5"/>
      <c r="J1201" s="5"/>
      <c r="K1201" s="22"/>
      <c r="L1201" s="22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19"/>
      <c r="AH1201" s="5"/>
      <c r="AI1201" s="5"/>
      <c r="AJ1201" s="5"/>
      <c r="AK1201" s="5"/>
    </row>
    <row r="1202" spans="1:37" x14ac:dyDescent="0.25">
      <c r="A1202" s="182"/>
      <c r="B1202" s="6"/>
      <c r="C1202" s="6"/>
      <c r="D1202" s="15"/>
      <c r="E1202" s="22"/>
      <c r="F1202" s="22"/>
      <c r="G1202" s="22"/>
      <c r="I1202" s="5"/>
      <c r="J1202" s="5"/>
      <c r="K1202" s="22"/>
      <c r="L1202" s="22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19"/>
      <c r="AH1202" s="5"/>
      <c r="AI1202" s="5"/>
      <c r="AJ1202" s="5"/>
      <c r="AK1202" s="5"/>
    </row>
    <row r="1203" spans="1:37" x14ac:dyDescent="0.25">
      <c r="A1203" s="182"/>
      <c r="B1203" s="6"/>
      <c r="C1203" s="6"/>
      <c r="D1203" s="15"/>
      <c r="E1203" s="22"/>
      <c r="F1203" s="22"/>
      <c r="G1203" s="22"/>
      <c r="I1203" s="5"/>
      <c r="J1203" s="5"/>
      <c r="K1203" s="22"/>
      <c r="L1203" s="22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19"/>
      <c r="AH1203" s="5"/>
      <c r="AI1203" s="5"/>
      <c r="AJ1203" s="5"/>
      <c r="AK1203" s="5"/>
    </row>
    <row r="1204" spans="1:37" x14ac:dyDescent="0.25">
      <c r="A1204" s="182"/>
      <c r="B1204" s="6"/>
      <c r="C1204" s="6"/>
      <c r="D1204" s="15"/>
      <c r="E1204" s="22"/>
      <c r="F1204" s="22"/>
      <c r="G1204" s="22"/>
      <c r="I1204" s="5"/>
      <c r="J1204" s="5"/>
      <c r="K1204" s="22"/>
      <c r="L1204" s="22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19"/>
      <c r="AH1204" s="5"/>
      <c r="AI1204" s="5"/>
      <c r="AJ1204" s="5"/>
      <c r="AK1204" s="5"/>
    </row>
    <row r="1205" spans="1:37" x14ac:dyDescent="0.25">
      <c r="A1205" s="182"/>
      <c r="B1205" s="6"/>
      <c r="C1205" s="6"/>
      <c r="D1205" s="15"/>
      <c r="E1205" s="22"/>
      <c r="F1205" s="22"/>
      <c r="G1205" s="22"/>
      <c r="I1205" s="5"/>
      <c r="J1205" s="5"/>
      <c r="K1205" s="22"/>
      <c r="L1205" s="22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19"/>
      <c r="AH1205" s="5"/>
      <c r="AI1205" s="5"/>
      <c r="AJ1205" s="5"/>
      <c r="AK1205" s="5"/>
    </row>
    <row r="1206" spans="1:37" x14ac:dyDescent="0.25">
      <c r="A1206" s="182"/>
      <c r="B1206" s="6"/>
      <c r="C1206" s="6"/>
      <c r="D1206" s="15"/>
      <c r="E1206" s="22"/>
      <c r="F1206" s="22"/>
      <c r="G1206" s="22"/>
      <c r="I1206" s="5"/>
      <c r="J1206" s="5"/>
      <c r="K1206" s="22"/>
      <c r="L1206" s="22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19"/>
      <c r="AH1206" s="5"/>
      <c r="AI1206" s="5"/>
      <c r="AJ1206" s="5"/>
      <c r="AK1206" s="5"/>
    </row>
    <row r="1207" spans="1:37" x14ac:dyDescent="0.25">
      <c r="A1207" s="182"/>
      <c r="B1207" s="6"/>
      <c r="C1207" s="6"/>
      <c r="D1207" s="15"/>
      <c r="E1207" s="22"/>
      <c r="F1207" s="22"/>
      <c r="G1207" s="22"/>
      <c r="I1207" s="5"/>
      <c r="J1207" s="5"/>
      <c r="K1207" s="22"/>
      <c r="L1207" s="22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19"/>
      <c r="AH1207" s="5"/>
      <c r="AI1207" s="5"/>
      <c r="AJ1207" s="5"/>
      <c r="AK1207" s="5"/>
    </row>
    <row r="1208" spans="1:37" x14ac:dyDescent="0.25">
      <c r="A1208" s="182"/>
      <c r="B1208" s="6"/>
      <c r="C1208" s="6"/>
      <c r="D1208" s="15"/>
      <c r="E1208" s="22"/>
      <c r="F1208" s="22"/>
      <c r="G1208" s="22"/>
      <c r="I1208" s="5"/>
      <c r="J1208" s="5"/>
      <c r="K1208" s="22"/>
      <c r="L1208" s="22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19"/>
      <c r="AH1208" s="5"/>
      <c r="AI1208" s="5"/>
      <c r="AJ1208" s="5"/>
      <c r="AK1208" s="5"/>
    </row>
    <row r="1209" spans="1:37" x14ac:dyDescent="0.25">
      <c r="A1209" s="182"/>
      <c r="B1209" s="6"/>
      <c r="C1209" s="6"/>
      <c r="D1209" s="15"/>
      <c r="E1209" s="22"/>
      <c r="F1209" s="22"/>
      <c r="G1209" s="22"/>
      <c r="I1209" s="5"/>
      <c r="J1209" s="5"/>
      <c r="K1209" s="22"/>
      <c r="L1209" s="22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19"/>
      <c r="AH1209" s="5"/>
      <c r="AI1209" s="5"/>
      <c r="AJ1209" s="5"/>
      <c r="AK1209" s="5"/>
    </row>
    <row r="1210" spans="1:37" x14ac:dyDescent="0.25">
      <c r="A1210" s="182"/>
      <c r="B1210" s="6"/>
      <c r="C1210" s="6"/>
      <c r="D1210" s="15"/>
      <c r="E1210" s="22"/>
      <c r="F1210" s="22"/>
      <c r="G1210" s="22"/>
      <c r="I1210" s="5"/>
      <c r="J1210" s="5"/>
      <c r="K1210" s="22"/>
      <c r="L1210" s="22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19"/>
      <c r="AH1210" s="5"/>
      <c r="AI1210" s="5"/>
      <c r="AJ1210" s="5"/>
      <c r="AK1210" s="5"/>
    </row>
    <row r="1211" spans="1:37" x14ac:dyDescent="0.25">
      <c r="A1211" s="182"/>
      <c r="B1211" s="6"/>
      <c r="C1211" s="6"/>
      <c r="D1211" s="15"/>
      <c r="E1211" s="22"/>
      <c r="F1211" s="22"/>
      <c r="G1211" s="22"/>
      <c r="I1211" s="5"/>
      <c r="J1211" s="5"/>
      <c r="K1211" s="22"/>
      <c r="L1211" s="22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19"/>
      <c r="AH1211" s="5"/>
      <c r="AI1211" s="5"/>
      <c r="AJ1211" s="5"/>
      <c r="AK1211" s="5"/>
    </row>
    <row r="1212" spans="1:37" x14ac:dyDescent="0.25">
      <c r="A1212" s="182"/>
      <c r="B1212" s="6"/>
      <c r="C1212" s="6"/>
      <c r="D1212" s="15"/>
      <c r="E1212" s="22"/>
      <c r="F1212" s="22"/>
      <c r="G1212" s="22"/>
      <c r="I1212" s="5"/>
      <c r="J1212" s="5"/>
      <c r="K1212" s="22"/>
      <c r="L1212" s="22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19"/>
      <c r="AH1212" s="5"/>
      <c r="AI1212" s="5"/>
      <c r="AJ1212" s="5"/>
      <c r="AK1212" s="5"/>
    </row>
    <row r="1213" spans="1:37" x14ac:dyDescent="0.25">
      <c r="A1213" s="182"/>
      <c r="B1213" s="6"/>
      <c r="C1213" s="6"/>
      <c r="D1213" s="15"/>
      <c r="E1213" s="22"/>
      <c r="F1213" s="22"/>
      <c r="G1213" s="22"/>
      <c r="I1213" s="5"/>
      <c r="J1213" s="5"/>
      <c r="K1213" s="22"/>
      <c r="L1213" s="22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19"/>
      <c r="AH1213" s="5"/>
      <c r="AI1213" s="5"/>
      <c r="AJ1213" s="5"/>
      <c r="AK1213" s="5"/>
    </row>
    <row r="1214" spans="1:37" x14ac:dyDescent="0.25">
      <c r="A1214" s="182"/>
      <c r="B1214" s="6"/>
      <c r="C1214" s="6"/>
      <c r="D1214" s="15"/>
      <c r="E1214" s="22"/>
      <c r="F1214" s="22"/>
      <c r="G1214" s="22"/>
      <c r="I1214" s="5"/>
      <c r="J1214" s="5"/>
      <c r="K1214" s="22"/>
      <c r="L1214" s="22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19"/>
      <c r="AH1214" s="5"/>
      <c r="AI1214" s="5"/>
      <c r="AJ1214" s="5"/>
      <c r="AK1214" s="5"/>
    </row>
    <row r="1215" spans="1:37" x14ac:dyDescent="0.25">
      <c r="A1215" s="182"/>
      <c r="B1215" s="6"/>
      <c r="C1215" s="6"/>
      <c r="D1215" s="15"/>
      <c r="E1215" s="22"/>
      <c r="F1215" s="22"/>
      <c r="G1215" s="22"/>
      <c r="I1215" s="5"/>
      <c r="J1215" s="5"/>
      <c r="K1215" s="22"/>
      <c r="L1215" s="22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19"/>
      <c r="AH1215" s="5"/>
      <c r="AI1215" s="5"/>
      <c r="AJ1215" s="5"/>
      <c r="AK1215" s="5"/>
    </row>
    <row r="1216" spans="1:37" x14ac:dyDescent="0.25">
      <c r="A1216" s="182"/>
      <c r="B1216" s="6"/>
      <c r="C1216" s="6"/>
      <c r="D1216" s="15"/>
      <c r="E1216" s="22"/>
      <c r="F1216" s="22"/>
      <c r="G1216" s="22"/>
      <c r="I1216" s="5"/>
      <c r="J1216" s="5"/>
      <c r="K1216" s="22"/>
      <c r="L1216" s="22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19"/>
      <c r="AH1216" s="5"/>
      <c r="AI1216" s="5"/>
      <c r="AJ1216" s="5"/>
      <c r="AK1216" s="5"/>
    </row>
    <row r="1217" spans="1:37" x14ac:dyDescent="0.25">
      <c r="A1217" s="182"/>
      <c r="B1217" s="6"/>
      <c r="C1217" s="6"/>
      <c r="D1217" s="15"/>
      <c r="E1217" s="22"/>
      <c r="F1217" s="22"/>
      <c r="G1217" s="22"/>
      <c r="I1217" s="5"/>
      <c r="J1217" s="5"/>
      <c r="K1217" s="22"/>
      <c r="L1217" s="22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19"/>
      <c r="AH1217" s="5"/>
      <c r="AI1217" s="5"/>
      <c r="AJ1217" s="5"/>
      <c r="AK1217" s="5"/>
    </row>
    <row r="1218" spans="1:37" x14ac:dyDescent="0.25">
      <c r="A1218" s="182"/>
      <c r="B1218" s="6"/>
      <c r="C1218" s="6"/>
      <c r="D1218" s="15"/>
      <c r="E1218" s="22"/>
      <c r="F1218" s="22"/>
      <c r="G1218" s="22"/>
      <c r="I1218" s="5"/>
      <c r="J1218" s="5"/>
      <c r="K1218" s="22"/>
      <c r="L1218" s="22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19"/>
      <c r="AH1218" s="5"/>
      <c r="AI1218" s="5"/>
      <c r="AJ1218" s="5"/>
      <c r="AK1218" s="5"/>
    </row>
    <row r="1219" spans="1:37" x14ac:dyDescent="0.25">
      <c r="A1219" s="182"/>
      <c r="B1219" s="6"/>
      <c r="C1219" s="6"/>
      <c r="D1219" s="15"/>
      <c r="E1219" s="22"/>
      <c r="F1219" s="22"/>
      <c r="G1219" s="22"/>
      <c r="I1219" s="5"/>
      <c r="J1219" s="5"/>
      <c r="K1219" s="22"/>
      <c r="L1219" s="22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19"/>
      <c r="AH1219" s="5"/>
      <c r="AI1219" s="5"/>
      <c r="AJ1219" s="5"/>
      <c r="AK1219" s="5"/>
    </row>
    <row r="1220" spans="1:37" x14ac:dyDescent="0.25">
      <c r="A1220" s="182"/>
      <c r="B1220" s="6"/>
      <c r="C1220" s="6"/>
      <c r="D1220" s="15"/>
      <c r="E1220" s="22"/>
      <c r="F1220" s="22"/>
      <c r="G1220" s="22"/>
      <c r="I1220" s="5"/>
      <c r="J1220" s="5"/>
      <c r="K1220" s="22"/>
      <c r="L1220" s="22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19"/>
      <c r="AH1220" s="5"/>
      <c r="AI1220" s="5"/>
      <c r="AJ1220" s="5"/>
      <c r="AK1220" s="5"/>
    </row>
    <row r="1221" spans="1:37" x14ac:dyDescent="0.25">
      <c r="A1221" s="182"/>
      <c r="B1221" s="6"/>
      <c r="C1221" s="6"/>
      <c r="D1221" s="15"/>
      <c r="E1221" s="22"/>
      <c r="F1221" s="22"/>
      <c r="G1221" s="22"/>
      <c r="I1221" s="5"/>
      <c r="J1221" s="5"/>
      <c r="K1221" s="22"/>
      <c r="L1221" s="22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19"/>
      <c r="AH1221" s="5"/>
      <c r="AI1221" s="5"/>
      <c r="AJ1221" s="5"/>
      <c r="AK1221" s="5"/>
    </row>
    <row r="1222" spans="1:37" x14ac:dyDescent="0.25">
      <c r="A1222" s="182"/>
      <c r="B1222" s="6"/>
      <c r="C1222" s="6"/>
      <c r="D1222" s="15"/>
      <c r="E1222" s="22"/>
      <c r="F1222" s="22"/>
      <c r="G1222" s="22"/>
      <c r="I1222" s="5"/>
      <c r="J1222" s="5"/>
      <c r="K1222" s="22"/>
      <c r="L1222" s="22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19"/>
      <c r="AH1222" s="5"/>
      <c r="AI1222" s="5"/>
      <c r="AJ1222" s="5"/>
      <c r="AK1222" s="5"/>
    </row>
    <row r="1223" spans="1:37" x14ac:dyDescent="0.25">
      <c r="A1223" s="182"/>
      <c r="B1223" s="6"/>
      <c r="C1223" s="6"/>
      <c r="D1223" s="15"/>
      <c r="E1223" s="22"/>
      <c r="F1223" s="22"/>
      <c r="G1223" s="22"/>
      <c r="I1223" s="5"/>
      <c r="J1223" s="5"/>
      <c r="K1223" s="22"/>
      <c r="L1223" s="22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19"/>
      <c r="AH1223" s="5"/>
      <c r="AI1223" s="5"/>
      <c r="AJ1223" s="5"/>
      <c r="AK1223" s="5"/>
    </row>
    <row r="1224" spans="1:37" x14ac:dyDescent="0.25">
      <c r="A1224" s="182"/>
      <c r="B1224" s="6"/>
      <c r="C1224" s="6"/>
      <c r="D1224" s="15"/>
      <c r="E1224" s="22"/>
      <c r="F1224" s="22"/>
      <c r="G1224" s="22"/>
      <c r="I1224" s="5"/>
      <c r="J1224" s="5"/>
      <c r="K1224" s="22"/>
      <c r="L1224" s="22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19"/>
      <c r="AH1224" s="5"/>
      <c r="AI1224" s="5"/>
      <c r="AJ1224" s="5"/>
      <c r="AK1224" s="5"/>
    </row>
    <row r="1225" spans="1:37" x14ac:dyDescent="0.25">
      <c r="A1225" s="182"/>
      <c r="B1225" s="6"/>
      <c r="C1225" s="6"/>
      <c r="D1225" s="15"/>
      <c r="E1225" s="22"/>
      <c r="F1225" s="22"/>
      <c r="G1225" s="22"/>
      <c r="I1225" s="5"/>
      <c r="J1225" s="5"/>
      <c r="K1225" s="22"/>
      <c r="L1225" s="22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19"/>
      <c r="AH1225" s="5"/>
      <c r="AI1225" s="5"/>
      <c r="AJ1225" s="5"/>
      <c r="AK1225" s="5"/>
    </row>
    <row r="1226" spans="1:37" x14ac:dyDescent="0.25">
      <c r="A1226" s="182"/>
      <c r="B1226" s="6"/>
      <c r="C1226" s="6"/>
      <c r="D1226" s="15"/>
      <c r="E1226" s="22"/>
      <c r="F1226" s="22"/>
      <c r="G1226" s="22"/>
      <c r="I1226" s="5"/>
      <c r="J1226" s="5"/>
      <c r="K1226" s="22"/>
      <c r="L1226" s="22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19"/>
      <c r="AH1226" s="5"/>
      <c r="AI1226" s="5"/>
      <c r="AJ1226" s="5"/>
      <c r="AK1226" s="5"/>
    </row>
    <row r="1227" spans="1:37" x14ac:dyDescent="0.25">
      <c r="A1227" s="182"/>
      <c r="B1227" s="6"/>
      <c r="C1227" s="6"/>
      <c r="D1227" s="15"/>
      <c r="E1227" s="22"/>
      <c r="F1227" s="22"/>
      <c r="G1227" s="22"/>
      <c r="I1227" s="5"/>
      <c r="J1227" s="5"/>
      <c r="K1227" s="22"/>
      <c r="L1227" s="22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19"/>
      <c r="AH1227" s="5"/>
      <c r="AI1227" s="5"/>
      <c r="AJ1227" s="5"/>
      <c r="AK1227" s="5"/>
    </row>
    <row r="1228" spans="1:37" x14ac:dyDescent="0.25">
      <c r="A1228" s="182"/>
      <c r="B1228" s="6"/>
      <c r="C1228" s="6"/>
      <c r="D1228" s="15"/>
      <c r="E1228" s="22"/>
      <c r="F1228" s="22"/>
      <c r="G1228" s="22"/>
      <c r="I1228" s="5"/>
      <c r="J1228" s="5"/>
      <c r="K1228" s="22"/>
      <c r="L1228" s="22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19"/>
      <c r="AH1228" s="5"/>
      <c r="AI1228" s="5"/>
      <c r="AJ1228" s="5"/>
      <c r="AK1228" s="5"/>
    </row>
    <row r="1229" spans="1:37" x14ac:dyDescent="0.25">
      <c r="A1229" s="182"/>
      <c r="B1229" s="6"/>
      <c r="C1229" s="6"/>
      <c r="D1229" s="15"/>
      <c r="E1229" s="22"/>
      <c r="F1229" s="22"/>
      <c r="G1229" s="22"/>
      <c r="I1229" s="5"/>
      <c r="J1229" s="5"/>
      <c r="K1229" s="22"/>
      <c r="L1229" s="22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19"/>
      <c r="AH1229" s="5"/>
      <c r="AI1229" s="5"/>
      <c r="AJ1229" s="5"/>
      <c r="AK1229" s="5"/>
    </row>
    <row r="1230" spans="1:37" x14ac:dyDescent="0.25">
      <c r="A1230" s="182"/>
      <c r="B1230" s="6"/>
      <c r="C1230" s="6"/>
      <c r="D1230" s="15"/>
      <c r="E1230" s="22"/>
      <c r="F1230" s="22"/>
      <c r="G1230" s="22"/>
      <c r="I1230" s="5"/>
      <c r="J1230" s="5"/>
      <c r="K1230" s="22"/>
      <c r="L1230" s="22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19"/>
      <c r="AH1230" s="5"/>
      <c r="AI1230" s="5"/>
      <c r="AJ1230" s="5"/>
      <c r="AK1230" s="5"/>
    </row>
    <row r="1231" spans="1:37" x14ac:dyDescent="0.25">
      <c r="A1231" s="182"/>
      <c r="B1231" s="6"/>
      <c r="C1231" s="6"/>
      <c r="D1231" s="15"/>
      <c r="E1231" s="22"/>
      <c r="F1231" s="22"/>
      <c r="G1231" s="22"/>
      <c r="I1231" s="5"/>
      <c r="J1231" s="5"/>
      <c r="K1231" s="22"/>
      <c r="L1231" s="22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19"/>
      <c r="AH1231" s="5"/>
      <c r="AI1231" s="5"/>
      <c r="AJ1231" s="5"/>
      <c r="AK1231" s="5"/>
    </row>
    <row r="1232" spans="1:37" x14ac:dyDescent="0.25">
      <c r="A1232" s="182"/>
      <c r="B1232" s="6"/>
      <c r="C1232" s="6"/>
      <c r="D1232" s="15"/>
      <c r="E1232" s="22"/>
      <c r="F1232" s="22"/>
      <c r="G1232" s="22"/>
      <c r="I1232" s="5"/>
      <c r="J1232" s="5"/>
      <c r="K1232" s="22"/>
      <c r="L1232" s="22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19"/>
      <c r="AH1232" s="5"/>
      <c r="AI1232" s="5"/>
      <c r="AJ1232" s="5"/>
      <c r="AK1232" s="5"/>
    </row>
    <row r="1233" spans="1:37" x14ac:dyDescent="0.25">
      <c r="A1233" s="182"/>
      <c r="B1233" s="6"/>
      <c r="C1233" s="6"/>
      <c r="D1233" s="15"/>
      <c r="E1233" s="22"/>
      <c r="F1233" s="22"/>
      <c r="G1233" s="22"/>
      <c r="I1233" s="5"/>
      <c r="J1233" s="5"/>
      <c r="K1233" s="22"/>
      <c r="L1233" s="22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19"/>
      <c r="AH1233" s="5"/>
      <c r="AI1233" s="5"/>
      <c r="AJ1233" s="5"/>
      <c r="AK1233" s="5"/>
    </row>
    <row r="1234" spans="1:37" x14ac:dyDescent="0.25">
      <c r="A1234" s="182"/>
      <c r="B1234" s="6"/>
      <c r="C1234" s="6"/>
      <c r="D1234" s="15"/>
      <c r="E1234" s="22"/>
      <c r="F1234" s="22"/>
      <c r="G1234" s="22"/>
      <c r="I1234" s="5"/>
      <c r="J1234" s="5"/>
      <c r="K1234" s="22"/>
      <c r="L1234" s="22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19"/>
      <c r="AH1234" s="5"/>
      <c r="AI1234" s="5"/>
      <c r="AJ1234" s="5"/>
      <c r="AK1234" s="5"/>
    </row>
    <row r="1235" spans="1:37" x14ac:dyDescent="0.25">
      <c r="A1235" s="182"/>
      <c r="B1235" s="6"/>
      <c r="C1235" s="6"/>
      <c r="D1235" s="15"/>
      <c r="E1235" s="22"/>
      <c r="F1235" s="22"/>
      <c r="G1235" s="22"/>
      <c r="I1235" s="5"/>
      <c r="J1235" s="5"/>
      <c r="K1235" s="22"/>
      <c r="L1235" s="22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19"/>
      <c r="AH1235" s="5"/>
      <c r="AI1235" s="5"/>
      <c r="AJ1235" s="5"/>
      <c r="AK1235" s="5"/>
    </row>
    <row r="1236" spans="1:37" x14ac:dyDescent="0.25">
      <c r="A1236" s="182"/>
      <c r="B1236" s="6"/>
      <c r="C1236" s="6"/>
      <c r="D1236" s="15"/>
      <c r="E1236" s="22"/>
      <c r="F1236" s="22"/>
      <c r="G1236" s="22"/>
      <c r="I1236" s="5"/>
      <c r="J1236" s="5"/>
      <c r="K1236" s="22"/>
      <c r="L1236" s="22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19"/>
      <c r="AH1236" s="5"/>
      <c r="AI1236" s="5"/>
      <c r="AJ1236" s="5"/>
      <c r="AK1236" s="5"/>
    </row>
    <row r="1237" spans="1:37" x14ac:dyDescent="0.25">
      <c r="A1237" s="182"/>
      <c r="B1237" s="6"/>
      <c r="C1237" s="6"/>
      <c r="D1237" s="15"/>
      <c r="E1237" s="22"/>
      <c r="F1237" s="22"/>
      <c r="G1237" s="22"/>
      <c r="I1237" s="5"/>
      <c r="J1237" s="5"/>
      <c r="K1237" s="22"/>
      <c r="L1237" s="22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19"/>
      <c r="AH1237" s="5"/>
      <c r="AI1237" s="5"/>
      <c r="AJ1237" s="5"/>
      <c r="AK1237" s="5"/>
    </row>
    <row r="1238" spans="1:37" x14ac:dyDescent="0.25">
      <c r="A1238" s="182"/>
      <c r="B1238" s="6"/>
      <c r="C1238" s="6"/>
      <c r="D1238" s="15"/>
      <c r="E1238" s="22"/>
      <c r="F1238" s="22"/>
      <c r="G1238" s="22"/>
      <c r="I1238" s="5"/>
      <c r="J1238" s="5"/>
      <c r="K1238" s="22"/>
      <c r="L1238" s="22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19"/>
      <c r="AH1238" s="5"/>
      <c r="AI1238" s="5"/>
      <c r="AJ1238" s="5"/>
      <c r="AK1238" s="5"/>
    </row>
    <row r="1239" spans="1:37" x14ac:dyDescent="0.25">
      <c r="A1239" s="182"/>
      <c r="B1239" s="6"/>
      <c r="C1239" s="6"/>
      <c r="D1239" s="15"/>
      <c r="E1239" s="22"/>
      <c r="F1239" s="22"/>
      <c r="G1239" s="22"/>
      <c r="I1239" s="5"/>
      <c r="J1239" s="5"/>
      <c r="K1239" s="22"/>
      <c r="L1239" s="22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19"/>
      <c r="AH1239" s="5"/>
      <c r="AI1239" s="5"/>
      <c r="AJ1239" s="5"/>
      <c r="AK1239" s="5"/>
    </row>
    <row r="1240" spans="1:37" x14ac:dyDescent="0.25">
      <c r="A1240" s="182"/>
      <c r="B1240" s="6"/>
      <c r="C1240" s="6"/>
      <c r="D1240" s="15"/>
      <c r="E1240" s="22"/>
      <c r="F1240" s="22"/>
      <c r="G1240" s="22"/>
      <c r="I1240" s="5"/>
      <c r="J1240" s="5"/>
      <c r="K1240" s="22"/>
      <c r="L1240" s="22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19"/>
      <c r="AH1240" s="5"/>
      <c r="AI1240" s="5"/>
      <c r="AJ1240" s="5"/>
      <c r="AK1240" s="5"/>
    </row>
    <row r="1241" spans="1:37" x14ac:dyDescent="0.25">
      <c r="A1241" s="182"/>
      <c r="B1241" s="6"/>
      <c r="C1241" s="6"/>
      <c r="D1241" s="15"/>
      <c r="E1241" s="22"/>
      <c r="F1241" s="22"/>
      <c r="G1241" s="22"/>
      <c r="I1241" s="5"/>
      <c r="J1241" s="5"/>
      <c r="K1241" s="22"/>
      <c r="L1241" s="22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19"/>
      <c r="AH1241" s="5"/>
      <c r="AI1241" s="5"/>
      <c r="AJ1241" s="5"/>
      <c r="AK1241" s="5"/>
    </row>
    <row r="1242" spans="1:37" x14ac:dyDescent="0.25">
      <c r="A1242" s="182"/>
      <c r="B1242" s="6"/>
      <c r="C1242" s="6"/>
      <c r="D1242" s="15"/>
      <c r="E1242" s="22"/>
      <c r="F1242" s="22"/>
      <c r="G1242" s="22"/>
      <c r="I1242" s="5"/>
      <c r="J1242" s="5"/>
      <c r="K1242" s="22"/>
      <c r="L1242" s="22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19"/>
      <c r="AH1242" s="5"/>
      <c r="AI1242" s="5"/>
      <c r="AJ1242" s="5"/>
      <c r="AK1242" s="5"/>
    </row>
    <row r="1243" spans="1:37" x14ac:dyDescent="0.25">
      <c r="A1243" s="182"/>
      <c r="B1243" s="6"/>
      <c r="C1243" s="6"/>
      <c r="D1243" s="15"/>
      <c r="E1243" s="22"/>
      <c r="F1243" s="22"/>
      <c r="G1243" s="22"/>
      <c r="I1243" s="5"/>
      <c r="J1243" s="5"/>
      <c r="K1243" s="22"/>
      <c r="L1243" s="22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19"/>
      <c r="AH1243" s="5"/>
      <c r="AI1243" s="5"/>
      <c r="AJ1243" s="5"/>
      <c r="AK1243" s="5"/>
    </row>
    <row r="1244" spans="1:37" x14ac:dyDescent="0.25">
      <c r="A1244" s="182"/>
      <c r="B1244" s="6"/>
      <c r="C1244" s="6"/>
      <c r="D1244" s="15"/>
      <c r="E1244" s="22"/>
      <c r="F1244" s="22"/>
      <c r="G1244" s="22"/>
      <c r="I1244" s="5"/>
      <c r="J1244" s="5"/>
      <c r="K1244" s="22"/>
      <c r="L1244" s="22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19"/>
      <c r="AH1244" s="5"/>
      <c r="AI1244" s="5"/>
      <c r="AJ1244" s="5"/>
      <c r="AK1244" s="5"/>
    </row>
    <row r="1245" spans="1:37" x14ac:dyDescent="0.25">
      <c r="A1245" s="182"/>
      <c r="B1245" s="6"/>
      <c r="C1245" s="6"/>
      <c r="D1245" s="15"/>
      <c r="E1245" s="22"/>
      <c r="F1245" s="22"/>
      <c r="G1245" s="22"/>
      <c r="I1245" s="5"/>
      <c r="J1245" s="5"/>
      <c r="K1245" s="22"/>
      <c r="L1245" s="22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19"/>
      <c r="AH1245" s="5"/>
      <c r="AI1245" s="5"/>
      <c r="AJ1245" s="5"/>
      <c r="AK1245" s="5"/>
    </row>
    <row r="1246" spans="1:37" x14ac:dyDescent="0.25">
      <c r="A1246" s="182"/>
      <c r="B1246" s="6"/>
      <c r="C1246" s="6"/>
      <c r="D1246" s="15"/>
      <c r="E1246" s="22"/>
      <c r="F1246" s="22"/>
      <c r="G1246" s="22"/>
      <c r="I1246" s="5"/>
      <c r="J1246" s="5"/>
      <c r="K1246" s="22"/>
      <c r="L1246" s="22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19"/>
      <c r="AH1246" s="5"/>
      <c r="AI1246" s="5"/>
      <c r="AJ1246" s="5"/>
      <c r="AK1246" s="5"/>
    </row>
    <row r="1247" spans="1:37" x14ac:dyDescent="0.25">
      <c r="A1247" s="182"/>
      <c r="B1247" s="6"/>
      <c r="C1247" s="6"/>
      <c r="D1247" s="15"/>
      <c r="E1247" s="22"/>
      <c r="F1247" s="22"/>
      <c r="G1247" s="22"/>
      <c r="I1247" s="5"/>
      <c r="J1247" s="5"/>
      <c r="K1247" s="22"/>
      <c r="L1247" s="22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19"/>
      <c r="AH1247" s="5"/>
      <c r="AI1247" s="5"/>
      <c r="AJ1247" s="5"/>
      <c r="AK1247" s="5"/>
    </row>
    <row r="1248" spans="1:37" x14ac:dyDescent="0.25">
      <c r="A1248" s="182"/>
      <c r="B1248" s="6"/>
      <c r="C1248" s="6"/>
      <c r="D1248" s="15"/>
      <c r="E1248" s="22"/>
      <c r="F1248" s="22"/>
      <c r="G1248" s="22"/>
      <c r="I1248" s="5"/>
      <c r="J1248" s="5"/>
      <c r="K1248" s="22"/>
      <c r="L1248" s="22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19"/>
      <c r="AH1248" s="5"/>
      <c r="AI1248" s="5"/>
      <c r="AJ1248" s="5"/>
      <c r="AK1248" s="5"/>
    </row>
    <row r="1249" spans="1:37" x14ac:dyDescent="0.25">
      <c r="A1249" s="182"/>
      <c r="B1249" s="6"/>
      <c r="C1249" s="6"/>
      <c r="D1249" s="15"/>
      <c r="E1249" s="22"/>
      <c r="F1249" s="22"/>
      <c r="G1249" s="22"/>
      <c r="I1249" s="5"/>
      <c r="J1249" s="5"/>
      <c r="K1249" s="22"/>
      <c r="L1249" s="22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19"/>
      <c r="AH1249" s="5"/>
      <c r="AI1249" s="5"/>
      <c r="AJ1249" s="5"/>
      <c r="AK1249" s="5"/>
    </row>
    <row r="1250" spans="1:37" x14ac:dyDescent="0.25">
      <c r="A1250" s="182"/>
      <c r="B1250" s="6"/>
      <c r="C1250" s="6"/>
      <c r="D1250" s="15"/>
      <c r="E1250" s="22"/>
      <c r="F1250" s="22"/>
      <c r="G1250" s="22"/>
      <c r="I1250" s="5"/>
      <c r="J1250" s="5"/>
      <c r="K1250" s="22"/>
      <c r="L1250" s="22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19"/>
      <c r="AH1250" s="5"/>
      <c r="AI1250" s="5"/>
      <c r="AJ1250" s="5"/>
      <c r="AK1250" s="5"/>
    </row>
    <row r="1251" spans="1:37" x14ac:dyDescent="0.25">
      <c r="A1251" s="182"/>
      <c r="B1251" s="6"/>
      <c r="C1251" s="6"/>
      <c r="D1251" s="15"/>
      <c r="E1251" s="22"/>
      <c r="F1251" s="22"/>
      <c r="G1251" s="22"/>
      <c r="I1251" s="5"/>
      <c r="J1251" s="5"/>
      <c r="K1251" s="22"/>
      <c r="L1251" s="22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19"/>
      <c r="AH1251" s="5"/>
      <c r="AI1251" s="5"/>
      <c r="AJ1251" s="5"/>
      <c r="AK1251" s="5"/>
    </row>
    <row r="1252" spans="1:37" x14ac:dyDescent="0.25">
      <c r="A1252" s="182"/>
      <c r="B1252" s="6"/>
      <c r="C1252" s="6"/>
      <c r="D1252" s="15"/>
      <c r="E1252" s="22"/>
      <c r="F1252" s="22"/>
      <c r="G1252" s="22"/>
      <c r="I1252" s="5"/>
      <c r="J1252" s="5"/>
      <c r="K1252" s="22"/>
      <c r="L1252" s="22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19"/>
      <c r="AH1252" s="5"/>
      <c r="AI1252" s="5"/>
      <c r="AJ1252" s="5"/>
      <c r="AK1252" s="5"/>
    </row>
    <row r="1253" spans="1:37" x14ac:dyDescent="0.25">
      <c r="A1253" s="182"/>
      <c r="B1253" s="6"/>
      <c r="C1253" s="6"/>
      <c r="D1253" s="15"/>
      <c r="E1253" s="22"/>
      <c r="F1253" s="22"/>
      <c r="G1253" s="22"/>
      <c r="I1253" s="5"/>
      <c r="J1253" s="5"/>
      <c r="K1253" s="22"/>
      <c r="L1253" s="22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19"/>
      <c r="AH1253" s="5"/>
      <c r="AI1253" s="5"/>
      <c r="AJ1253" s="5"/>
      <c r="AK1253" s="5"/>
    </row>
    <row r="1254" spans="1:37" x14ac:dyDescent="0.25">
      <c r="A1254" s="182"/>
      <c r="B1254" s="6"/>
      <c r="C1254" s="6"/>
      <c r="D1254" s="15"/>
      <c r="E1254" s="22"/>
      <c r="F1254" s="22"/>
      <c r="G1254" s="22"/>
      <c r="I1254" s="5"/>
      <c r="J1254" s="5"/>
      <c r="K1254" s="22"/>
      <c r="L1254" s="22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19"/>
      <c r="AH1254" s="5"/>
      <c r="AI1254" s="5"/>
      <c r="AJ1254" s="5"/>
      <c r="AK1254" s="5"/>
    </row>
    <row r="1255" spans="1:37" x14ac:dyDescent="0.25">
      <c r="A1255" s="182"/>
      <c r="B1255" s="6"/>
      <c r="C1255" s="6"/>
      <c r="D1255" s="15"/>
      <c r="E1255" s="22"/>
      <c r="F1255" s="22"/>
      <c r="G1255" s="22"/>
      <c r="I1255" s="5"/>
      <c r="J1255" s="5"/>
      <c r="K1255" s="22"/>
      <c r="L1255" s="22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19"/>
      <c r="AH1255" s="5"/>
      <c r="AI1255" s="5"/>
      <c r="AJ1255" s="5"/>
      <c r="AK1255" s="5"/>
    </row>
    <row r="1256" spans="1:37" x14ac:dyDescent="0.25">
      <c r="A1256" s="182"/>
      <c r="B1256" s="6"/>
      <c r="C1256" s="6"/>
      <c r="D1256" s="15"/>
      <c r="E1256" s="22"/>
      <c r="F1256" s="22"/>
      <c r="G1256" s="22"/>
      <c r="I1256" s="5"/>
      <c r="J1256" s="5"/>
      <c r="K1256" s="22"/>
      <c r="L1256" s="22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19"/>
      <c r="AH1256" s="5"/>
      <c r="AI1256" s="5"/>
      <c r="AJ1256" s="5"/>
      <c r="AK1256" s="5"/>
    </row>
    <row r="1257" spans="1:37" x14ac:dyDescent="0.25">
      <c r="A1257" s="182"/>
      <c r="B1257" s="6"/>
      <c r="C1257" s="6"/>
      <c r="D1257" s="15"/>
      <c r="E1257" s="22"/>
      <c r="F1257" s="22"/>
      <c r="G1257" s="22"/>
      <c r="I1257" s="5"/>
      <c r="J1257" s="5"/>
      <c r="K1257" s="22"/>
      <c r="L1257" s="22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19"/>
      <c r="AH1257" s="5"/>
      <c r="AI1257" s="5"/>
      <c r="AJ1257" s="5"/>
      <c r="AK1257" s="5"/>
    </row>
    <row r="1258" spans="1:37" x14ac:dyDescent="0.25">
      <c r="A1258" s="182"/>
      <c r="B1258" s="6"/>
      <c r="C1258" s="6"/>
      <c r="D1258" s="15"/>
      <c r="E1258" s="22"/>
      <c r="F1258" s="22"/>
      <c r="G1258" s="22"/>
      <c r="I1258" s="5"/>
      <c r="J1258" s="5"/>
      <c r="K1258" s="22"/>
      <c r="L1258" s="22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19"/>
      <c r="AH1258" s="5"/>
      <c r="AI1258" s="5"/>
      <c r="AJ1258" s="5"/>
      <c r="AK1258" s="5"/>
    </row>
    <row r="1259" spans="1:37" x14ac:dyDescent="0.25">
      <c r="A1259" s="182"/>
      <c r="B1259" s="6"/>
      <c r="C1259" s="6"/>
      <c r="D1259" s="15"/>
      <c r="E1259" s="22"/>
      <c r="F1259" s="22"/>
      <c r="G1259" s="22"/>
      <c r="I1259" s="5"/>
      <c r="J1259" s="5"/>
      <c r="K1259" s="22"/>
      <c r="L1259" s="22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19"/>
      <c r="AH1259" s="5"/>
      <c r="AI1259" s="5"/>
      <c r="AJ1259" s="5"/>
      <c r="AK1259" s="5"/>
    </row>
    <row r="1260" spans="1:37" x14ac:dyDescent="0.25">
      <c r="A1260" s="182"/>
      <c r="B1260" s="6"/>
      <c r="C1260" s="6"/>
      <c r="D1260" s="15"/>
      <c r="E1260" s="22"/>
      <c r="F1260" s="22"/>
      <c r="G1260" s="22"/>
      <c r="I1260" s="5"/>
      <c r="J1260" s="5"/>
      <c r="K1260" s="22"/>
      <c r="L1260" s="22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19"/>
      <c r="AH1260" s="5"/>
      <c r="AI1260" s="5"/>
      <c r="AJ1260" s="5"/>
      <c r="AK1260" s="5"/>
    </row>
    <row r="1261" spans="1:37" x14ac:dyDescent="0.25">
      <c r="A1261" s="182"/>
      <c r="B1261" s="6"/>
      <c r="C1261" s="6"/>
      <c r="D1261" s="15"/>
      <c r="E1261" s="22"/>
      <c r="F1261" s="22"/>
      <c r="G1261" s="22"/>
      <c r="I1261" s="5"/>
      <c r="J1261" s="5"/>
      <c r="K1261" s="22"/>
      <c r="L1261" s="22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19"/>
      <c r="AH1261" s="5"/>
      <c r="AI1261" s="5"/>
      <c r="AJ1261" s="5"/>
      <c r="AK1261" s="5"/>
    </row>
    <row r="1262" spans="1:37" x14ac:dyDescent="0.25">
      <c r="A1262" s="182"/>
      <c r="B1262" s="6"/>
      <c r="C1262" s="6"/>
      <c r="D1262" s="15"/>
      <c r="E1262" s="22"/>
      <c r="F1262" s="22"/>
      <c r="G1262" s="22"/>
      <c r="I1262" s="5"/>
      <c r="J1262" s="5"/>
      <c r="K1262" s="22"/>
      <c r="L1262" s="22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19"/>
      <c r="AH1262" s="5"/>
      <c r="AI1262" s="5"/>
      <c r="AJ1262" s="5"/>
      <c r="AK1262" s="5"/>
    </row>
    <row r="1263" spans="1:37" x14ac:dyDescent="0.25">
      <c r="A1263" s="182"/>
      <c r="B1263" s="6"/>
      <c r="C1263" s="6"/>
      <c r="D1263" s="15"/>
      <c r="E1263" s="22"/>
      <c r="F1263" s="22"/>
      <c r="G1263" s="22"/>
      <c r="I1263" s="5"/>
      <c r="J1263" s="5"/>
      <c r="K1263" s="22"/>
      <c r="L1263" s="22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19"/>
      <c r="AH1263" s="5"/>
      <c r="AI1263" s="5"/>
      <c r="AJ1263" s="5"/>
      <c r="AK1263" s="5"/>
    </row>
    <row r="1264" spans="1:37" x14ac:dyDescent="0.25">
      <c r="A1264" s="182"/>
      <c r="B1264" s="6"/>
      <c r="C1264" s="6"/>
      <c r="D1264" s="15"/>
      <c r="E1264" s="22"/>
      <c r="F1264" s="22"/>
      <c r="G1264" s="22"/>
      <c r="I1264" s="5"/>
      <c r="J1264" s="5"/>
      <c r="K1264" s="22"/>
      <c r="L1264" s="22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19"/>
      <c r="AH1264" s="5"/>
      <c r="AI1264" s="5"/>
      <c r="AJ1264" s="5"/>
      <c r="AK1264" s="5"/>
    </row>
    <row r="1265" spans="1:37" x14ac:dyDescent="0.25">
      <c r="A1265" s="182"/>
      <c r="B1265" s="6"/>
      <c r="C1265" s="6"/>
      <c r="D1265" s="15"/>
      <c r="E1265" s="22"/>
      <c r="F1265" s="22"/>
      <c r="G1265" s="22"/>
      <c r="I1265" s="5"/>
      <c r="J1265" s="5"/>
      <c r="K1265" s="22"/>
      <c r="L1265" s="22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19"/>
      <c r="AH1265" s="5"/>
      <c r="AI1265" s="5"/>
      <c r="AJ1265" s="5"/>
      <c r="AK1265" s="5"/>
    </row>
    <row r="1266" spans="1:37" x14ac:dyDescent="0.25">
      <c r="A1266" s="182"/>
      <c r="B1266" s="6"/>
      <c r="C1266" s="6"/>
      <c r="D1266" s="15"/>
      <c r="E1266" s="22"/>
      <c r="F1266" s="22"/>
      <c r="G1266" s="22"/>
      <c r="I1266" s="5"/>
      <c r="J1266" s="5"/>
      <c r="K1266" s="22"/>
      <c r="L1266" s="22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19"/>
      <c r="AH1266" s="5"/>
      <c r="AI1266" s="5"/>
      <c r="AJ1266" s="5"/>
      <c r="AK1266" s="5"/>
    </row>
    <row r="1267" spans="1:37" x14ac:dyDescent="0.25">
      <c r="A1267" s="182"/>
      <c r="B1267" s="6"/>
      <c r="C1267" s="6"/>
      <c r="D1267" s="15"/>
      <c r="E1267" s="22"/>
      <c r="F1267" s="22"/>
      <c r="G1267" s="22"/>
      <c r="I1267" s="5"/>
      <c r="J1267" s="5"/>
      <c r="K1267" s="22"/>
      <c r="L1267" s="22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19"/>
      <c r="AH1267" s="5"/>
      <c r="AI1267" s="5"/>
      <c r="AJ1267" s="5"/>
      <c r="AK1267" s="5"/>
    </row>
    <row r="1268" spans="1:37" x14ac:dyDescent="0.25">
      <c r="A1268" s="182"/>
      <c r="B1268" s="6"/>
      <c r="C1268" s="6"/>
      <c r="D1268" s="15"/>
      <c r="E1268" s="22"/>
      <c r="F1268" s="22"/>
      <c r="G1268" s="22"/>
      <c r="I1268" s="5"/>
      <c r="J1268" s="5"/>
      <c r="K1268" s="22"/>
      <c r="L1268" s="22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19"/>
      <c r="AH1268" s="5"/>
      <c r="AI1268" s="5"/>
      <c r="AJ1268" s="5"/>
      <c r="AK1268" s="5"/>
    </row>
    <row r="1269" spans="1:37" x14ac:dyDescent="0.25">
      <c r="A1269" s="182"/>
      <c r="B1269" s="6"/>
      <c r="C1269" s="6"/>
      <c r="D1269" s="15"/>
      <c r="E1269" s="22"/>
      <c r="F1269" s="22"/>
      <c r="G1269" s="22"/>
      <c r="I1269" s="5"/>
      <c r="J1269" s="5"/>
      <c r="K1269" s="22"/>
      <c r="L1269" s="22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19"/>
      <c r="AH1269" s="5"/>
      <c r="AI1269" s="5"/>
      <c r="AJ1269" s="5"/>
      <c r="AK1269" s="5"/>
    </row>
    <row r="1270" spans="1:37" x14ac:dyDescent="0.25">
      <c r="A1270" s="182"/>
      <c r="B1270" s="6"/>
      <c r="C1270" s="6"/>
      <c r="D1270" s="15"/>
      <c r="E1270" s="22"/>
      <c r="F1270" s="22"/>
      <c r="G1270" s="22"/>
      <c r="I1270" s="5"/>
      <c r="J1270" s="5"/>
      <c r="K1270" s="22"/>
      <c r="L1270" s="22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19"/>
      <c r="AH1270" s="5"/>
      <c r="AI1270" s="5"/>
      <c r="AJ1270" s="5"/>
      <c r="AK1270" s="5"/>
    </row>
    <row r="1271" spans="1:37" x14ac:dyDescent="0.25">
      <c r="A1271" s="182"/>
      <c r="B1271" s="6"/>
      <c r="C1271" s="6"/>
      <c r="D1271" s="15"/>
      <c r="E1271" s="22"/>
      <c r="F1271" s="22"/>
      <c r="G1271" s="22"/>
      <c r="I1271" s="5"/>
      <c r="J1271" s="5"/>
      <c r="K1271" s="22"/>
      <c r="L1271" s="22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19"/>
      <c r="AH1271" s="5"/>
      <c r="AI1271" s="5"/>
      <c r="AJ1271" s="5"/>
      <c r="AK1271" s="5"/>
    </row>
    <row r="1272" spans="1:37" x14ac:dyDescent="0.25">
      <c r="A1272" s="182"/>
      <c r="B1272" s="6"/>
      <c r="C1272" s="6"/>
      <c r="D1272" s="15"/>
      <c r="E1272" s="22"/>
      <c r="F1272" s="22"/>
      <c r="G1272" s="22"/>
      <c r="I1272" s="5"/>
      <c r="J1272" s="5"/>
      <c r="K1272" s="22"/>
      <c r="L1272" s="22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19"/>
      <c r="AH1272" s="5"/>
      <c r="AI1272" s="5"/>
      <c r="AJ1272" s="5"/>
      <c r="AK1272" s="5"/>
    </row>
    <row r="1273" spans="1:37" x14ac:dyDescent="0.25">
      <c r="A1273" s="182"/>
      <c r="B1273" s="6"/>
      <c r="C1273" s="6"/>
      <c r="D1273" s="15"/>
      <c r="E1273" s="22"/>
      <c r="F1273" s="22"/>
      <c r="G1273" s="22"/>
      <c r="I1273" s="5"/>
      <c r="J1273" s="5"/>
      <c r="K1273" s="22"/>
      <c r="L1273" s="22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19"/>
      <c r="AH1273" s="5"/>
      <c r="AI1273" s="5"/>
      <c r="AJ1273" s="5"/>
      <c r="AK1273" s="5"/>
    </row>
    <row r="1274" spans="1:37" x14ac:dyDescent="0.25">
      <c r="A1274" s="182"/>
      <c r="B1274" s="6"/>
      <c r="C1274" s="6"/>
      <c r="D1274" s="15"/>
      <c r="E1274" s="22"/>
      <c r="F1274" s="22"/>
      <c r="G1274" s="22"/>
      <c r="I1274" s="5"/>
      <c r="J1274" s="5"/>
      <c r="K1274" s="22"/>
      <c r="L1274" s="22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19"/>
      <c r="AH1274" s="5"/>
      <c r="AI1274" s="5"/>
      <c r="AJ1274" s="5"/>
      <c r="AK1274" s="5"/>
    </row>
    <row r="1275" spans="1:37" x14ac:dyDescent="0.25">
      <c r="A1275" s="182"/>
      <c r="B1275" s="6"/>
      <c r="C1275" s="6"/>
      <c r="D1275" s="15"/>
      <c r="E1275" s="22"/>
      <c r="F1275" s="22"/>
      <c r="G1275" s="22"/>
      <c r="I1275" s="5"/>
      <c r="J1275" s="5"/>
      <c r="K1275" s="22"/>
      <c r="L1275" s="22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19"/>
      <c r="AH1275" s="5"/>
      <c r="AI1275" s="5"/>
      <c r="AJ1275" s="5"/>
      <c r="AK1275" s="5"/>
    </row>
    <row r="1276" spans="1:37" x14ac:dyDescent="0.25">
      <c r="A1276" s="182"/>
      <c r="B1276" s="6"/>
      <c r="C1276" s="6"/>
      <c r="D1276" s="15"/>
      <c r="E1276" s="22"/>
      <c r="F1276" s="22"/>
      <c r="G1276" s="22"/>
      <c r="I1276" s="5"/>
      <c r="J1276" s="5"/>
      <c r="K1276" s="22"/>
      <c r="L1276" s="22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19"/>
      <c r="AH1276" s="5"/>
      <c r="AI1276" s="5"/>
      <c r="AJ1276" s="5"/>
      <c r="AK1276" s="5"/>
    </row>
    <row r="1277" spans="1:37" x14ac:dyDescent="0.25">
      <c r="A1277" s="182"/>
      <c r="B1277" s="6"/>
      <c r="C1277" s="6"/>
      <c r="D1277" s="15"/>
      <c r="E1277" s="22"/>
      <c r="F1277" s="22"/>
      <c r="G1277" s="22"/>
      <c r="I1277" s="5"/>
      <c r="J1277" s="5"/>
      <c r="K1277" s="22"/>
      <c r="L1277" s="22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19"/>
      <c r="AH1277" s="5"/>
      <c r="AI1277" s="5"/>
      <c r="AJ1277" s="5"/>
      <c r="AK1277" s="5"/>
    </row>
    <row r="1278" spans="1:37" x14ac:dyDescent="0.25">
      <c r="A1278" s="182"/>
      <c r="B1278" s="6"/>
      <c r="C1278" s="6"/>
      <c r="D1278" s="15"/>
      <c r="E1278" s="22"/>
      <c r="F1278" s="22"/>
      <c r="G1278" s="22"/>
      <c r="I1278" s="5"/>
      <c r="J1278" s="5"/>
      <c r="K1278" s="22"/>
      <c r="L1278" s="22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19"/>
      <c r="AH1278" s="5"/>
      <c r="AI1278" s="5"/>
      <c r="AJ1278" s="5"/>
      <c r="AK1278" s="5"/>
    </row>
    <row r="1279" spans="1:37" x14ac:dyDescent="0.25">
      <c r="A1279" s="182"/>
      <c r="B1279" s="6"/>
      <c r="C1279" s="6"/>
      <c r="D1279" s="15"/>
      <c r="E1279" s="22"/>
      <c r="F1279" s="22"/>
      <c r="G1279" s="22"/>
      <c r="I1279" s="5"/>
      <c r="J1279" s="5"/>
      <c r="K1279" s="22"/>
      <c r="L1279" s="22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19"/>
      <c r="AH1279" s="5"/>
      <c r="AI1279" s="5"/>
      <c r="AJ1279" s="5"/>
      <c r="AK1279" s="5"/>
    </row>
    <row r="1280" spans="1:37" x14ac:dyDescent="0.25">
      <c r="A1280" s="182"/>
      <c r="B1280" s="6"/>
      <c r="C1280" s="6"/>
      <c r="D1280" s="15"/>
      <c r="E1280" s="22"/>
      <c r="F1280" s="22"/>
      <c r="G1280" s="22"/>
      <c r="I1280" s="5"/>
      <c r="J1280" s="5"/>
      <c r="K1280" s="22"/>
      <c r="L1280" s="22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19"/>
      <c r="AH1280" s="5"/>
      <c r="AI1280" s="5"/>
      <c r="AJ1280" s="5"/>
      <c r="AK1280" s="5"/>
    </row>
    <row r="1281" spans="1:37" x14ac:dyDescent="0.25">
      <c r="A1281" s="182"/>
      <c r="B1281" s="6"/>
      <c r="C1281" s="6"/>
      <c r="D1281" s="15"/>
      <c r="E1281" s="22"/>
      <c r="F1281" s="22"/>
      <c r="G1281" s="22"/>
      <c r="I1281" s="5"/>
      <c r="J1281" s="5"/>
      <c r="K1281" s="22"/>
      <c r="L1281" s="22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19"/>
      <c r="AH1281" s="5"/>
      <c r="AI1281" s="5"/>
      <c r="AJ1281" s="5"/>
      <c r="AK1281" s="5"/>
    </row>
    <row r="1282" spans="1:37" x14ac:dyDescent="0.25">
      <c r="A1282" s="182"/>
      <c r="B1282" s="6"/>
      <c r="C1282" s="6"/>
      <c r="D1282" s="15"/>
      <c r="E1282" s="22"/>
      <c r="F1282" s="22"/>
      <c r="G1282" s="22"/>
      <c r="I1282" s="5"/>
      <c r="J1282" s="5"/>
      <c r="K1282" s="22"/>
      <c r="L1282" s="22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19"/>
      <c r="AH1282" s="5"/>
      <c r="AI1282" s="5"/>
      <c r="AJ1282" s="5"/>
      <c r="AK1282" s="5"/>
    </row>
    <row r="1283" spans="1:37" x14ac:dyDescent="0.25">
      <c r="A1283" s="182"/>
      <c r="B1283" s="6"/>
      <c r="C1283" s="6"/>
      <c r="D1283" s="15"/>
      <c r="E1283" s="22"/>
      <c r="F1283" s="22"/>
      <c r="G1283" s="22"/>
      <c r="I1283" s="5"/>
      <c r="J1283" s="5"/>
      <c r="K1283" s="22"/>
      <c r="L1283" s="22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19"/>
      <c r="AH1283" s="5"/>
      <c r="AI1283" s="5"/>
      <c r="AJ1283" s="5"/>
      <c r="AK1283" s="5"/>
    </row>
    <row r="1284" spans="1:37" x14ac:dyDescent="0.25">
      <c r="A1284" s="182"/>
      <c r="B1284" s="6"/>
      <c r="C1284" s="6"/>
      <c r="D1284" s="15"/>
      <c r="E1284" s="22"/>
      <c r="F1284" s="22"/>
      <c r="G1284" s="22"/>
      <c r="I1284" s="5"/>
      <c r="J1284" s="5"/>
      <c r="K1284" s="22"/>
      <c r="L1284" s="22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19"/>
      <c r="AH1284" s="5"/>
      <c r="AI1284" s="5"/>
      <c r="AJ1284" s="5"/>
      <c r="AK1284" s="5"/>
    </row>
    <row r="1285" spans="1:37" x14ac:dyDescent="0.25">
      <c r="A1285" s="182"/>
      <c r="B1285" s="6"/>
      <c r="C1285" s="6"/>
      <c r="D1285" s="15"/>
      <c r="E1285" s="22"/>
      <c r="F1285" s="22"/>
      <c r="G1285" s="22"/>
      <c r="I1285" s="5"/>
      <c r="J1285" s="5"/>
      <c r="K1285" s="22"/>
      <c r="L1285" s="22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19"/>
      <c r="AH1285" s="5"/>
      <c r="AI1285" s="5"/>
      <c r="AJ1285" s="5"/>
      <c r="AK1285" s="5"/>
    </row>
    <row r="1286" spans="1:37" x14ac:dyDescent="0.25">
      <c r="A1286" s="182"/>
      <c r="B1286" s="6"/>
      <c r="C1286" s="6"/>
      <c r="D1286" s="15"/>
      <c r="E1286" s="22"/>
      <c r="F1286" s="22"/>
      <c r="G1286" s="22"/>
      <c r="I1286" s="5"/>
      <c r="J1286" s="5"/>
      <c r="K1286" s="22"/>
      <c r="L1286" s="22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19"/>
      <c r="AH1286" s="5"/>
      <c r="AI1286" s="5"/>
      <c r="AJ1286" s="5"/>
      <c r="AK1286" s="5"/>
    </row>
    <row r="1287" spans="1:37" x14ac:dyDescent="0.25">
      <c r="A1287" s="182"/>
      <c r="B1287" s="6"/>
      <c r="C1287" s="6"/>
      <c r="D1287" s="15"/>
      <c r="E1287" s="22"/>
      <c r="F1287" s="22"/>
      <c r="G1287" s="22"/>
      <c r="I1287" s="5"/>
      <c r="J1287" s="5"/>
      <c r="K1287" s="22"/>
      <c r="L1287" s="22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19"/>
      <c r="AH1287" s="5"/>
      <c r="AI1287" s="5"/>
      <c r="AJ1287" s="5"/>
      <c r="AK1287" s="5"/>
    </row>
    <row r="1288" spans="1:37" x14ac:dyDescent="0.25">
      <c r="A1288" s="182"/>
      <c r="B1288" s="6"/>
      <c r="C1288" s="6"/>
      <c r="D1288" s="15"/>
      <c r="E1288" s="22"/>
      <c r="F1288" s="22"/>
      <c r="G1288" s="22"/>
      <c r="I1288" s="5"/>
      <c r="J1288" s="5"/>
      <c r="K1288" s="22"/>
      <c r="L1288" s="22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19"/>
      <c r="AH1288" s="5"/>
      <c r="AI1288" s="5"/>
      <c r="AJ1288" s="5"/>
      <c r="AK1288" s="5"/>
    </row>
    <row r="1289" spans="1:37" x14ac:dyDescent="0.25">
      <c r="A1289" s="182"/>
      <c r="B1289" s="6"/>
      <c r="C1289" s="6"/>
      <c r="D1289" s="15"/>
      <c r="E1289" s="22"/>
      <c r="F1289" s="22"/>
      <c r="G1289" s="22"/>
      <c r="I1289" s="5"/>
      <c r="J1289" s="5"/>
      <c r="K1289" s="22"/>
      <c r="L1289" s="22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19"/>
      <c r="AH1289" s="5"/>
      <c r="AI1289" s="5"/>
      <c r="AJ1289" s="5"/>
      <c r="AK1289" s="5"/>
    </row>
    <row r="1290" spans="1:37" x14ac:dyDescent="0.25">
      <c r="A1290" s="182"/>
      <c r="B1290" s="6"/>
      <c r="C1290" s="6"/>
      <c r="D1290" s="15"/>
      <c r="E1290" s="22"/>
      <c r="F1290" s="22"/>
      <c r="G1290" s="22"/>
      <c r="I1290" s="5"/>
      <c r="J1290" s="5"/>
      <c r="K1290" s="22"/>
      <c r="L1290" s="22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19"/>
      <c r="AH1290" s="5"/>
      <c r="AI1290" s="5"/>
      <c r="AJ1290" s="5"/>
      <c r="AK1290" s="5"/>
    </row>
    <row r="1291" spans="1:37" x14ac:dyDescent="0.25">
      <c r="A1291" s="182"/>
      <c r="B1291" s="6"/>
      <c r="C1291" s="6"/>
      <c r="D1291" s="15"/>
      <c r="E1291" s="22"/>
      <c r="F1291" s="22"/>
      <c r="G1291" s="22"/>
      <c r="I1291" s="5"/>
      <c r="J1291" s="5"/>
      <c r="K1291" s="22"/>
      <c r="L1291" s="22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19"/>
      <c r="AH1291" s="5"/>
      <c r="AI1291" s="5"/>
      <c r="AJ1291" s="5"/>
      <c r="AK1291" s="5"/>
    </row>
    <row r="1292" spans="1:37" x14ac:dyDescent="0.25">
      <c r="A1292" s="182"/>
      <c r="B1292" s="6"/>
      <c r="C1292" s="6"/>
      <c r="D1292" s="15"/>
      <c r="E1292" s="22"/>
      <c r="F1292" s="22"/>
      <c r="G1292" s="22"/>
      <c r="I1292" s="5"/>
      <c r="J1292" s="5"/>
      <c r="K1292" s="22"/>
      <c r="L1292" s="22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19"/>
      <c r="AH1292" s="5"/>
      <c r="AI1292" s="5"/>
      <c r="AJ1292" s="5"/>
      <c r="AK1292" s="5"/>
    </row>
    <row r="1293" spans="1:37" x14ac:dyDescent="0.25">
      <c r="A1293" s="182"/>
      <c r="B1293" s="6"/>
      <c r="C1293" s="6"/>
      <c r="D1293" s="15"/>
      <c r="E1293" s="22"/>
      <c r="F1293" s="22"/>
      <c r="G1293" s="22"/>
      <c r="I1293" s="5"/>
      <c r="J1293" s="5"/>
      <c r="K1293" s="22"/>
      <c r="L1293" s="22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19"/>
      <c r="AH1293" s="5"/>
      <c r="AI1293" s="5"/>
      <c r="AJ1293" s="5"/>
      <c r="AK1293" s="5"/>
    </row>
    <row r="1294" spans="1:37" x14ac:dyDescent="0.25">
      <c r="A1294" s="182"/>
      <c r="B1294" s="6"/>
      <c r="C1294" s="6"/>
      <c r="D1294" s="15"/>
      <c r="E1294" s="22"/>
      <c r="F1294" s="22"/>
      <c r="G1294" s="22"/>
      <c r="I1294" s="5"/>
      <c r="J1294" s="5"/>
      <c r="K1294" s="22"/>
      <c r="L1294" s="22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19"/>
      <c r="AH1294" s="5"/>
      <c r="AI1294" s="5"/>
      <c r="AJ1294" s="5"/>
      <c r="AK1294" s="5"/>
    </row>
    <row r="1295" spans="1:37" x14ac:dyDescent="0.25">
      <c r="A1295" s="182"/>
      <c r="B1295" s="6"/>
      <c r="C1295" s="6"/>
      <c r="D1295" s="15"/>
      <c r="E1295" s="22"/>
      <c r="F1295" s="22"/>
      <c r="G1295" s="22"/>
      <c r="I1295" s="5"/>
      <c r="J1295" s="5"/>
      <c r="K1295" s="22"/>
      <c r="L1295" s="22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19"/>
      <c r="AH1295" s="5"/>
      <c r="AI1295" s="5"/>
      <c r="AJ1295" s="5"/>
      <c r="AK1295" s="5"/>
    </row>
    <row r="1296" spans="1:37" x14ac:dyDescent="0.25">
      <c r="A1296" s="182"/>
      <c r="B1296" s="6"/>
      <c r="C1296" s="6"/>
      <c r="D1296" s="15"/>
      <c r="E1296" s="22"/>
      <c r="F1296" s="22"/>
      <c r="G1296" s="22"/>
      <c r="I1296" s="5"/>
      <c r="J1296" s="5"/>
      <c r="K1296" s="22"/>
      <c r="L1296" s="22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19"/>
      <c r="AH1296" s="5"/>
      <c r="AI1296" s="5"/>
      <c r="AJ1296" s="5"/>
      <c r="AK1296" s="5"/>
    </row>
    <row r="1297" spans="1:37" x14ac:dyDescent="0.25">
      <c r="A1297" s="182"/>
      <c r="B1297" s="6"/>
      <c r="C1297" s="6"/>
      <c r="D1297" s="15"/>
      <c r="E1297" s="22"/>
      <c r="F1297" s="22"/>
      <c r="G1297" s="22"/>
      <c r="I1297" s="5"/>
      <c r="J1297" s="5"/>
      <c r="K1297" s="22"/>
      <c r="L1297" s="22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19"/>
      <c r="AH1297" s="5"/>
      <c r="AI1297" s="5"/>
      <c r="AJ1297" s="5"/>
      <c r="AK1297" s="5"/>
    </row>
    <row r="1298" spans="1:37" x14ac:dyDescent="0.25">
      <c r="A1298" s="182"/>
      <c r="B1298" s="6"/>
      <c r="C1298" s="6"/>
      <c r="D1298" s="15"/>
      <c r="E1298" s="22"/>
      <c r="F1298" s="22"/>
      <c r="G1298" s="22"/>
      <c r="I1298" s="5"/>
      <c r="J1298" s="5"/>
      <c r="K1298" s="22"/>
      <c r="L1298" s="22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19"/>
      <c r="AH1298" s="5"/>
      <c r="AI1298" s="5"/>
      <c r="AJ1298" s="5"/>
      <c r="AK1298" s="5"/>
    </row>
    <row r="1299" spans="1:37" x14ac:dyDescent="0.25">
      <c r="A1299" s="182"/>
      <c r="B1299" s="6"/>
      <c r="C1299" s="6"/>
      <c r="D1299" s="15"/>
      <c r="E1299" s="22"/>
      <c r="F1299" s="22"/>
      <c r="G1299" s="22"/>
      <c r="I1299" s="5"/>
      <c r="J1299" s="5"/>
      <c r="K1299" s="22"/>
      <c r="L1299" s="22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19"/>
      <c r="AH1299" s="5"/>
      <c r="AI1299" s="5"/>
      <c r="AJ1299" s="5"/>
      <c r="AK1299" s="5"/>
    </row>
    <row r="1300" spans="1:37" x14ac:dyDescent="0.25">
      <c r="A1300" s="182"/>
      <c r="B1300" s="6"/>
      <c r="C1300" s="6"/>
      <c r="D1300" s="15"/>
      <c r="E1300" s="22"/>
      <c r="F1300" s="22"/>
      <c r="G1300" s="22"/>
      <c r="I1300" s="5"/>
      <c r="J1300" s="5"/>
      <c r="K1300" s="22"/>
      <c r="L1300" s="22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19"/>
      <c r="AH1300" s="5"/>
      <c r="AI1300" s="5"/>
      <c r="AJ1300" s="5"/>
      <c r="AK1300" s="5"/>
    </row>
    <row r="1301" spans="1:37" x14ac:dyDescent="0.25">
      <c r="A1301" s="182"/>
      <c r="B1301" s="6"/>
      <c r="C1301" s="6"/>
      <c r="D1301" s="15"/>
      <c r="E1301" s="22"/>
      <c r="F1301" s="22"/>
      <c r="G1301" s="22"/>
      <c r="I1301" s="5"/>
      <c r="J1301" s="5"/>
      <c r="K1301" s="22"/>
      <c r="L1301" s="22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19"/>
      <c r="AH1301" s="5"/>
      <c r="AI1301" s="5"/>
      <c r="AJ1301" s="5"/>
      <c r="AK1301" s="5"/>
    </row>
    <row r="1302" spans="1:37" x14ac:dyDescent="0.25">
      <c r="A1302" s="182"/>
      <c r="B1302" s="6"/>
      <c r="C1302" s="6"/>
      <c r="D1302" s="15"/>
      <c r="E1302" s="22"/>
      <c r="F1302" s="22"/>
      <c r="G1302" s="22"/>
      <c r="I1302" s="5"/>
      <c r="J1302" s="5"/>
      <c r="K1302" s="22"/>
      <c r="L1302" s="22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19"/>
      <c r="AH1302" s="5"/>
      <c r="AI1302" s="5"/>
      <c r="AJ1302" s="5"/>
      <c r="AK1302" s="5"/>
    </row>
    <row r="1303" spans="1:37" x14ac:dyDescent="0.25">
      <c r="A1303" s="182"/>
      <c r="B1303" s="6"/>
      <c r="C1303" s="6"/>
      <c r="D1303" s="15"/>
      <c r="E1303" s="22"/>
      <c r="F1303" s="22"/>
      <c r="G1303" s="22"/>
      <c r="I1303" s="5"/>
      <c r="J1303" s="5"/>
      <c r="K1303" s="22"/>
      <c r="L1303" s="22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19"/>
      <c r="AH1303" s="5"/>
      <c r="AI1303" s="5"/>
      <c r="AJ1303" s="5"/>
      <c r="AK1303" s="5"/>
    </row>
    <row r="1304" spans="1:37" x14ac:dyDescent="0.25">
      <c r="A1304" s="182"/>
      <c r="B1304" s="6"/>
      <c r="C1304" s="6"/>
      <c r="D1304" s="15"/>
      <c r="E1304" s="22"/>
      <c r="F1304" s="22"/>
      <c r="G1304" s="22"/>
      <c r="I1304" s="5"/>
      <c r="J1304" s="5"/>
      <c r="K1304" s="22"/>
      <c r="L1304" s="22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19"/>
      <c r="AH1304" s="5"/>
      <c r="AI1304" s="5"/>
      <c r="AJ1304" s="5"/>
      <c r="AK1304" s="5"/>
    </row>
    <row r="1305" spans="1:37" x14ac:dyDescent="0.25">
      <c r="A1305" s="182"/>
      <c r="B1305" s="6"/>
      <c r="C1305" s="6"/>
      <c r="D1305" s="15"/>
      <c r="E1305" s="22"/>
      <c r="F1305" s="22"/>
      <c r="G1305" s="22"/>
      <c r="I1305" s="5"/>
      <c r="J1305" s="5"/>
      <c r="K1305" s="22"/>
      <c r="L1305" s="22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19"/>
      <c r="AH1305" s="5"/>
      <c r="AI1305" s="5"/>
      <c r="AJ1305" s="5"/>
      <c r="AK1305" s="5"/>
    </row>
    <row r="1306" spans="1:37" x14ac:dyDescent="0.25">
      <c r="A1306" s="182"/>
      <c r="B1306" s="6"/>
      <c r="C1306" s="6"/>
      <c r="D1306" s="15"/>
      <c r="E1306" s="22"/>
      <c r="F1306" s="22"/>
      <c r="G1306" s="22"/>
      <c r="I1306" s="5"/>
      <c r="J1306" s="5"/>
      <c r="K1306" s="22"/>
      <c r="L1306" s="22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19"/>
      <c r="AH1306" s="5"/>
      <c r="AI1306" s="5"/>
      <c r="AJ1306" s="5"/>
      <c r="AK1306" s="5"/>
    </row>
    <row r="1307" spans="1:37" x14ac:dyDescent="0.25">
      <c r="A1307" s="182"/>
      <c r="B1307" s="6"/>
      <c r="C1307" s="6"/>
      <c r="D1307" s="15"/>
      <c r="E1307" s="22"/>
      <c r="F1307" s="22"/>
      <c r="G1307" s="22"/>
      <c r="I1307" s="5"/>
      <c r="J1307" s="5"/>
      <c r="K1307" s="22"/>
      <c r="L1307" s="22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19"/>
      <c r="AH1307" s="5"/>
      <c r="AI1307" s="5"/>
      <c r="AJ1307" s="5"/>
      <c r="AK1307" s="5"/>
    </row>
    <row r="1308" spans="1:37" x14ac:dyDescent="0.25">
      <c r="A1308" s="182"/>
      <c r="B1308" s="6"/>
      <c r="C1308" s="6"/>
      <c r="D1308" s="15"/>
      <c r="E1308" s="22"/>
      <c r="F1308" s="22"/>
      <c r="G1308" s="22"/>
      <c r="I1308" s="5"/>
      <c r="J1308" s="5"/>
      <c r="K1308" s="22"/>
      <c r="L1308" s="22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19"/>
      <c r="AH1308" s="5"/>
      <c r="AI1308" s="5"/>
      <c r="AJ1308" s="5"/>
      <c r="AK1308" s="5"/>
    </row>
    <row r="1309" spans="1:37" x14ac:dyDescent="0.25">
      <c r="A1309" s="182"/>
      <c r="B1309" s="6"/>
      <c r="C1309" s="6"/>
      <c r="D1309" s="15"/>
      <c r="E1309" s="22"/>
      <c r="F1309" s="22"/>
      <c r="G1309" s="22"/>
      <c r="I1309" s="5"/>
      <c r="J1309" s="5"/>
      <c r="K1309" s="22"/>
      <c r="L1309" s="22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19"/>
      <c r="AH1309" s="5"/>
      <c r="AI1309" s="5"/>
      <c r="AJ1309" s="5"/>
      <c r="AK1309" s="5"/>
    </row>
    <row r="1310" spans="1:37" x14ac:dyDescent="0.25">
      <c r="A1310" s="182"/>
      <c r="B1310" s="6"/>
      <c r="C1310" s="6"/>
      <c r="D1310" s="15"/>
      <c r="E1310" s="22"/>
      <c r="F1310" s="22"/>
      <c r="G1310" s="22"/>
      <c r="I1310" s="5"/>
      <c r="J1310" s="5"/>
      <c r="K1310" s="22"/>
      <c r="L1310" s="22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19"/>
      <c r="AH1310" s="5"/>
      <c r="AI1310" s="5"/>
      <c r="AJ1310" s="5"/>
      <c r="AK1310" s="5"/>
    </row>
    <row r="1311" spans="1:37" x14ac:dyDescent="0.25">
      <c r="A1311" s="182"/>
      <c r="B1311" s="6"/>
      <c r="C1311" s="6"/>
      <c r="D1311" s="15"/>
      <c r="E1311" s="22"/>
      <c r="F1311" s="22"/>
      <c r="G1311" s="22"/>
      <c r="I1311" s="5"/>
      <c r="J1311" s="5"/>
      <c r="K1311" s="22"/>
      <c r="L1311" s="22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19"/>
      <c r="AH1311" s="5"/>
      <c r="AI1311" s="5"/>
      <c r="AJ1311" s="5"/>
      <c r="AK1311" s="5"/>
    </row>
    <row r="1312" spans="1:37" x14ac:dyDescent="0.25">
      <c r="A1312" s="182"/>
      <c r="B1312" s="6"/>
      <c r="C1312" s="6"/>
      <c r="D1312" s="15"/>
      <c r="E1312" s="22"/>
      <c r="F1312" s="22"/>
      <c r="G1312" s="22"/>
      <c r="I1312" s="5"/>
      <c r="J1312" s="5"/>
      <c r="K1312" s="22"/>
      <c r="L1312" s="22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19"/>
      <c r="AH1312" s="5"/>
      <c r="AI1312" s="5"/>
      <c r="AJ1312" s="5"/>
      <c r="AK1312" s="5"/>
    </row>
    <row r="1313" spans="1:37" x14ac:dyDescent="0.25">
      <c r="A1313" s="182"/>
      <c r="B1313" s="6"/>
      <c r="C1313" s="6"/>
      <c r="D1313" s="15"/>
      <c r="E1313" s="22"/>
      <c r="F1313" s="22"/>
      <c r="G1313" s="22"/>
      <c r="I1313" s="5"/>
      <c r="J1313" s="5"/>
      <c r="K1313" s="22"/>
      <c r="L1313" s="22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19"/>
      <c r="AH1313" s="5"/>
      <c r="AI1313" s="5"/>
      <c r="AJ1313" s="5"/>
      <c r="AK1313" s="5"/>
    </row>
    <row r="1314" spans="1:37" x14ac:dyDescent="0.25">
      <c r="A1314" s="182"/>
      <c r="B1314" s="6"/>
      <c r="C1314" s="6"/>
      <c r="D1314" s="15"/>
      <c r="E1314" s="22"/>
      <c r="F1314" s="22"/>
      <c r="G1314" s="22"/>
      <c r="I1314" s="5"/>
      <c r="J1314" s="5"/>
      <c r="K1314" s="22"/>
      <c r="L1314" s="22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19"/>
      <c r="AH1314" s="5"/>
      <c r="AI1314" s="5"/>
      <c r="AJ1314" s="5"/>
      <c r="AK1314" s="5"/>
    </row>
    <row r="1315" spans="1:37" x14ac:dyDescent="0.25">
      <c r="A1315" s="182"/>
      <c r="B1315" s="6"/>
      <c r="C1315" s="6"/>
      <c r="D1315" s="15"/>
      <c r="E1315" s="22"/>
      <c r="F1315" s="22"/>
      <c r="G1315" s="22"/>
      <c r="I1315" s="5"/>
      <c r="J1315" s="5"/>
      <c r="K1315" s="22"/>
      <c r="L1315" s="22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19"/>
      <c r="AH1315" s="5"/>
      <c r="AI1315" s="5"/>
      <c r="AJ1315" s="5"/>
      <c r="AK1315" s="5"/>
    </row>
    <row r="1316" spans="1:37" x14ac:dyDescent="0.25">
      <c r="A1316" s="182"/>
      <c r="B1316" s="6"/>
      <c r="C1316" s="6"/>
      <c r="D1316" s="15"/>
      <c r="E1316" s="22"/>
      <c r="F1316" s="22"/>
      <c r="G1316" s="22"/>
      <c r="I1316" s="5"/>
      <c r="J1316" s="5"/>
      <c r="K1316" s="22"/>
      <c r="L1316" s="22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19"/>
      <c r="AH1316" s="5"/>
      <c r="AI1316" s="5"/>
      <c r="AJ1316" s="5"/>
      <c r="AK1316" s="5"/>
    </row>
    <row r="1317" spans="1:37" x14ac:dyDescent="0.25">
      <c r="A1317" s="182"/>
      <c r="B1317" s="6"/>
      <c r="C1317" s="6"/>
      <c r="D1317" s="15"/>
      <c r="E1317" s="22"/>
      <c r="F1317" s="22"/>
      <c r="G1317" s="22"/>
      <c r="I1317" s="5"/>
      <c r="J1317" s="5"/>
      <c r="K1317" s="22"/>
      <c r="L1317" s="22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19"/>
      <c r="AH1317" s="5"/>
      <c r="AI1317" s="5"/>
      <c r="AJ1317" s="5"/>
      <c r="AK1317" s="5"/>
    </row>
    <row r="1318" spans="1:37" x14ac:dyDescent="0.25">
      <c r="A1318" s="182"/>
      <c r="B1318" s="6"/>
      <c r="C1318" s="6"/>
      <c r="D1318" s="15"/>
      <c r="E1318" s="22"/>
      <c r="F1318" s="22"/>
      <c r="G1318" s="22"/>
      <c r="I1318" s="5"/>
      <c r="J1318" s="5"/>
      <c r="K1318" s="22"/>
      <c r="L1318" s="22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19"/>
      <c r="AH1318" s="5"/>
      <c r="AI1318" s="5"/>
      <c r="AJ1318" s="5"/>
      <c r="AK1318" s="5"/>
    </row>
    <row r="1319" spans="1:37" x14ac:dyDescent="0.25">
      <c r="A1319" s="182"/>
      <c r="B1319" s="6"/>
      <c r="C1319" s="6"/>
      <c r="D1319" s="15"/>
      <c r="E1319" s="22"/>
      <c r="F1319" s="22"/>
      <c r="G1319" s="22"/>
      <c r="I1319" s="5"/>
      <c r="J1319" s="5"/>
      <c r="K1319" s="22"/>
      <c r="L1319" s="22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19"/>
      <c r="AH1319" s="5"/>
      <c r="AI1319" s="5"/>
      <c r="AJ1319" s="5"/>
      <c r="AK1319" s="5"/>
    </row>
    <row r="1320" spans="1:37" x14ac:dyDescent="0.25">
      <c r="A1320" s="182"/>
      <c r="B1320" s="6"/>
      <c r="C1320" s="6"/>
      <c r="D1320" s="15"/>
      <c r="E1320" s="22"/>
      <c r="F1320" s="22"/>
      <c r="G1320" s="22"/>
      <c r="I1320" s="5"/>
      <c r="J1320" s="5"/>
      <c r="K1320" s="22"/>
      <c r="L1320" s="22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19"/>
      <c r="AH1320" s="5"/>
      <c r="AI1320" s="5"/>
      <c r="AJ1320" s="5"/>
      <c r="AK1320" s="5"/>
    </row>
    <row r="1321" spans="1:37" x14ac:dyDescent="0.25">
      <c r="A1321" s="182"/>
      <c r="B1321" s="6"/>
      <c r="C1321" s="6"/>
      <c r="D1321" s="15"/>
      <c r="E1321" s="22"/>
      <c r="F1321" s="22"/>
      <c r="G1321" s="22"/>
      <c r="I1321" s="5"/>
      <c r="J1321" s="5"/>
      <c r="K1321" s="22"/>
      <c r="L1321" s="22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19"/>
      <c r="AH1321" s="5"/>
      <c r="AI1321" s="5"/>
      <c r="AJ1321" s="5"/>
      <c r="AK1321" s="5"/>
    </row>
    <row r="1322" spans="1:37" x14ac:dyDescent="0.25">
      <c r="A1322" s="182"/>
      <c r="B1322" s="6"/>
      <c r="C1322" s="6"/>
      <c r="D1322" s="15"/>
      <c r="E1322" s="22"/>
      <c r="F1322" s="22"/>
      <c r="G1322" s="22"/>
      <c r="I1322" s="5"/>
      <c r="J1322" s="5"/>
      <c r="K1322" s="22"/>
      <c r="L1322" s="22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19"/>
      <c r="AH1322" s="5"/>
      <c r="AI1322" s="5"/>
      <c r="AJ1322" s="5"/>
      <c r="AK1322" s="5"/>
    </row>
    <row r="1323" spans="1:37" x14ac:dyDescent="0.25">
      <c r="A1323" s="182"/>
      <c r="B1323" s="6"/>
      <c r="C1323" s="6"/>
      <c r="D1323" s="15"/>
      <c r="E1323" s="22"/>
      <c r="F1323" s="22"/>
      <c r="G1323" s="22"/>
      <c r="I1323" s="5"/>
      <c r="J1323" s="5"/>
      <c r="K1323" s="22"/>
      <c r="L1323" s="22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19"/>
      <c r="AH1323" s="5"/>
      <c r="AI1323" s="5"/>
      <c r="AJ1323" s="5"/>
      <c r="AK1323" s="5"/>
    </row>
    <row r="1324" spans="1:37" x14ac:dyDescent="0.25">
      <c r="A1324" s="182"/>
      <c r="B1324" s="6"/>
      <c r="C1324" s="6"/>
      <c r="D1324" s="15"/>
      <c r="E1324" s="22"/>
      <c r="F1324" s="22"/>
      <c r="G1324" s="22"/>
      <c r="I1324" s="5"/>
      <c r="J1324" s="5"/>
      <c r="K1324" s="22"/>
      <c r="L1324" s="22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19"/>
      <c r="AH1324" s="5"/>
      <c r="AI1324" s="5"/>
      <c r="AJ1324" s="5"/>
      <c r="AK1324" s="5"/>
    </row>
    <row r="1325" spans="1:37" x14ac:dyDescent="0.25">
      <c r="A1325" s="182"/>
      <c r="B1325" s="6"/>
      <c r="C1325" s="6"/>
      <c r="D1325" s="15"/>
      <c r="E1325" s="22"/>
      <c r="F1325" s="22"/>
      <c r="G1325" s="22"/>
      <c r="I1325" s="5"/>
      <c r="J1325" s="5"/>
      <c r="K1325" s="22"/>
      <c r="L1325" s="22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19"/>
      <c r="AH1325" s="5"/>
      <c r="AI1325" s="5"/>
      <c r="AJ1325" s="5"/>
      <c r="AK1325" s="5"/>
    </row>
    <row r="1326" spans="1:37" x14ac:dyDescent="0.25">
      <c r="A1326" s="182"/>
      <c r="B1326" s="6"/>
      <c r="C1326" s="6"/>
      <c r="D1326" s="15"/>
      <c r="E1326" s="22"/>
      <c r="F1326" s="22"/>
      <c r="G1326" s="22"/>
      <c r="I1326" s="5"/>
      <c r="J1326" s="5"/>
      <c r="K1326" s="22"/>
      <c r="L1326" s="22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19"/>
      <c r="AH1326" s="5"/>
      <c r="AI1326" s="5"/>
      <c r="AJ1326" s="5"/>
      <c r="AK1326" s="5"/>
    </row>
    <row r="1327" spans="1:37" x14ac:dyDescent="0.25">
      <c r="A1327" s="182"/>
      <c r="B1327" s="6"/>
      <c r="C1327" s="6"/>
      <c r="D1327" s="15"/>
      <c r="E1327" s="22"/>
      <c r="F1327" s="22"/>
      <c r="G1327" s="22"/>
      <c r="I1327" s="5"/>
      <c r="J1327" s="5"/>
      <c r="K1327" s="22"/>
      <c r="L1327" s="22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19"/>
      <c r="AH1327" s="5"/>
      <c r="AI1327" s="5"/>
      <c r="AJ1327" s="5"/>
      <c r="AK1327" s="5"/>
    </row>
    <row r="1328" spans="1:37" x14ac:dyDescent="0.25">
      <c r="A1328" s="182"/>
      <c r="B1328" s="6"/>
      <c r="C1328" s="6"/>
      <c r="D1328" s="15"/>
      <c r="E1328" s="22"/>
      <c r="F1328" s="22"/>
      <c r="G1328" s="22"/>
      <c r="I1328" s="5"/>
      <c r="J1328" s="5"/>
      <c r="K1328" s="22"/>
      <c r="L1328" s="22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19"/>
      <c r="AH1328" s="5"/>
      <c r="AI1328" s="5"/>
      <c r="AJ1328" s="5"/>
      <c r="AK1328" s="5"/>
    </row>
    <row r="1329" spans="1:37" x14ac:dyDescent="0.25">
      <c r="A1329" s="182"/>
      <c r="B1329" s="6"/>
      <c r="C1329" s="6"/>
      <c r="D1329" s="15"/>
      <c r="E1329" s="22"/>
      <c r="F1329" s="22"/>
      <c r="G1329" s="22"/>
      <c r="I1329" s="5"/>
      <c r="J1329" s="5"/>
      <c r="K1329" s="22"/>
      <c r="L1329" s="22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19"/>
      <c r="AH1329" s="5"/>
      <c r="AI1329" s="5"/>
      <c r="AJ1329" s="5"/>
      <c r="AK1329" s="5"/>
    </row>
    <row r="1330" spans="1:37" x14ac:dyDescent="0.25">
      <c r="A1330" s="182"/>
      <c r="B1330" s="6"/>
      <c r="C1330" s="6"/>
      <c r="D1330" s="15"/>
      <c r="E1330" s="22"/>
      <c r="F1330" s="22"/>
      <c r="G1330" s="22"/>
      <c r="I1330" s="5"/>
      <c r="J1330" s="5"/>
      <c r="K1330" s="22"/>
      <c r="L1330" s="22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19"/>
      <c r="AH1330" s="5"/>
      <c r="AI1330" s="5"/>
      <c r="AJ1330" s="5"/>
      <c r="AK1330" s="5"/>
    </row>
    <row r="1331" spans="1:37" x14ac:dyDescent="0.25">
      <c r="A1331" s="182"/>
      <c r="B1331" s="6"/>
      <c r="C1331" s="6"/>
      <c r="D1331" s="15"/>
      <c r="E1331" s="22"/>
      <c r="F1331" s="22"/>
      <c r="G1331" s="22"/>
      <c r="I1331" s="5"/>
      <c r="J1331" s="5"/>
      <c r="K1331" s="22"/>
      <c r="L1331" s="22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19"/>
      <c r="AH1331" s="5"/>
      <c r="AI1331" s="5"/>
      <c r="AJ1331" s="5"/>
      <c r="AK1331" s="5"/>
    </row>
    <row r="1332" spans="1:37" x14ac:dyDescent="0.25">
      <c r="A1332" s="182"/>
      <c r="B1332" s="6"/>
      <c r="C1332" s="6"/>
      <c r="D1332" s="15"/>
      <c r="E1332" s="22"/>
      <c r="F1332" s="22"/>
      <c r="G1332" s="22"/>
      <c r="I1332" s="5"/>
      <c r="J1332" s="5"/>
      <c r="K1332" s="22"/>
      <c r="L1332" s="22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19"/>
      <c r="AH1332" s="5"/>
      <c r="AI1332" s="5"/>
      <c r="AJ1332" s="5"/>
      <c r="AK1332" s="5"/>
    </row>
    <row r="1333" spans="1:37" x14ac:dyDescent="0.25">
      <c r="A1333" s="182"/>
      <c r="B1333" s="6"/>
      <c r="C1333" s="6"/>
      <c r="D1333" s="15"/>
      <c r="E1333" s="22"/>
      <c r="F1333" s="22"/>
      <c r="G1333" s="22"/>
      <c r="I1333" s="5"/>
      <c r="J1333" s="5"/>
      <c r="K1333" s="22"/>
      <c r="L1333" s="22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19"/>
      <c r="AH1333" s="5"/>
      <c r="AI1333" s="5"/>
      <c r="AJ1333" s="5"/>
      <c r="AK1333" s="5"/>
    </row>
    <row r="1334" spans="1:37" x14ac:dyDescent="0.25">
      <c r="A1334" s="182"/>
      <c r="B1334" s="6"/>
      <c r="C1334" s="6"/>
      <c r="D1334" s="15"/>
      <c r="E1334" s="22"/>
      <c r="F1334" s="22"/>
      <c r="G1334" s="22"/>
      <c r="I1334" s="5"/>
      <c r="J1334" s="5"/>
      <c r="K1334" s="22"/>
      <c r="L1334" s="22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19"/>
      <c r="AH1334" s="5"/>
      <c r="AI1334" s="5"/>
      <c r="AJ1334" s="5"/>
      <c r="AK1334" s="5"/>
    </row>
    <row r="1335" spans="1:37" x14ac:dyDescent="0.25">
      <c r="A1335" s="182"/>
      <c r="B1335" s="6"/>
      <c r="C1335" s="6"/>
      <c r="D1335" s="15"/>
      <c r="E1335" s="22"/>
      <c r="F1335" s="22"/>
      <c r="G1335" s="22"/>
      <c r="I1335" s="5"/>
      <c r="J1335" s="5"/>
      <c r="K1335" s="22"/>
      <c r="L1335" s="22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19"/>
      <c r="AH1335" s="5"/>
      <c r="AI1335" s="5"/>
      <c r="AJ1335" s="5"/>
      <c r="AK1335" s="5"/>
    </row>
    <row r="1336" spans="1:37" x14ac:dyDescent="0.25">
      <c r="A1336" s="182"/>
      <c r="B1336" s="6"/>
      <c r="C1336" s="6"/>
      <c r="D1336" s="15"/>
      <c r="E1336" s="22"/>
      <c r="F1336" s="22"/>
      <c r="G1336" s="22"/>
      <c r="I1336" s="5"/>
      <c r="J1336" s="5"/>
      <c r="K1336" s="22"/>
      <c r="L1336" s="22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19"/>
      <c r="AH1336" s="5"/>
      <c r="AI1336" s="5"/>
      <c r="AJ1336" s="5"/>
      <c r="AK1336" s="5"/>
    </row>
    <row r="1337" spans="1:37" x14ac:dyDescent="0.25">
      <c r="A1337" s="182"/>
      <c r="B1337" s="6"/>
      <c r="C1337" s="6"/>
      <c r="D1337" s="15"/>
      <c r="E1337" s="22"/>
      <c r="F1337" s="22"/>
      <c r="G1337" s="22"/>
      <c r="I1337" s="5"/>
      <c r="J1337" s="5"/>
      <c r="K1337" s="22"/>
      <c r="L1337" s="22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19"/>
      <c r="AH1337" s="5"/>
      <c r="AI1337" s="5"/>
      <c r="AJ1337" s="5"/>
      <c r="AK1337" s="5"/>
    </row>
    <row r="1338" spans="1:37" x14ac:dyDescent="0.25">
      <c r="A1338" s="182"/>
      <c r="B1338" s="6"/>
      <c r="C1338" s="6"/>
      <c r="D1338" s="15"/>
      <c r="E1338" s="22"/>
      <c r="F1338" s="22"/>
      <c r="G1338" s="22"/>
      <c r="I1338" s="5"/>
      <c r="J1338" s="5"/>
      <c r="K1338" s="22"/>
      <c r="L1338" s="22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19"/>
      <c r="AH1338" s="5"/>
      <c r="AI1338" s="5"/>
      <c r="AJ1338" s="5"/>
      <c r="AK1338" s="5"/>
    </row>
    <row r="1339" spans="1:37" x14ac:dyDescent="0.25">
      <c r="A1339" s="182"/>
      <c r="B1339" s="6"/>
      <c r="C1339" s="6"/>
      <c r="D1339" s="15"/>
      <c r="E1339" s="22"/>
      <c r="F1339" s="22"/>
      <c r="G1339" s="22"/>
      <c r="I1339" s="5"/>
      <c r="J1339" s="5"/>
      <c r="K1339" s="22"/>
      <c r="L1339" s="22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19"/>
      <c r="AH1339" s="5"/>
      <c r="AI1339" s="5"/>
      <c r="AJ1339" s="5"/>
      <c r="AK1339" s="5"/>
    </row>
    <row r="1340" spans="1:37" x14ac:dyDescent="0.25">
      <c r="A1340" s="182"/>
      <c r="B1340" s="6"/>
      <c r="C1340" s="6"/>
      <c r="D1340" s="15"/>
      <c r="E1340" s="22"/>
      <c r="F1340" s="22"/>
      <c r="G1340" s="22"/>
      <c r="I1340" s="5"/>
      <c r="J1340" s="5"/>
      <c r="K1340" s="22"/>
      <c r="L1340" s="22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19"/>
      <c r="AH1340" s="5"/>
      <c r="AI1340" s="5"/>
      <c r="AJ1340" s="5"/>
      <c r="AK1340" s="5"/>
    </row>
    <row r="1341" spans="1:37" x14ac:dyDescent="0.25">
      <c r="A1341" s="182"/>
      <c r="B1341" s="6"/>
      <c r="C1341" s="6"/>
      <c r="D1341" s="15"/>
      <c r="E1341" s="22"/>
      <c r="F1341" s="22"/>
      <c r="G1341" s="22"/>
      <c r="I1341" s="5"/>
      <c r="J1341" s="5"/>
      <c r="K1341" s="22"/>
      <c r="L1341" s="22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19"/>
      <c r="AH1341" s="5"/>
      <c r="AI1341" s="5"/>
      <c r="AJ1341" s="5"/>
      <c r="AK1341" s="5"/>
    </row>
    <row r="1342" spans="1:37" x14ac:dyDescent="0.25">
      <c r="A1342" s="182"/>
      <c r="B1342" s="6"/>
      <c r="C1342" s="6"/>
      <c r="D1342" s="15"/>
      <c r="E1342" s="22"/>
      <c r="F1342" s="22"/>
      <c r="G1342" s="22"/>
      <c r="I1342" s="5"/>
      <c r="J1342" s="5"/>
      <c r="K1342" s="22"/>
      <c r="L1342" s="22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19"/>
      <c r="AH1342" s="5"/>
      <c r="AI1342" s="5"/>
      <c r="AJ1342" s="5"/>
      <c r="AK1342" s="5"/>
    </row>
    <row r="1343" spans="1:37" x14ac:dyDescent="0.25">
      <c r="A1343" s="182"/>
      <c r="B1343" s="6"/>
      <c r="C1343" s="6"/>
      <c r="D1343" s="15"/>
      <c r="E1343" s="22"/>
      <c r="F1343" s="22"/>
      <c r="G1343" s="22"/>
      <c r="I1343" s="5"/>
      <c r="J1343" s="5"/>
      <c r="K1343" s="22"/>
      <c r="L1343" s="22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19"/>
      <c r="AH1343" s="5"/>
      <c r="AI1343" s="5"/>
      <c r="AJ1343" s="5"/>
      <c r="AK1343" s="5"/>
    </row>
    <row r="1344" spans="1:37" x14ac:dyDescent="0.25">
      <c r="A1344" s="182"/>
      <c r="B1344" s="6"/>
      <c r="C1344" s="6"/>
      <c r="D1344" s="15"/>
      <c r="E1344" s="22"/>
      <c r="F1344" s="22"/>
      <c r="G1344" s="22"/>
      <c r="I1344" s="5"/>
      <c r="J1344" s="5"/>
      <c r="K1344" s="22"/>
      <c r="L1344" s="22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19"/>
      <c r="AH1344" s="5"/>
      <c r="AI1344" s="5"/>
      <c r="AJ1344" s="5"/>
      <c r="AK1344" s="5"/>
    </row>
    <row r="1345" spans="1:37" x14ac:dyDescent="0.25">
      <c r="A1345" s="182"/>
      <c r="B1345" s="6"/>
      <c r="C1345" s="6"/>
      <c r="D1345" s="15"/>
      <c r="E1345" s="22"/>
      <c r="F1345" s="22"/>
      <c r="G1345" s="22"/>
      <c r="I1345" s="5"/>
      <c r="J1345" s="5"/>
      <c r="K1345" s="22"/>
      <c r="L1345" s="22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19"/>
      <c r="AH1345" s="5"/>
      <c r="AI1345" s="5"/>
      <c r="AJ1345" s="5"/>
      <c r="AK1345" s="5"/>
    </row>
    <row r="1346" spans="1:37" x14ac:dyDescent="0.25">
      <c r="A1346" s="182"/>
      <c r="B1346" s="6"/>
      <c r="C1346" s="6"/>
      <c r="D1346" s="15"/>
      <c r="E1346" s="22"/>
      <c r="F1346" s="22"/>
      <c r="G1346" s="22"/>
      <c r="I1346" s="5"/>
      <c r="J1346" s="5"/>
      <c r="K1346" s="22"/>
      <c r="L1346" s="22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19"/>
      <c r="AH1346" s="5"/>
      <c r="AI1346" s="5"/>
      <c r="AJ1346" s="5"/>
      <c r="AK1346" s="5"/>
    </row>
    <row r="1347" spans="1:37" x14ac:dyDescent="0.25">
      <c r="A1347" s="182"/>
      <c r="B1347" s="6"/>
      <c r="C1347" s="6"/>
      <c r="D1347" s="15"/>
      <c r="E1347" s="22"/>
      <c r="F1347" s="22"/>
      <c r="G1347" s="22"/>
      <c r="I1347" s="5"/>
      <c r="J1347" s="5"/>
      <c r="K1347" s="22"/>
      <c r="L1347" s="22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19"/>
      <c r="AH1347" s="5"/>
      <c r="AI1347" s="5"/>
      <c r="AJ1347" s="5"/>
      <c r="AK1347" s="5"/>
    </row>
    <row r="1348" spans="1:37" x14ac:dyDescent="0.25">
      <c r="A1348" s="182"/>
      <c r="B1348" s="6"/>
      <c r="C1348" s="6"/>
      <c r="D1348" s="15"/>
      <c r="E1348" s="22"/>
      <c r="F1348" s="22"/>
      <c r="G1348" s="22"/>
      <c r="I1348" s="5"/>
      <c r="J1348" s="5"/>
      <c r="K1348" s="22"/>
      <c r="L1348" s="22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19"/>
      <c r="AH1348" s="5"/>
      <c r="AI1348" s="5"/>
      <c r="AJ1348" s="5"/>
      <c r="AK1348" s="5"/>
    </row>
    <row r="1349" spans="1:37" x14ac:dyDescent="0.25">
      <c r="A1349" s="182"/>
      <c r="B1349" s="6"/>
      <c r="C1349" s="6"/>
      <c r="D1349" s="15"/>
      <c r="E1349" s="22"/>
      <c r="F1349" s="22"/>
      <c r="G1349" s="22"/>
      <c r="I1349" s="5"/>
      <c r="J1349" s="5"/>
      <c r="K1349" s="22"/>
      <c r="L1349" s="22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19"/>
      <c r="AH1349" s="5"/>
      <c r="AI1349" s="5"/>
      <c r="AJ1349" s="5"/>
      <c r="AK1349" s="5"/>
    </row>
    <row r="1350" spans="1:37" x14ac:dyDescent="0.25">
      <c r="A1350" s="182"/>
      <c r="B1350" s="6"/>
      <c r="C1350" s="6"/>
      <c r="D1350" s="15"/>
      <c r="E1350" s="22"/>
      <c r="F1350" s="22"/>
      <c r="G1350" s="22"/>
      <c r="I1350" s="5"/>
      <c r="J1350" s="5"/>
      <c r="K1350" s="22"/>
      <c r="L1350" s="22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19"/>
      <c r="AH1350" s="5"/>
      <c r="AI1350" s="5"/>
      <c r="AJ1350" s="5"/>
      <c r="AK1350" s="5"/>
    </row>
    <row r="1351" spans="1:37" x14ac:dyDescent="0.25">
      <c r="A1351" s="182"/>
      <c r="B1351" s="6"/>
      <c r="C1351" s="6"/>
      <c r="D1351" s="15"/>
      <c r="E1351" s="22"/>
      <c r="F1351" s="22"/>
      <c r="G1351" s="22"/>
      <c r="I1351" s="5"/>
      <c r="J1351" s="5"/>
      <c r="K1351" s="22"/>
      <c r="L1351" s="22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19"/>
      <c r="AH1351" s="5"/>
      <c r="AI1351" s="5"/>
      <c r="AJ1351" s="5"/>
      <c r="AK1351" s="5"/>
    </row>
    <row r="1352" spans="1:37" x14ac:dyDescent="0.25">
      <c r="A1352" s="182"/>
      <c r="B1352" s="6"/>
      <c r="C1352" s="6"/>
      <c r="D1352" s="15"/>
      <c r="E1352" s="22"/>
      <c r="F1352" s="22"/>
      <c r="G1352" s="22"/>
      <c r="I1352" s="5"/>
      <c r="J1352" s="5"/>
      <c r="K1352" s="22"/>
      <c r="L1352" s="22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19"/>
      <c r="AH1352" s="5"/>
      <c r="AI1352" s="5"/>
      <c r="AJ1352" s="5"/>
      <c r="AK1352" s="5"/>
    </row>
    <row r="1353" spans="1:37" x14ac:dyDescent="0.25">
      <c r="A1353" s="182"/>
      <c r="B1353" s="6"/>
      <c r="C1353" s="6"/>
      <c r="D1353" s="15"/>
      <c r="E1353" s="22"/>
      <c r="F1353" s="22"/>
      <c r="G1353" s="22"/>
      <c r="I1353" s="5"/>
      <c r="J1353" s="5"/>
      <c r="K1353" s="22"/>
      <c r="L1353" s="22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19"/>
      <c r="AH1353" s="5"/>
      <c r="AI1353" s="5"/>
      <c r="AJ1353" s="5"/>
      <c r="AK1353" s="5"/>
    </row>
    <row r="1354" spans="1:37" x14ac:dyDescent="0.25">
      <c r="A1354" s="182"/>
      <c r="B1354" s="6"/>
      <c r="C1354" s="6"/>
      <c r="D1354" s="15"/>
      <c r="E1354" s="22"/>
      <c r="F1354" s="22"/>
      <c r="G1354" s="22"/>
      <c r="I1354" s="5"/>
      <c r="J1354" s="5"/>
      <c r="K1354" s="22"/>
      <c r="L1354" s="22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19"/>
      <c r="AH1354" s="5"/>
      <c r="AI1354" s="5"/>
      <c r="AJ1354" s="5"/>
      <c r="AK1354" s="5"/>
    </row>
    <row r="1355" spans="1:37" x14ac:dyDescent="0.25">
      <c r="A1355" s="182"/>
      <c r="B1355" s="6"/>
      <c r="C1355" s="6"/>
      <c r="D1355" s="15"/>
      <c r="E1355" s="22"/>
      <c r="F1355" s="22"/>
      <c r="G1355" s="22"/>
      <c r="I1355" s="5"/>
      <c r="J1355" s="5"/>
      <c r="K1355" s="22"/>
      <c r="L1355" s="22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19"/>
      <c r="AH1355" s="5"/>
      <c r="AI1355" s="5"/>
      <c r="AJ1355" s="5"/>
      <c r="AK1355" s="5"/>
    </row>
    <row r="1356" spans="1:37" x14ac:dyDescent="0.25">
      <c r="A1356" s="182"/>
      <c r="B1356" s="6"/>
      <c r="C1356" s="6"/>
      <c r="D1356" s="15"/>
      <c r="E1356" s="22"/>
      <c r="F1356" s="22"/>
      <c r="G1356" s="22"/>
      <c r="I1356" s="5"/>
      <c r="J1356" s="5"/>
      <c r="K1356" s="22"/>
      <c r="L1356" s="22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19"/>
      <c r="AH1356" s="5"/>
      <c r="AI1356" s="5"/>
      <c r="AJ1356" s="5"/>
      <c r="AK1356" s="5"/>
    </row>
    <row r="1357" spans="1:37" x14ac:dyDescent="0.25">
      <c r="A1357" s="182"/>
      <c r="B1357" s="6"/>
      <c r="C1357" s="6"/>
      <c r="D1357" s="15"/>
      <c r="E1357" s="22"/>
      <c r="F1357" s="22"/>
      <c r="G1357" s="22"/>
      <c r="I1357" s="5"/>
      <c r="J1357" s="5"/>
      <c r="K1357" s="22"/>
      <c r="L1357" s="22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19"/>
      <c r="AH1357" s="5"/>
      <c r="AI1357" s="5"/>
      <c r="AJ1357" s="5"/>
      <c r="AK1357" s="5"/>
    </row>
    <row r="1358" spans="1:37" x14ac:dyDescent="0.25">
      <c r="A1358" s="182"/>
      <c r="B1358" s="6"/>
      <c r="C1358" s="6"/>
      <c r="D1358" s="15"/>
      <c r="E1358" s="22"/>
      <c r="F1358" s="22"/>
      <c r="G1358" s="22"/>
      <c r="I1358" s="5"/>
      <c r="J1358" s="5"/>
      <c r="K1358" s="22"/>
      <c r="L1358" s="22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19"/>
      <c r="AH1358" s="5"/>
      <c r="AI1358" s="5"/>
      <c r="AJ1358" s="5"/>
      <c r="AK1358" s="5"/>
    </row>
    <row r="1359" spans="1:37" x14ac:dyDescent="0.25">
      <c r="A1359" s="182"/>
      <c r="B1359" s="6"/>
      <c r="C1359" s="6"/>
      <c r="D1359" s="15"/>
      <c r="E1359" s="22"/>
      <c r="F1359" s="22"/>
      <c r="G1359" s="22"/>
      <c r="I1359" s="5"/>
      <c r="J1359" s="5"/>
      <c r="K1359" s="22"/>
      <c r="L1359" s="22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19"/>
      <c r="AH1359" s="5"/>
      <c r="AI1359" s="5"/>
      <c r="AJ1359" s="5"/>
      <c r="AK1359" s="5"/>
    </row>
    <row r="1360" spans="1:37" x14ac:dyDescent="0.25">
      <c r="A1360" s="182"/>
      <c r="B1360" s="6"/>
      <c r="C1360" s="6"/>
      <c r="D1360" s="15"/>
      <c r="E1360" s="22"/>
      <c r="F1360" s="22"/>
      <c r="G1360" s="22"/>
      <c r="I1360" s="5"/>
      <c r="J1360" s="5"/>
      <c r="K1360" s="22"/>
      <c r="L1360" s="22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19"/>
      <c r="AH1360" s="5"/>
      <c r="AI1360" s="5"/>
      <c r="AJ1360" s="5"/>
      <c r="AK1360" s="5"/>
    </row>
    <row r="1361" spans="1:37" x14ac:dyDescent="0.25">
      <c r="A1361" s="182"/>
      <c r="B1361" s="6"/>
      <c r="C1361" s="6"/>
      <c r="D1361" s="15"/>
      <c r="E1361" s="22"/>
      <c r="F1361" s="22"/>
      <c r="G1361" s="22"/>
      <c r="I1361" s="5"/>
      <c r="J1361" s="5"/>
      <c r="K1361" s="22"/>
      <c r="L1361" s="22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19"/>
      <c r="AH1361" s="5"/>
      <c r="AI1361" s="5"/>
      <c r="AJ1361" s="5"/>
      <c r="AK1361" s="5"/>
    </row>
    <row r="1362" spans="1:37" x14ac:dyDescent="0.25">
      <c r="A1362" s="182"/>
      <c r="B1362" s="6"/>
      <c r="C1362" s="6"/>
      <c r="D1362" s="15"/>
      <c r="E1362" s="22"/>
      <c r="F1362" s="22"/>
      <c r="G1362" s="22"/>
      <c r="I1362" s="5"/>
      <c r="J1362" s="5"/>
      <c r="K1362" s="22"/>
      <c r="L1362" s="22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19"/>
      <c r="AH1362" s="5"/>
      <c r="AI1362" s="5"/>
      <c r="AJ1362" s="5"/>
      <c r="AK1362" s="5"/>
    </row>
    <row r="1363" spans="1:37" x14ac:dyDescent="0.25">
      <c r="A1363" s="182"/>
      <c r="B1363" s="6"/>
      <c r="C1363" s="6"/>
      <c r="D1363" s="15"/>
      <c r="E1363" s="22"/>
      <c r="F1363" s="22"/>
      <c r="G1363" s="22"/>
      <c r="I1363" s="5"/>
      <c r="J1363" s="5"/>
      <c r="K1363" s="22"/>
      <c r="L1363" s="22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19"/>
      <c r="AH1363" s="5"/>
      <c r="AI1363" s="5"/>
      <c r="AJ1363" s="5"/>
      <c r="AK1363" s="5"/>
    </row>
    <row r="1364" spans="1:37" x14ac:dyDescent="0.25">
      <c r="A1364" s="182"/>
      <c r="B1364" s="6"/>
      <c r="C1364" s="6"/>
      <c r="D1364" s="15"/>
      <c r="E1364" s="22"/>
      <c r="F1364" s="22"/>
      <c r="G1364" s="22"/>
      <c r="I1364" s="5"/>
      <c r="J1364" s="5"/>
      <c r="K1364" s="22"/>
      <c r="L1364" s="22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19"/>
      <c r="AH1364" s="5"/>
      <c r="AI1364" s="5"/>
      <c r="AJ1364" s="5"/>
      <c r="AK1364" s="5"/>
    </row>
    <row r="1365" spans="1:37" x14ac:dyDescent="0.25">
      <c r="A1365" s="182"/>
      <c r="B1365" s="6"/>
      <c r="C1365" s="6"/>
      <c r="D1365" s="15"/>
      <c r="E1365" s="22"/>
      <c r="F1365" s="22"/>
      <c r="G1365" s="22"/>
      <c r="I1365" s="5"/>
      <c r="J1365" s="5"/>
      <c r="K1365" s="22"/>
      <c r="L1365" s="22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19"/>
      <c r="AH1365" s="5"/>
      <c r="AI1365" s="5"/>
      <c r="AJ1365" s="5"/>
      <c r="AK1365" s="5"/>
    </row>
    <row r="1366" spans="1:37" x14ac:dyDescent="0.25">
      <c r="A1366" s="182"/>
      <c r="B1366" s="6"/>
      <c r="C1366" s="6"/>
      <c r="D1366" s="15"/>
      <c r="E1366" s="22"/>
      <c r="F1366" s="22"/>
      <c r="G1366" s="22"/>
      <c r="I1366" s="5"/>
      <c r="J1366" s="5"/>
      <c r="K1366" s="22"/>
      <c r="L1366" s="22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19"/>
      <c r="AH1366" s="5"/>
      <c r="AI1366" s="5"/>
      <c r="AJ1366" s="5"/>
      <c r="AK1366" s="5"/>
    </row>
    <row r="1367" spans="1:37" x14ac:dyDescent="0.25">
      <c r="A1367" s="182"/>
      <c r="B1367" s="6"/>
      <c r="C1367" s="6"/>
      <c r="D1367" s="15"/>
      <c r="E1367" s="22"/>
      <c r="F1367" s="22"/>
      <c r="G1367" s="22"/>
      <c r="I1367" s="5"/>
      <c r="J1367" s="5"/>
      <c r="K1367" s="22"/>
      <c r="L1367" s="22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19"/>
      <c r="AH1367" s="5"/>
      <c r="AI1367" s="5"/>
      <c r="AJ1367" s="5"/>
      <c r="AK1367" s="5"/>
    </row>
    <row r="1368" spans="1:37" x14ac:dyDescent="0.25">
      <c r="A1368" s="182"/>
      <c r="B1368" s="6"/>
      <c r="C1368" s="6"/>
      <c r="D1368" s="15"/>
      <c r="E1368" s="22"/>
      <c r="F1368" s="22"/>
      <c r="G1368" s="22"/>
      <c r="I1368" s="5"/>
      <c r="J1368" s="5"/>
      <c r="K1368" s="22"/>
      <c r="L1368" s="22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19"/>
      <c r="AH1368" s="5"/>
      <c r="AI1368" s="5"/>
      <c r="AJ1368" s="5"/>
      <c r="AK1368" s="5"/>
    </row>
    <row r="1369" spans="1:37" x14ac:dyDescent="0.25">
      <c r="A1369" s="182"/>
      <c r="B1369" s="6"/>
      <c r="C1369" s="6"/>
      <c r="D1369" s="15"/>
      <c r="E1369" s="22"/>
      <c r="F1369" s="22"/>
      <c r="G1369" s="22"/>
      <c r="I1369" s="5"/>
      <c r="J1369" s="5"/>
      <c r="K1369" s="22"/>
      <c r="L1369" s="22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19"/>
      <c r="AH1369" s="5"/>
      <c r="AI1369" s="5"/>
      <c r="AJ1369" s="5"/>
      <c r="AK1369" s="5"/>
    </row>
    <row r="1370" spans="1:37" x14ac:dyDescent="0.25">
      <c r="A1370" s="182"/>
      <c r="B1370" s="6"/>
      <c r="C1370" s="6"/>
      <c r="D1370" s="15"/>
      <c r="E1370" s="22"/>
      <c r="F1370" s="22"/>
      <c r="G1370" s="22"/>
      <c r="I1370" s="5"/>
      <c r="J1370" s="5"/>
      <c r="K1370" s="22"/>
      <c r="L1370" s="22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19"/>
      <c r="AH1370" s="5"/>
      <c r="AI1370" s="5"/>
      <c r="AJ1370" s="5"/>
      <c r="AK1370" s="5"/>
    </row>
    <row r="1371" spans="1:37" x14ac:dyDescent="0.25">
      <c r="A1371" s="182"/>
      <c r="B1371" s="6"/>
      <c r="C1371" s="6"/>
      <c r="D1371" s="15"/>
      <c r="E1371" s="22"/>
      <c r="F1371" s="22"/>
      <c r="G1371" s="22"/>
      <c r="I1371" s="5"/>
      <c r="J1371" s="5"/>
      <c r="K1371" s="22"/>
      <c r="L1371" s="22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19"/>
      <c r="AH1371" s="5"/>
      <c r="AI1371" s="5"/>
      <c r="AJ1371" s="5"/>
      <c r="AK1371" s="5"/>
    </row>
    <row r="1372" spans="1:37" x14ac:dyDescent="0.25">
      <c r="A1372" s="182"/>
      <c r="B1372" s="6"/>
      <c r="C1372" s="6"/>
      <c r="D1372" s="15"/>
      <c r="E1372" s="22"/>
      <c r="F1372" s="22"/>
      <c r="G1372" s="22"/>
      <c r="I1372" s="5"/>
      <c r="J1372" s="5"/>
      <c r="K1372" s="22"/>
      <c r="L1372" s="22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19"/>
      <c r="AH1372" s="5"/>
      <c r="AI1372" s="5"/>
      <c r="AJ1372" s="5"/>
      <c r="AK1372" s="5"/>
    </row>
    <row r="1373" spans="1:37" x14ac:dyDescent="0.25">
      <c r="A1373" s="182"/>
      <c r="B1373" s="6"/>
      <c r="C1373" s="6"/>
      <c r="D1373" s="15"/>
      <c r="E1373" s="22"/>
      <c r="F1373" s="22"/>
      <c r="G1373" s="22"/>
      <c r="I1373" s="5"/>
      <c r="J1373" s="5"/>
      <c r="K1373" s="22"/>
      <c r="L1373" s="22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19"/>
      <c r="AH1373" s="5"/>
      <c r="AI1373" s="5"/>
      <c r="AJ1373" s="5"/>
      <c r="AK1373" s="5"/>
    </row>
    <row r="1374" spans="1:37" x14ac:dyDescent="0.25">
      <c r="A1374" s="182"/>
      <c r="B1374" s="6"/>
      <c r="C1374" s="6"/>
      <c r="D1374" s="15"/>
      <c r="E1374" s="22"/>
      <c r="F1374" s="22"/>
      <c r="G1374" s="22"/>
      <c r="I1374" s="5"/>
      <c r="J1374" s="5"/>
      <c r="K1374" s="22"/>
      <c r="L1374" s="22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19"/>
      <c r="AH1374" s="5"/>
      <c r="AI1374" s="5"/>
      <c r="AJ1374" s="5"/>
      <c r="AK1374" s="5"/>
    </row>
    <row r="1375" spans="1:37" x14ac:dyDescent="0.25">
      <c r="A1375" s="182"/>
      <c r="B1375" s="6"/>
      <c r="C1375" s="6"/>
      <c r="D1375" s="15"/>
      <c r="E1375" s="22"/>
      <c r="F1375" s="22"/>
      <c r="G1375" s="22"/>
      <c r="I1375" s="5"/>
      <c r="J1375" s="5"/>
      <c r="K1375" s="22"/>
      <c r="L1375" s="22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19"/>
      <c r="AH1375" s="5"/>
      <c r="AI1375" s="5"/>
      <c r="AJ1375" s="5"/>
      <c r="AK1375" s="5"/>
    </row>
    <row r="1376" spans="1:37" x14ac:dyDescent="0.25">
      <c r="A1376" s="182"/>
      <c r="B1376" s="6"/>
      <c r="C1376" s="6"/>
      <c r="D1376" s="15"/>
      <c r="E1376" s="22"/>
      <c r="F1376" s="22"/>
      <c r="G1376" s="22"/>
      <c r="I1376" s="5"/>
      <c r="J1376" s="5"/>
      <c r="K1376" s="22"/>
      <c r="L1376" s="22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19"/>
      <c r="AH1376" s="5"/>
      <c r="AI1376" s="5"/>
      <c r="AJ1376" s="5"/>
      <c r="AK1376" s="5"/>
    </row>
    <row r="1377" spans="1:37" x14ac:dyDescent="0.25">
      <c r="A1377" s="182"/>
      <c r="B1377" s="6"/>
      <c r="C1377" s="6"/>
      <c r="D1377" s="15"/>
      <c r="E1377" s="22"/>
      <c r="F1377" s="22"/>
      <c r="G1377" s="22"/>
      <c r="I1377" s="5"/>
      <c r="J1377" s="5"/>
      <c r="K1377" s="22"/>
      <c r="L1377" s="22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19"/>
      <c r="AH1377" s="5"/>
      <c r="AI1377" s="5"/>
      <c r="AJ1377" s="5"/>
      <c r="AK1377" s="5"/>
    </row>
    <row r="1378" spans="1:37" x14ac:dyDescent="0.25">
      <c r="A1378" s="182"/>
      <c r="B1378" s="6"/>
      <c r="C1378" s="6"/>
      <c r="D1378" s="15"/>
      <c r="E1378" s="22"/>
      <c r="F1378" s="22"/>
      <c r="G1378" s="22"/>
      <c r="I1378" s="5"/>
      <c r="J1378" s="5"/>
      <c r="K1378" s="22"/>
      <c r="L1378" s="22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19"/>
      <c r="AH1378" s="5"/>
      <c r="AI1378" s="5"/>
      <c r="AJ1378" s="5"/>
      <c r="AK1378" s="5"/>
    </row>
    <row r="1379" spans="1:37" x14ac:dyDescent="0.25">
      <c r="A1379" s="182"/>
      <c r="B1379" s="6"/>
      <c r="C1379" s="6"/>
      <c r="D1379" s="15"/>
      <c r="E1379" s="22"/>
      <c r="F1379" s="22"/>
      <c r="G1379" s="22"/>
      <c r="I1379" s="5"/>
      <c r="J1379" s="5"/>
      <c r="K1379" s="22"/>
      <c r="L1379" s="22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19"/>
      <c r="AH1379" s="5"/>
      <c r="AI1379" s="5"/>
      <c r="AJ1379" s="5"/>
      <c r="AK1379" s="5"/>
    </row>
    <row r="1380" spans="1:37" x14ac:dyDescent="0.25">
      <c r="A1380" s="182"/>
      <c r="B1380" s="6"/>
      <c r="C1380" s="6"/>
      <c r="D1380" s="15"/>
      <c r="E1380" s="22"/>
      <c r="F1380" s="22"/>
      <c r="G1380" s="22"/>
      <c r="I1380" s="5"/>
      <c r="J1380" s="5"/>
      <c r="K1380" s="22"/>
      <c r="L1380" s="22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19"/>
      <c r="AH1380" s="5"/>
      <c r="AI1380" s="5"/>
      <c r="AJ1380" s="5"/>
      <c r="AK1380" s="5"/>
    </row>
    <row r="1381" spans="1:37" x14ac:dyDescent="0.25">
      <c r="A1381" s="182"/>
      <c r="B1381" s="6"/>
      <c r="C1381" s="6"/>
      <c r="D1381" s="15"/>
      <c r="E1381" s="22"/>
      <c r="F1381" s="22"/>
      <c r="G1381" s="22"/>
      <c r="I1381" s="5"/>
      <c r="J1381" s="5"/>
      <c r="K1381" s="22"/>
      <c r="L1381" s="22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19"/>
      <c r="AH1381" s="5"/>
      <c r="AI1381" s="5"/>
      <c r="AJ1381" s="5"/>
      <c r="AK1381" s="5"/>
    </row>
    <row r="1382" spans="1:37" x14ac:dyDescent="0.25">
      <c r="A1382" s="182"/>
      <c r="B1382" s="6"/>
      <c r="C1382" s="6"/>
      <c r="D1382" s="15"/>
      <c r="E1382" s="22"/>
      <c r="F1382" s="22"/>
      <c r="G1382" s="22"/>
      <c r="I1382" s="5"/>
      <c r="J1382" s="5"/>
      <c r="K1382" s="22"/>
      <c r="L1382" s="22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19"/>
      <c r="AH1382" s="5"/>
      <c r="AI1382" s="5"/>
      <c r="AJ1382" s="5"/>
      <c r="AK1382" s="5"/>
    </row>
    <row r="1383" spans="1:37" x14ac:dyDescent="0.25">
      <c r="A1383" s="182"/>
      <c r="B1383" s="6"/>
      <c r="C1383" s="6"/>
      <c r="D1383" s="15"/>
      <c r="E1383" s="22"/>
      <c r="F1383" s="22"/>
      <c r="G1383" s="22"/>
      <c r="I1383" s="5"/>
      <c r="J1383" s="5"/>
      <c r="K1383" s="22"/>
      <c r="L1383" s="22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19"/>
      <c r="AH1383" s="5"/>
      <c r="AI1383" s="5"/>
      <c r="AJ1383" s="5"/>
      <c r="AK1383" s="5"/>
    </row>
    <row r="1384" spans="1:37" x14ac:dyDescent="0.25">
      <c r="A1384" s="182"/>
      <c r="B1384" s="6"/>
      <c r="C1384" s="6"/>
      <c r="D1384" s="15"/>
      <c r="E1384" s="22"/>
      <c r="F1384" s="22"/>
      <c r="G1384" s="22"/>
      <c r="I1384" s="5"/>
      <c r="J1384" s="5"/>
      <c r="K1384" s="22"/>
      <c r="L1384" s="22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19"/>
      <c r="AH1384" s="5"/>
      <c r="AI1384" s="5"/>
      <c r="AJ1384" s="5"/>
      <c r="AK1384" s="5"/>
    </row>
    <row r="1385" spans="1:37" x14ac:dyDescent="0.25">
      <c r="A1385" s="182"/>
      <c r="B1385" s="6"/>
      <c r="C1385" s="6"/>
      <c r="D1385" s="15"/>
      <c r="E1385" s="22"/>
      <c r="F1385" s="22"/>
      <c r="G1385" s="22"/>
      <c r="I1385" s="5"/>
      <c r="J1385" s="5"/>
      <c r="K1385" s="22"/>
      <c r="L1385" s="22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19"/>
      <c r="AH1385" s="5"/>
      <c r="AI1385" s="5"/>
      <c r="AJ1385" s="5"/>
      <c r="AK1385" s="5"/>
    </row>
    <row r="1386" spans="1:37" x14ac:dyDescent="0.25">
      <c r="A1386" s="182"/>
      <c r="B1386" s="6"/>
      <c r="C1386" s="6"/>
      <c r="D1386" s="15"/>
      <c r="E1386" s="22"/>
      <c r="F1386" s="22"/>
      <c r="G1386" s="22"/>
      <c r="I1386" s="5"/>
      <c r="J1386" s="5"/>
      <c r="K1386" s="22"/>
      <c r="L1386" s="22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19"/>
      <c r="AH1386" s="5"/>
      <c r="AI1386" s="5"/>
      <c r="AJ1386" s="5"/>
      <c r="AK1386" s="5"/>
    </row>
    <row r="1387" spans="1:37" x14ac:dyDescent="0.25">
      <c r="A1387" s="182"/>
      <c r="B1387" s="6"/>
      <c r="C1387" s="6"/>
      <c r="D1387" s="15"/>
      <c r="E1387" s="22"/>
      <c r="F1387" s="22"/>
      <c r="G1387" s="22"/>
      <c r="I1387" s="5"/>
      <c r="J1387" s="5"/>
      <c r="K1387" s="22"/>
      <c r="L1387" s="22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19"/>
      <c r="AH1387" s="5"/>
      <c r="AI1387" s="5"/>
      <c r="AJ1387" s="5"/>
      <c r="AK1387" s="5"/>
    </row>
    <row r="1388" spans="1:37" x14ac:dyDescent="0.25">
      <c r="A1388" s="182"/>
      <c r="B1388" s="6"/>
      <c r="C1388" s="6"/>
      <c r="D1388" s="15"/>
      <c r="E1388" s="22"/>
      <c r="F1388" s="22"/>
      <c r="G1388" s="22"/>
      <c r="I1388" s="5"/>
      <c r="J1388" s="5"/>
      <c r="K1388" s="22"/>
      <c r="L1388" s="22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19"/>
      <c r="AH1388" s="5"/>
      <c r="AI1388" s="5"/>
      <c r="AJ1388" s="5"/>
      <c r="AK1388" s="5"/>
    </row>
    <row r="1389" spans="1:37" x14ac:dyDescent="0.25">
      <c r="A1389" s="182"/>
      <c r="B1389" s="6"/>
      <c r="C1389" s="6"/>
      <c r="D1389" s="15"/>
      <c r="E1389" s="22"/>
      <c r="F1389" s="22"/>
      <c r="G1389" s="22"/>
      <c r="I1389" s="5"/>
      <c r="J1389" s="5"/>
      <c r="K1389" s="22"/>
      <c r="L1389" s="22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19"/>
      <c r="AH1389" s="5"/>
      <c r="AI1389" s="5"/>
      <c r="AJ1389" s="5"/>
      <c r="AK1389" s="5"/>
    </row>
    <row r="1390" spans="1:37" x14ac:dyDescent="0.25">
      <c r="A1390" s="182"/>
      <c r="B1390" s="6"/>
      <c r="C1390" s="6"/>
      <c r="D1390" s="15"/>
      <c r="E1390" s="22"/>
      <c r="F1390" s="22"/>
      <c r="G1390" s="22"/>
      <c r="I1390" s="5"/>
      <c r="J1390" s="5"/>
      <c r="K1390" s="22"/>
      <c r="L1390" s="22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19"/>
      <c r="AH1390" s="5"/>
      <c r="AI1390" s="5"/>
      <c r="AJ1390" s="5"/>
      <c r="AK1390" s="5"/>
    </row>
    <row r="1391" spans="1:37" x14ac:dyDescent="0.25">
      <c r="A1391" s="182"/>
      <c r="B1391" s="6"/>
      <c r="C1391" s="6"/>
      <c r="D1391" s="15"/>
      <c r="E1391" s="22"/>
      <c r="F1391" s="22"/>
      <c r="G1391" s="22"/>
      <c r="I1391" s="5"/>
      <c r="J1391" s="5"/>
      <c r="K1391" s="22"/>
      <c r="L1391" s="22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19"/>
      <c r="AH1391" s="5"/>
      <c r="AI1391" s="5"/>
      <c r="AJ1391" s="5"/>
      <c r="AK1391" s="5"/>
    </row>
    <row r="1392" spans="1:37" x14ac:dyDescent="0.25">
      <c r="A1392" s="182"/>
      <c r="B1392" s="6"/>
      <c r="C1392" s="6"/>
      <c r="D1392" s="15"/>
      <c r="E1392" s="22"/>
      <c r="F1392" s="22"/>
      <c r="G1392" s="22"/>
      <c r="I1392" s="5"/>
      <c r="J1392" s="5"/>
      <c r="K1392" s="22"/>
      <c r="L1392" s="22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19"/>
      <c r="AH1392" s="5"/>
      <c r="AI1392" s="5"/>
      <c r="AJ1392" s="5"/>
      <c r="AK1392" s="5"/>
    </row>
    <row r="1393" spans="1:37" x14ac:dyDescent="0.25">
      <c r="A1393" s="182"/>
      <c r="B1393" s="6"/>
      <c r="C1393" s="6"/>
      <c r="D1393" s="15"/>
      <c r="E1393" s="22"/>
      <c r="F1393" s="22"/>
      <c r="G1393" s="22"/>
      <c r="I1393" s="5"/>
      <c r="J1393" s="5"/>
      <c r="K1393" s="22"/>
      <c r="L1393" s="22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19"/>
      <c r="AH1393" s="5"/>
      <c r="AI1393" s="5"/>
      <c r="AJ1393" s="5"/>
      <c r="AK1393" s="5"/>
    </row>
    <row r="1394" spans="1:37" x14ac:dyDescent="0.25">
      <c r="A1394" s="182"/>
      <c r="B1394" s="6"/>
      <c r="C1394" s="6"/>
      <c r="D1394" s="15"/>
      <c r="E1394" s="22"/>
      <c r="F1394" s="22"/>
      <c r="G1394" s="22"/>
      <c r="I1394" s="5"/>
      <c r="J1394" s="5"/>
      <c r="K1394" s="22"/>
      <c r="L1394" s="22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19"/>
      <c r="AH1394" s="5"/>
      <c r="AI1394" s="5"/>
      <c r="AJ1394" s="5"/>
      <c r="AK1394" s="5"/>
    </row>
    <row r="1395" spans="1:37" x14ac:dyDescent="0.25">
      <c r="A1395" s="182"/>
      <c r="B1395" s="6"/>
      <c r="C1395" s="6"/>
      <c r="D1395" s="15"/>
      <c r="E1395" s="22"/>
      <c r="F1395" s="22"/>
      <c r="G1395" s="22"/>
      <c r="I1395" s="5"/>
      <c r="J1395" s="5"/>
      <c r="K1395" s="22"/>
      <c r="L1395" s="22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19"/>
      <c r="AH1395" s="5"/>
      <c r="AI1395" s="5"/>
      <c r="AJ1395" s="5"/>
      <c r="AK1395" s="5"/>
    </row>
    <row r="1396" spans="1:37" x14ac:dyDescent="0.25">
      <c r="A1396" s="182"/>
      <c r="B1396" s="6"/>
      <c r="C1396" s="6"/>
      <c r="D1396" s="15"/>
      <c r="E1396" s="22"/>
      <c r="F1396" s="22"/>
      <c r="G1396" s="22"/>
      <c r="I1396" s="5"/>
      <c r="J1396" s="5"/>
      <c r="K1396" s="22"/>
      <c r="L1396" s="22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19"/>
      <c r="AH1396" s="5"/>
      <c r="AI1396" s="5"/>
      <c r="AJ1396" s="5"/>
      <c r="AK1396" s="5"/>
    </row>
    <row r="1397" spans="1:37" x14ac:dyDescent="0.25">
      <c r="A1397" s="182"/>
      <c r="B1397" s="6"/>
      <c r="C1397" s="6"/>
      <c r="D1397" s="15"/>
      <c r="E1397" s="22"/>
      <c r="F1397" s="22"/>
      <c r="G1397" s="22"/>
      <c r="I1397" s="5"/>
      <c r="J1397" s="5"/>
      <c r="K1397" s="22"/>
      <c r="L1397" s="22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19"/>
      <c r="AH1397" s="5"/>
      <c r="AI1397" s="5"/>
      <c r="AJ1397" s="5"/>
      <c r="AK1397" s="5"/>
    </row>
    <row r="1398" spans="1:37" x14ac:dyDescent="0.25">
      <c r="A1398" s="182"/>
      <c r="B1398" s="6"/>
      <c r="C1398" s="6"/>
      <c r="D1398" s="15"/>
      <c r="E1398" s="22"/>
      <c r="F1398" s="22"/>
      <c r="G1398" s="22"/>
      <c r="I1398" s="5"/>
      <c r="J1398" s="5"/>
      <c r="K1398" s="22"/>
      <c r="L1398" s="22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19"/>
      <c r="AH1398" s="5"/>
      <c r="AI1398" s="5"/>
      <c r="AJ1398" s="5"/>
      <c r="AK1398" s="5"/>
    </row>
    <row r="1399" spans="1:37" x14ac:dyDescent="0.25">
      <c r="A1399" s="182"/>
      <c r="B1399" s="6"/>
      <c r="C1399" s="6"/>
      <c r="D1399" s="15"/>
      <c r="E1399" s="22"/>
      <c r="F1399" s="22"/>
      <c r="G1399" s="22"/>
      <c r="I1399" s="5"/>
      <c r="J1399" s="5"/>
      <c r="K1399" s="22"/>
      <c r="L1399" s="22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19"/>
      <c r="AH1399" s="5"/>
      <c r="AI1399" s="5"/>
      <c r="AJ1399" s="5"/>
      <c r="AK1399" s="5"/>
    </row>
    <row r="1400" spans="1:37" x14ac:dyDescent="0.25">
      <c r="A1400" s="182"/>
      <c r="B1400" s="6"/>
      <c r="C1400" s="6"/>
      <c r="D1400" s="15"/>
      <c r="E1400" s="22"/>
      <c r="F1400" s="22"/>
      <c r="G1400" s="22"/>
      <c r="I1400" s="5"/>
      <c r="J1400" s="5"/>
      <c r="K1400" s="22"/>
      <c r="L1400" s="22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19"/>
      <c r="AH1400" s="5"/>
      <c r="AI1400" s="5"/>
      <c r="AJ1400" s="5"/>
      <c r="AK1400" s="5"/>
    </row>
    <row r="1401" spans="1:37" x14ac:dyDescent="0.25">
      <c r="A1401" s="182"/>
      <c r="B1401" s="6"/>
      <c r="C1401" s="6"/>
      <c r="D1401" s="15"/>
      <c r="E1401" s="22"/>
      <c r="F1401" s="22"/>
      <c r="G1401" s="22"/>
      <c r="I1401" s="5"/>
      <c r="J1401" s="5"/>
      <c r="K1401" s="22"/>
      <c r="L1401" s="22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19"/>
      <c r="AH1401" s="5"/>
      <c r="AI1401" s="5"/>
      <c r="AJ1401" s="5"/>
      <c r="AK1401" s="5"/>
    </row>
    <row r="1402" spans="1:37" x14ac:dyDescent="0.25">
      <c r="A1402" s="182"/>
      <c r="B1402" s="6"/>
      <c r="C1402" s="6"/>
      <c r="D1402" s="15"/>
      <c r="E1402" s="22"/>
      <c r="F1402" s="22"/>
      <c r="G1402" s="22"/>
      <c r="I1402" s="5"/>
      <c r="J1402" s="5"/>
      <c r="K1402" s="22"/>
      <c r="L1402" s="22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19"/>
      <c r="AH1402" s="5"/>
      <c r="AI1402" s="5"/>
      <c r="AJ1402" s="5"/>
      <c r="AK1402" s="5"/>
    </row>
    <row r="1403" spans="1:37" x14ac:dyDescent="0.25">
      <c r="A1403" s="182"/>
      <c r="B1403" s="6"/>
      <c r="C1403" s="6"/>
      <c r="D1403" s="15"/>
      <c r="E1403" s="22"/>
      <c r="F1403" s="22"/>
      <c r="G1403" s="22"/>
      <c r="I1403" s="5"/>
      <c r="J1403" s="5"/>
      <c r="K1403" s="22"/>
      <c r="L1403" s="22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19"/>
      <c r="AH1403" s="5"/>
      <c r="AI1403" s="5"/>
      <c r="AJ1403" s="5"/>
      <c r="AK1403" s="5"/>
    </row>
    <row r="1404" spans="1:37" x14ac:dyDescent="0.25">
      <c r="A1404" s="182"/>
      <c r="B1404" s="6"/>
      <c r="C1404" s="6"/>
      <c r="D1404" s="15"/>
      <c r="E1404" s="22"/>
      <c r="F1404" s="22"/>
      <c r="G1404" s="22"/>
      <c r="I1404" s="5"/>
      <c r="J1404" s="5"/>
      <c r="K1404" s="22"/>
      <c r="L1404" s="22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19"/>
      <c r="AH1404" s="5"/>
      <c r="AI1404" s="5"/>
      <c r="AJ1404" s="5"/>
      <c r="AK1404" s="5"/>
    </row>
    <row r="1405" spans="1:37" x14ac:dyDescent="0.25">
      <c r="A1405" s="182"/>
      <c r="B1405" s="6"/>
      <c r="C1405" s="6"/>
      <c r="D1405" s="15"/>
      <c r="E1405" s="22"/>
      <c r="F1405" s="22"/>
      <c r="G1405" s="22"/>
      <c r="I1405" s="5"/>
      <c r="J1405" s="5"/>
      <c r="K1405" s="22"/>
      <c r="L1405" s="22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19"/>
      <c r="AH1405" s="5"/>
      <c r="AI1405" s="5"/>
      <c r="AJ1405" s="5"/>
      <c r="AK1405" s="5"/>
    </row>
    <row r="1406" spans="1:37" x14ac:dyDescent="0.25">
      <c r="A1406" s="182"/>
      <c r="B1406" s="6"/>
      <c r="C1406" s="6"/>
      <c r="D1406" s="15"/>
      <c r="E1406" s="22"/>
      <c r="F1406" s="22"/>
      <c r="G1406" s="22"/>
      <c r="I1406" s="5"/>
      <c r="J1406" s="5"/>
      <c r="K1406" s="22"/>
      <c r="L1406" s="22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19"/>
      <c r="AH1406" s="5"/>
      <c r="AI1406" s="5"/>
      <c r="AJ1406" s="5"/>
      <c r="AK1406" s="5"/>
    </row>
    <row r="1407" spans="1:37" x14ac:dyDescent="0.25">
      <c r="A1407" s="182"/>
      <c r="B1407" s="6"/>
      <c r="C1407" s="6"/>
      <c r="D1407" s="15"/>
      <c r="E1407" s="22"/>
      <c r="F1407" s="22"/>
      <c r="G1407" s="22"/>
      <c r="I1407" s="5"/>
      <c r="J1407" s="5"/>
      <c r="K1407" s="22"/>
      <c r="L1407" s="22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19"/>
      <c r="AH1407" s="5"/>
      <c r="AI1407" s="5"/>
      <c r="AJ1407" s="5"/>
      <c r="AK1407" s="5"/>
    </row>
    <row r="1408" spans="1:37" x14ac:dyDescent="0.25">
      <c r="A1408" s="182"/>
      <c r="B1408" s="6"/>
      <c r="C1408" s="6"/>
      <c r="D1408" s="15"/>
      <c r="E1408" s="22"/>
      <c r="F1408" s="22"/>
      <c r="G1408" s="22"/>
      <c r="I1408" s="5"/>
      <c r="J1408" s="5"/>
      <c r="K1408" s="22"/>
      <c r="L1408" s="22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19"/>
      <c r="AH1408" s="5"/>
      <c r="AI1408" s="5"/>
      <c r="AJ1408" s="5"/>
      <c r="AK1408" s="5"/>
    </row>
    <row r="1409" spans="1:37" x14ac:dyDescent="0.25">
      <c r="A1409" s="182"/>
      <c r="B1409" s="6"/>
      <c r="C1409" s="6"/>
      <c r="D1409" s="15"/>
      <c r="E1409" s="22"/>
      <c r="F1409" s="22"/>
      <c r="G1409" s="22"/>
      <c r="I1409" s="5"/>
      <c r="J1409" s="5"/>
      <c r="K1409" s="22"/>
      <c r="L1409" s="22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19"/>
      <c r="AH1409" s="5"/>
      <c r="AI1409" s="5"/>
      <c r="AJ1409" s="5"/>
      <c r="AK1409" s="5"/>
    </row>
    <row r="1410" spans="1:37" x14ac:dyDescent="0.25">
      <c r="A1410" s="182"/>
      <c r="B1410" s="6"/>
      <c r="C1410" s="6"/>
      <c r="D1410" s="15"/>
      <c r="E1410" s="22"/>
      <c r="F1410" s="22"/>
      <c r="G1410" s="22"/>
      <c r="I1410" s="5"/>
      <c r="J1410" s="5"/>
      <c r="K1410" s="22"/>
      <c r="L1410" s="22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19"/>
      <c r="AH1410" s="5"/>
      <c r="AI1410" s="5"/>
      <c r="AJ1410" s="5"/>
      <c r="AK1410" s="5"/>
    </row>
    <row r="1411" spans="1:37" x14ac:dyDescent="0.25">
      <c r="A1411" s="182"/>
      <c r="B1411" s="6"/>
      <c r="C1411" s="6"/>
      <c r="D1411" s="15"/>
      <c r="E1411" s="22"/>
      <c r="F1411" s="22"/>
      <c r="G1411" s="22"/>
      <c r="I1411" s="5"/>
      <c r="J1411" s="5"/>
      <c r="K1411" s="22"/>
      <c r="L1411" s="22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19"/>
      <c r="AH1411" s="5"/>
      <c r="AI1411" s="5"/>
      <c r="AJ1411" s="5"/>
      <c r="AK1411" s="5"/>
    </row>
    <row r="1412" spans="1:37" x14ac:dyDescent="0.25">
      <c r="A1412" s="182"/>
      <c r="B1412" s="6"/>
      <c r="C1412" s="6"/>
      <c r="D1412" s="15"/>
      <c r="E1412" s="22"/>
      <c r="F1412" s="22"/>
      <c r="G1412" s="22"/>
      <c r="I1412" s="5"/>
      <c r="J1412" s="5"/>
      <c r="K1412" s="22"/>
      <c r="L1412" s="22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19"/>
      <c r="AH1412" s="5"/>
      <c r="AI1412" s="5"/>
      <c r="AJ1412" s="5"/>
      <c r="AK1412" s="5"/>
    </row>
    <row r="1413" spans="1:37" x14ac:dyDescent="0.25">
      <c r="A1413" s="182"/>
      <c r="B1413" s="6"/>
      <c r="C1413" s="6"/>
      <c r="D1413" s="15"/>
      <c r="E1413" s="22"/>
      <c r="F1413" s="22"/>
      <c r="G1413" s="22"/>
      <c r="I1413" s="5"/>
      <c r="J1413" s="5"/>
      <c r="K1413" s="22"/>
      <c r="L1413" s="22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19"/>
      <c r="AH1413" s="5"/>
      <c r="AI1413" s="5"/>
      <c r="AJ1413" s="5"/>
      <c r="AK1413" s="5"/>
    </row>
    <row r="1414" spans="1:37" x14ac:dyDescent="0.25">
      <c r="A1414" s="182"/>
      <c r="B1414" s="6"/>
      <c r="C1414" s="6"/>
      <c r="D1414" s="15"/>
      <c r="E1414" s="22"/>
      <c r="F1414" s="22"/>
      <c r="G1414" s="22"/>
      <c r="I1414" s="5"/>
      <c r="J1414" s="5"/>
      <c r="K1414" s="22"/>
      <c r="L1414" s="22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19"/>
      <c r="AH1414" s="5"/>
      <c r="AI1414" s="5"/>
      <c r="AJ1414" s="5"/>
      <c r="AK1414" s="5"/>
    </row>
    <row r="1415" spans="1:37" x14ac:dyDescent="0.25">
      <c r="A1415" s="182"/>
      <c r="B1415" s="6"/>
      <c r="C1415" s="6"/>
      <c r="D1415" s="15"/>
      <c r="E1415" s="22"/>
      <c r="F1415" s="22"/>
      <c r="G1415" s="22"/>
      <c r="I1415" s="5"/>
      <c r="J1415" s="5"/>
      <c r="K1415" s="22"/>
      <c r="L1415" s="22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19"/>
      <c r="AH1415" s="5"/>
      <c r="AI1415" s="5"/>
      <c r="AJ1415" s="5"/>
      <c r="AK1415" s="5"/>
    </row>
    <row r="1416" spans="1:37" x14ac:dyDescent="0.25">
      <c r="A1416" s="182"/>
      <c r="B1416" s="6"/>
      <c r="C1416" s="6"/>
      <c r="D1416" s="15"/>
      <c r="E1416" s="22"/>
      <c r="F1416" s="22"/>
      <c r="G1416" s="22"/>
      <c r="I1416" s="5"/>
      <c r="J1416" s="5"/>
      <c r="K1416" s="22"/>
      <c r="L1416" s="22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19"/>
      <c r="AH1416" s="5"/>
      <c r="AI1416" s="5"/>
      <c r="AJ1416" s="5"/>
      <c r="AK1416" s="5"/>
    </row>
    <row r="1417" spans="1:37" x14ac:dyDescent="0.25">
      <c r="A1417" s="182"/>
      <c r="B1417" s="6"/>
      <c r="C1417" s="6"/>
      <c r="D1417" s="15"/>
      <c r="E1417" s="22"/>
      <c r="F1417" s="22"/>
      <c r="G1417" s="22"/>
      <c r="I1417" s="5"/>
      <c r="J1417" s="5"/>
      <c r="K1417" s="22"/>
      <c r="L1417" s="22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19"/>
      <c r="AH1417" s="5"/>
      <c r="AI1417" s="5"/>
      <c r="AJ1417" s="5"/>
      <c r="AK1417" s="5"/>
    </row>
    <row r="1418" spans="1:37" x14ac:dyDescent="0.25">
      <c r="A1418" s="182"/>
      <c r="B1418" s="6"/>
      <c r="C1418" s="6"/>
      <c r="D1418" s="15"/>
      <c r="E1418" s="22"/>
      <c r="F1418" s="22"/>
      <c r="G1418" s="22"/>
      <c r="I1418" s="5"/>
      <c r="J1418" s="5"/>
      <c r="K1418" s="22"/>
      <c r="L1418" s="22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19"/>
      <c r="AH1418" s="5"/>
      <c r="AI1418" s="5"/>
      <c r="AJ1418" s="5"/>
      <c r="AK1418" s="5"/>
    </row>
    <row r="1419" spans="1:37" x14ac:dyDescent="0.25">
      <c r="A1419" s="182"/>
      <c r="B1419" s="6"/>
      <c r="C1419" s="6"/>
      <c r="D1419" s="15"/>
      <c r="E1419" s="22"/>
      <c r="F1419" s="22"/>
      <c r="G1419" s="22"/>
      <c r="I1419" s="5"/>
      <c r="J1419" s="5"/>
      <c r="K1419" s="22"/>
      <c r="L1419" s="22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19"/>
      <c r="AH1419" s="5"/>
      <c r="AI1419" s="5"/>
      <c r="AJ1419" s="5"/>
      <c r="AK1419" s="5"/>
    </row>
    <row r="1420" spans="1:37" x14ac:dyDescent="0.25">
      <c r="A1420" s="182"/>
      <c r="B1420" s="6"/>
      <c r="C1420" s="6"/>
      <c r="D1420" s="15"/>
      <c r="E1420" s="22"/>
      <c r="F1420" s="22"/>
      <c r="G1420" s="22"/>
      <c r="I1420" s="5"/>
      <c r="J1420" s="5"/>
      <c r="K1420" s="22"/>
      <c r="L1420" s="22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19"/>
      <c r="AH1420" s="5"/>
      <c r="AI1420" s="5"/>
      <c r="AJ1420" s="5"/>
      <c r="AK1420" s="5"/>
    </row>
    <row r="1421" spans="1:37" x14ac:dyDescent="0.25">
      <c r="A1421" s="182"/>
      <c r="B1421" s="6"/>
      <c r="C1421" s="6"/>
      <c r="D1421" s="15"/>
      <c r="E1421" s="22"/>
      <c r="F1421" s="22"/>
      <c r="G1421" s="22"/>
      <c r="I1421" s="5"/>
      <c r="J1421" s="5"/>
      <c r="K1421" s="22"/>
      <c r="L1421" s="22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19"/>
      <c r="AH1421" s="5"/>
      <c r="AI1421" s="5"/>
      <c r="AJ1421" s="5"/>
      <c r="AK1421" s="5"/>
    </row>
    <row r="1422" spans="1:37" x14ac:dyDescent="0.25">
      <c r="A1422" s="182"/>
      <c r="B1422" s="6"/>
      <c r="C1422" s="6"/>
      <c r="D1422" s="15"/>
      <c r="E1422" s="22"/>
      <c r="F1422" s="22"/>
      <c r="G1422" s="22"/>
      <c r="I1422" s="5"/>
      <c r="J1422" s="5"/>
      <c r="K1422" s="22"/>
      <c r="L1422" s="22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19"/>
      <c r="AH1422" s="5"/>
      <c r="AI1422" s="5"/>
      <c r="AJ1422" s="5"/>
      <c r="AK1422" s="5"/>
    </row>
    <row r="1423" spans="1:37" x14ac:dyDescent="0.25">
      <c r="A1423" s="182"/>
      <c r="B1423" s="6"/>
      <c r="C1423" s="6"/>
      <c r="D1423" s="15"/>
      <c r="E1423" s="22"/>
      <c r="F1423" s="22"/>
      <c r="G1423" s="22"/>
      <c r="I1423" s="5"/>
      <c r="J1423" s="5"/>
      <c r="K1423" s="22"/>
      <c r="L1423" s="22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19"/>
      <c r="AH1423" s="5"/>
      <c r="AI1423" s="5"/>
      <c r="AJ1423" s="5"/>
      <c r="AK1423" s="5"/>
    </row>
    <row r="1424" spans="1:37" x14ac:dyDescent="0.25">
      <c r="A1424" s="182"/>
      <c r="B1424" s="6"/>
      <c r="C1424" s="6"/>
      <c r="D1424" s="15"/>
      <c r="E1424" s="22"/>
      <c r="F1424" s="22"/>
      <c r="G1424" s="22"/>
      <c r="I1424" s="5"/>
      <c r="J1424" s="5"/>
      <c r="K1424" s="22"/>
      <c r="L1424" s="22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19"/>
      <c r="AH1424" s="5"/>
      <c r="AI1424" s="5"/>
      <c r="AJ1424" s="5"/>
      <c r="AK1424" s="5"/>
    </row>
    <row r="1425" spans="1:37" x14ac:dyDescent="0.25">
      <c r="A1425" s="182"/>
      <c r="B1425" s="6"/>
      <c r="C1425" s="6"/>
      <c r="D1425" s="15"/>
      <c r="E1425" s="22"/>
      <c r="F1425" s="22"/>
      <c r="G1425" s="22"/>
      <c r="I1425" s="5"/>
      <c r="J1425" s="5"/>
      <c r="K1425" s="22"/>
      <c r="L1425" s="22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19"/>
      <c r="AH1425" s="5"/>
      <c r="AI1425" s="5"/>
      <c r="AJ1425" s="5"/>
      <c r="AK1425" s="5"/>
    </row>
    <row r="1426" spans="1:37" x14ac:dyDescent="0.25">
      <c r="A1426" s="182"/>
      <c r="B1426" s="6"/>
      <c r="C1426" s="6"/>
      <c r="D1426" s="15"/>
      <c r="E1426" s="22"/>
      <c r="F1426" s="22"/>
      <c r="G1426" s="22"/>
      <c r="I1426" s="5"/>
      <c r="J1426" s="5"/>
      <c r="K1426" s="22"/>
      <c r="L1426" s="22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19"/>
      <c r="AH1426" s="5"/>
      <c r="AI1426" s="5"/>
      <c r="AJ1426" s="5"/>
      <c r="AK1426" s="5"/>
    </row>
    <row r="1427" spans="1:37" x14ac:dyDescent="0.25">
      <c r="A1427" s="182"/>
      <c r="B1427" s="6"/>
      <c r="C1427" s="6"/>
      <c r="D1427" s="15"/>
      <c r="E1427" s="22"/>
      <c r="F1427" s="22"/>
      <c r="G1427" s="22"/>
      <c r="I1427" s="5"/>
      <c r="J1427" s="5"/>
      <c r="K1427" s="22"/>
      <c r="L1427" s="22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19"/>
      <c r="AH1427" s="5"/>
      <c r="AI1427" s="5"/>
      <c r="AJ1427" s="5"/>
      <c r="AK1427" s="5"/>
    </row>
    <row r="1428" spans="1:37" x14ac:dyDescent="0.25">
      <c r="A1428" s="182"/>
      <c r="B1428" s="6"/>
      <c r="C1428" s="6"/>
      <c r="D1428" s="15"/>
      <c r="E1428" s="22"/>
      <c r="F1428" s="22"/>
      <c r="G1428" s="22"/>
      <c r="I1428" s="5"/>
      <c r="J1428" s="5"/>
      <c r="K1428" s="22"/>
      <c r="L1428" s="22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19"/>
      <c r="AH1428" s="5"/>
      <c r="AI1428" s="5"/>
      <c r="AJ1428" s="5"/>
      <c r="AK1428" s="5"/>
    </row>
    <row r="1429" spans="1:37" x14ac:dyDescent="0.25">
      <c r="A1429" s="182"/>
      <c r="B1429" s="6"/>
      <c r="C1429" s="6"/>
      <c r="D1429" s="15"/>
      <c r="E1429" s="22"/>
      <c r="F1429" s="22"/>
      <c r="G1429" s="22"/>
      <c r="I1429" s="5"/>
      <c r="J1429" s="5"/>
      <c r="K1429" s="22"/>
      <c r="L1429" s="22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19"/>
      <c r="AH1429" s="5"/>
      <c r="AI1429" s="5"/>
      <c r="AJ1429" s="5"/>
      <c r="AK1429" s="5"/>
    </row>
    <row r="1430" spans="1:37" x14ac:dyDescent="0.25">
      <c r="A1430" s="182"/>
      <c r="B1430" s="6"/>
      <c r="C1430" s="6"/>
      <c r="D1430" s="15"/>
      <c r="E1430" s="22"/>
      <c r="F1430" s="22"/>
      <c r="G1430" s="22"/>
      <c r="I1430" s="5"/>
      <c r="J1430" s="5"/>
      <c r="K1430" s="22"/>
      <c r="L1430" s="22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19"/>
      <c r="AH1430" s="5"/>
      <c r="AI1430" s="5"/>
      <c r="AJ1430" s="5"/>
      <c r="AK1430" s="5"/>
    </row>
    <row r="1431" spans="1:37" x14ac:dyDescent="0.25">
      <c r="A1431" s="182"/>
      <c r="B1431" s="6"/>
      <c r="C1431" s="6"/>
      <c r="D1431" s="15"/>
      <c r="E1431" s="22"/>
      <c r="F1431" s="22"/>
      <c r="G1431" s="22"/>
      <c r="I1431" s="5"/>
      <c r="J1431" s="5"/>
      <c r="K1431" s="22"/>
      <c r="L1431" s="22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19"/>
      <c r="AH1431" s="5"/>
      <c r="AI1431" s="5"/>
      <c r="AJ1431" s="5"/>
      <c r="AK1431" s="5"/>
    </row>
    <row r="1432" spans="1:37" x14ac:dyDescent="0.25">
      <c r="A1432" s="182"/>
      <c r="B1432" s="6"/>
      <c r="C1432" s="6"/>
      <c r="D1432" s="15"/>
      <c r="E1432" s="22"/>
      <c r="F1432" s="22"/>
      <c r="G1432" s="22"/>
      <c r="I1432" s="5"/>
      <c r="J1432" s="5"/>
      <c r="K1432" s="22"/>
      <c r="L1432" s="22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19"/>
      <c r="AH1432" s="5"/>
      <c r="AI1432" s="5"/>
      <c r="AJ1432" s="5"/>
      <c r="AK1432" s="5"/>
    </row>
    <row r="1433" spans="1:37" x14ac:dyDescent="0.25">
      <c r="A1433" s="182"/>
      <c r="B1433" s="6"/>
      <c r="C1433" s="6"/>
      <c r="D1433" s="15"/>
      <c r="E1433" s="22"/>
      <c r="F1433" s="22"/>
      <c r="G1433" s="22"/>
      <c r="I1433" s="5"/>
      <c r="J1433" s="5"/>
      <c r="K1433" s="22"/>
      <c r="L1433" s="22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19"/>
      <c r="AH1433" s="5"/>
      <c r="AI1433" s="5"/>
      <c r="AJ1433" s="5"/>
      <c r="AK1433" s="5"/>
    </row>
    <row r="1434" spans="1:37" x14ac:dyDescent="0.25">
      <c r="A1434" s="182"/>
      <c r="B1434" s="6"/>
      <c r="C1434" s="6"/>
      <c r="D1434" s="15"/>
      <c r="E1434" s="22"/>
      <c r="F1434" s="22"/>
      <c r="G1434" s="22"/>
      <c r="I1434" s="5"/>
      <c r="J1434" s="5"/>
      <c r="K1434" s="22"/>
      <c r="L1434" s="22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19"/>
      <c r="AH1434" s="5"/>
      <c r="AI1434" s="5"/>
      <c r="AJ1434" s="5"/>
      <c r="AK1434" s="5"/>
    </row>
    <row r="1435" spans="1:37" x14ac:dyDescent="0.25">
      <c r="A1435" s="182"/>
      <c r="B1435" s="6"/>
      <c r="C1435" s="6"/>
      <c r="D1435" s="15"/>
      <c r="E1435" s="22"/>
      <c r="F1435" s="22"/>
      <c r="G1435" s="22"/>
      <c r="I1435" s="5"/>
      <c r="J1435" s="5"/>
      <c r="K1435" s="22"/>
      <c r="L1435" s="22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19"/>
      <c r="AH1435" s="5"/>
      <c r="AI1435" s="5"/>
      <c r="AJ1435" s="5"/>
      <c r="AK1435" s="5"/>
    </row>
    <row r="1436" spans="1:37" x14ac:dyDescent="0.25">
      <c r="A1436" s="182"/>
      <c r="B1436" s="6"/>
      <c r="C1436" s="6"/>
      <c r="D1436" s="15"/>
      <c r="E1436" s="22"/>
      <c r="F1436" s="22"/>
      <c r="G1436" s="22"/>
      <c r="I1436" s="5"/>
      <c r="J1436" s="5"/>
      <c r="K1436" s="22"/>
      <c r="L1436" s="22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19"/>
      <c r="AH1436" s="5"/>
      <c r="AI1436" s="5"/>
      <c r="AJ1436" s="5"/>
      <c r="AK1436" s="5"/>
    </row>
    <row r="1437" spans="1:37" x14ac:dyDescent="0.25">
      <c r="A1437" s="182"/>
      <c r="B1437" s="6"/>
      <c r="C1437" s="6"/>
      <c r="D1437" s="15"/>
      <c r="E1437" s="22"/>
      <c r="F1437" s="22"/>
      <c r="G1437" s="22"/>
      <c r="I1437" s="5"/>
      <c r="J1437" s="5"/>
      <c r="K1437" s="22"/>
      <c r="L1437" s="22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19"/>
      <c r="AH1437" s="5"/>
      <c r="AI1437" s="5"/>
      <c r="AJ1437" s="5"/>
      <c r="AK1437" s="5"/>
    </row>
    <row r="1438" spans="1:37" x14ac:dyDescent="0.25">
      <c r="A1438" s="182"/>
      <c r="B1438" s="6"/>
      <c r="C1438" s="6"/>
      <c r="D1438" s="15"/>
      <c r="E1438" s="22"/>
      <c r="F1438" s="22"/>
      <c r="G1438" s="22"/>
      <c r="I1438" s="5"/>
      <c r="J1438" s="5"/>
      <c r="K1438" s="22"/>
      <c r="L1438" s="22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19"/>
      <c r="AH1438" s="5"/>
      <c r="AI1438" s="5"/>
      <c r="AJ1438" s="5"/>
      <c r="AK1438" s="5"/>
    </row>
    <row r="1439" spans="1:37" x14ac:dyDescent="0.25">
      <c r="A1439" s="182"/>
      <c r="B1439" s="6"/>
      <c r="C1439" s="6"/>
      <c r="D1439" s="15"/>
      <c r="E1439" s="22"/>
      <c r="F1439" s="22"/>
      <c r="G1439" s="22"/>
      <c r="I1439" s="5"/>
      <c r="J1439" s="5"/>
      <c r="K1439" s="22"/>
      <c r="L1439" s="22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19"/>
      <c r="AH1439" s="5"/>
      <c r="AI1439" s="5"/>
      <c r="AJ1439" s="5"/>
      <c r="AK1439" s="5"/>
    </row>
    <row r="1440" spans="1:37" x14ac:dyDescent="0.25">
      <c r="A1440" s="182"/>
      <c r="B1440" s="6"/>
      <c r="C1440" s="6"/>
      <c r="D1440" s="15"/>
      <c r="E1440" s="22"/>
      <c r="F1440" s="22"/>
      <c r="G1440" s="22"/>
      <c r="I1440" s="5"/>
      <c r="J1440" s="5"/>
      <c r="K1440" s="22"/>
      <c r="L1440" s="22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19"/>
      <c r="AH1440" s="5"/>
      <c r="AI1440" s="5"/>
      <c r="AJ1440" s="5"/>
      <c r="AK1440" s="5"/>
    </row>
    <row r="1441" spans="1:37" x14ac:dyDescent="0.25">
      <c r="A1441" s="182"/>
      <c r="B1441" s="6"/>
      <c r="C1441" s="6"/>
      <c r="D1441" s="15"/>
      <c r="E1441" s="22"/>
      <c r="F1441" s="22"/>
      <c r="G1441" s="22"/>
      <c r="I1441" s="5"/>
      <c r="J1441" s="5"/>
      <c r="K1441" s="22"/>
      <c r="L1441" s="22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19"/>
      <c r="AH1441" s="5"/>
      <c r="AI1441" s="5"/>
      <c r="AJ1441" s="5"/>
      <c r="AK1441" s="5"/>
    </row>
    <row r="1442" spans="1:37" x14ac:dyDescent="0.25">
      <c r="A1442" s="182"/>
      <c r="B1442" s="6"/>
      <c r="C1442" s="6"/>
      <c r="D1442" s="15"/>
      <c r="E1442" s="22"/>
      <c r="F1442" s="22"/>
      <c r="G1442" s="22"/>
      <c r="I1442" s="5"/>
      <c r="J1442" s="5"/>
      <c r="K1442" s="22"/>
      <c r="L1442" s="22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19"/>
      <c r="AH1442" s="5"/>
      <c r="AI1442" s="5"/>
      <c r="AJ1442" s="5"/>
      <c r="AK1442" s="5"/>
    </row>
    <row r="1443" spans="1:37" x14ac:dyDescent="0.25">
      <c r="A1443" s="182"/>
      <c r="B1443" s="6"/>
      <c r="C1443" s="6"/>
      <c r="D1443" s="15"/>
      <c r="E1443" s="22"/>
      <c r="F1443" s="22"/>
      <c r="G1443" s="22"/>
      <c r="I1443" s="5"/>
      <c r="J1443" s="5"/>
      <c r="K1443" s="22"/>
      <c r="L1443" s="22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19"/>
      <c r="AH1443" s="5"/>
      <c r="AI1443" s="5"/>
      <c r="AJ1443" s="5"/>
      <c r="AK1443" s="5"/>
    </row>
    <row r="1444" spans="1:37" x14ac:dyDescent="0.25">
      <c r="A1444" s="182"/>
      <c r="B1444" s="6"/>
      <c r="C1444" s="6"/>
      <c r="D1444" s="15"/>
      <c r="E1444" s="22"/>
      <c r="F1444" s="22"/>
      <c r="G1444" s="22"/>
      <c r="I1444" s="5"/>
      <c r="J1444" s="5"/>
      <c r="K1444" s="22"/>
      <c r="L1444" s="22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19"/>
      <c r="AH1444" s="5"/>
      <c r="AI1444" s="5"/>
      <c r="AJ1444" s="5"/>
      <c r="AK1444" s="5"/>
    </row>
    <row r="1445" spans="1:37" x14ac:dyDescent="0.25">
      <c r="A1445" s="182"/>
      <c r="B1445" s="6"/>
      <c r="C1445" s="6"/>
      <c r="D1445" s="15"/>
      <c r="E1445" s="22"/>
      <c r="F1445" s="22"/>
      <c r="G1445" s="22"/>
      <c r="I1445" s="5"/>
      <c r="J1445" s="5"/>
      <c r="K1445" s="22"/>
      <c r="L1445" s="22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19"/>
      <c r="AH1445" s="5"/>
      <c r="AI1445" s="5"/>
      <c r="AJ1445" s="5"/>
      <c r="AK1445" s="5"/>
    </row>
    <row r="1446" spans="1:37" x14ac:dyDescent="0.25">
      <c r="A1446" s="182"/>
      <c r="B1446" s="6"/>
      <c r="C1446" s="6"/>
      <c r="D1446" s="15"/>
      <c r="E1446" s="22"/>
      <c r="F1446" s="22"/>
      <c r="G1446" s="22"/>
      <c r="I1446" s="5"/>
      <c r="J1446" s="5"/>
      <c r="K1446" s="22"/>
      <c r="L1446" s="22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19"/>
      <c r="AH1446" s="5"/>
      <c r="AI1446" s="5"/>
      <c r="AJ1446" s="5"/>
      <c r="AK1446" s="5"/>
    </row>
    <row r="1447" spans="1:37" x14ac:dyDescent="0.25">
      <c r="A1447" s="182"/>
      <c r="B1447" s="6"/>
      <c r="C1447" s="6"/>
      <c r="D1447" s="15"/>
      <c r="E1447" s="22"/>
      <c r="F1447" s="22"/>
      <c r="G1447" s="22"/>
      <c r="I1447" s="5"/>
      <c r="J1447" s="5"/>
      <c r="K1447" s="22"/>
      <c r="L1447" s="22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19"/>
      <c r="AH1447" s="5"/>
      <c r="AI1447" s="5"/>
      <c r="AJ1447" s="5"/>
      <c r="AK1447" s="5"/>
    </row>
    <row r="1448" spans="1:37" x14ac:dyDescent="0.25">
      <c r="A1448" s="182"/>
      <c r="B1448" s="6"/>
      <c r="C1448" s="6"/>
      <c r="D1448" s="15"/>
      <c r="E1448" s="22"/>
      <c r="F1448" s="22"/>
      <c r="G1448" s="22"/>
      <c r="I1448" s="5"/>
      <c r="J1448" s="5"/>
      <c r="K1448" s="22"/>
      <c r="L1448" s="22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19"/>
      <c r="AH1448" s="5"/>
      <c r="AI1448" s="5"/>
      <c r="AJ1448" s="5"/>
      <c r="AK1448" s="5"/>
    </row>
    <row r="1449" spans="1:37" x14ac:dyDescent="0.25">
      <c r="A1449" s="182"/>
      <c r="B1449" s="6"/>
      <c r="C1449" s="6"/>
      <c r="D1449" s="15"/>
      <c r="E1449" s="22"/>
      <c r="F1449" s="22"/>
      <c r="G1449" s="22"/>
      <c r="I1449" s="5"/>
      <c r="J1449" s="5"/>
      <c r="K1449" s="22"/>
      <c r="L1449" s="22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19"/>
      <c r="AH1449" s="5"/>
      <c r="AI1449" s="5"/>
      <c r="AJ1449" s="5"/>
      <c r="AK1449" s="5"/>
    </row>
    <row r="1450" spans="1:37" x14ac:dyDescent="0.25">
      <c r="A1450" s="182"/>
      <c r="B1450" s="6"/>
      <c r="C1450" s="6"/>
      <c r="D1450" s="15"/>
      <c r="E1450" s="22"/>
      <c r="F1450" s="22"/>
      <c r="G1450" s="22"/>
      <c r="I1450" s="5"/>
      <c r="J1450" s="5"/>
      <c r="K1450" s="22"/>
      <c r="L1450" s="22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19"/>
      <c r="AH1450" s="5"/>
      <c r="AI1450" s="5"/>
      <c r="AJ1450" s="5"/>
      <c r="AK1450" s="5"/>
    </row>
    <row r="1451" spans="1:37" x14ac:dyDescent="0.25">
      <c r="A1451" s="182"/>
      <c r="B1451" s="6"/>
      <c r="C1451" s="6"/>
      <c r="D1451" s="15"/>
      <c r="E1451" s="22"/>
      <c r="F1451" s="22"/>
      <c r="G1451" s="22"/>
      <c r="I1451" s="5"/>
      <c r="J1451" s="5"/>
      <c r="K1451" s="22"/>
      <c r="L1451" s="22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19"/>
      <c r="AH1451" s="5"/>
      <c r="AI1451" s="5"/>
      <c r="AJ1451" s="5"/>
      <c r="AK1451" s="5"/>
    </row>
    <row r="1452" spans="1:37" x14ac:dyDescent="0.25">
      <c r="A1452" s="182"/>
      <c r="B1452" s="6"/>
      <c r="C1452" s="6"/>
      <c r="D1452" s="15"/>
      <c r="E1452" s="22"/>
      <c r="F1452" s="22"/>
      <c r="G1452" s="22"/>
      <c r="I1452" s="5"/>
      <c r="J1452" s="5"/>
      <c r="K1452" s="22"/>
      <c r="L1452" s="22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19"/>
      <c r="AH1452" s="5"/>
      <c r="AI1452" s="5"/>
      <c r="AJ1452" s="5"/>
      <c r="AK1452" s="5"/>
    </row>
    <row r="1453" spans="1:37" x14ac:dyDescent="0.25">
      <c r="A1453" s="182"/>
      <c r="B1453" s="6"/>
      <c r="C1453" s="6"/>
      <c r="D1453" s="15"/>
      <c r="E1453" s="22"/>
      <c r="F1453" s="22"/>
      <c r="G1453" s="22"/>
      <c r="I1453" s="5"/>
      <c r="J1453" s="5"/>
      <c r="K1453" s="22"/>
      <c r="L1453" s="22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19"/>
      <c r="AH1453" s="5"/>
      <c r="AI1453" s="5"/>
      <c r="AJ1453" s="5"/>
      <c r="AK1453" s="5"/>
    </row>
    <row r="1454" spans="1:37" x14ac:dyDescent="0.25">
      <c r="A1454" s="182"/>
      <c r="B1454" s="6"/>
      <c r="C1454" s="6"/>
      <c r="D1454" s="15"/>
      <c r="E1454" s="22"/>
      <c r="F1454" s="22"/>
      <c r="G1454" s="22"/>
      <c r="I1454" s="5"/>
      <c r="J1454" s="5"/>
      <c r="K1454" s="22"/>
      <c r="L1454" s="22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19"/>
      <c r="AH1454" s="5"/>
      <c r="AI1454" s="5"/>
      <c r="AJ1454" s="5"/>
      <c r="AK1454" s="5"/>
    </row>
    <row r="1455" spans="1:37" x14ac:dyDescent="0.25">
      <c r="A1455" s="182"/>
      <c r="B1455" s="6"/>
      <c r="C1455" s="6"/>
      <c r="D1455" s="15"/>
      <c r="E1455" s="22"/>
      <c r="F1455" s="22"/>
      <c r="G1455" s="22"/>
      <c r="I1455" s="5"/>
      <c r="J1455" s="5"/>
      <c r="K1455" s="22"/>
      <c r="L1455" s="22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19"/>
      <c r="AH1455" s="5"/>
      <c r="AI1455" s="5"/>
      <c r="AJ1455" s="5"/>
      <c r="AK1455" s="5"/>
    </row>
    <row r="1456" spans="1:37" x14ac:dyDescent="0.25">
      <c r="A1456" s="182"/>
      <c r="B1456" s="6"/>
      <c r="C1456" s="6"/>
      <c r="D1456" s="15"/>
      <c r="E1456" s="22"/>
      <c r="F1456" s="22"/>
      <c r="G1456" s="22"/>
      <c r="I1456" s="5"/>
      <c r="J1456" s="5"/>
      <c r="K1456" s="22"/>
      <c r="L1456" s="22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19"/>
      <c r="AH1456" s="5"/>
      <c r="AI1456" s="5"/>
      <c r="AJ1456" s="5"/>
      <c r="AK1456" s="5"/>
    </row>
    <row r="1457" spans="1:37" x14ac:dyDescent="0.25">
      <c r="A1457" s="182"/>
      <c r="B1457" s="6"/>
      <c r="C1457" s="6"/>
      <c r="D1457" s="15"/>
      <c r="E1457" s="22"/>
      <c r="F1457" s="22"/>
      <c r="G1457" s="22"/>
      <c r="I1457" s="5"/>
      <c r="J1457" s="5"/>
      <c r="K1457" s="22"/>
      <c r="L1457" s="22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19"/>
      <c r="AH1457" s="5"/>
      <c r="AI1457" s="5"/>
      <c r="AJ1457" s="5"/>
      <c r="AK1457" s="5"/>
    </row>
    <row r="1458" spans="1:37" x14ac:dyDescent="0.25">
      <c r="A1458" s="182"/>
      <c r="B1458" s="6"/>
      <c r="C1458" s="6"/>
      <c r="D1458" s="15"/>
      <c r="E1458" s="22"/>
      <c r="F1458" s="22"/>
      <c r="G1458" s="22"/>
      <c r="I1458" s="5"/>
      <c r="J1458" s="5"/>
      <c r="K1458" s="22"/>
      <c r="L1458" s="22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19"/>
      <c r="AH1458" s="5"/>
      <c r="AI1458" s="5"/>
      <c r="AJ1458" s="5"/>
      <c r="AK1458" s="5"/>
    </row>
    <row r="1459" spans="1:37" x14ac:dyDescent="0.25">
      <c r="A1459" s="182"/>
      <c r="B1459" s="6"/>
      <c r="C1459" s="6"/>
      <c r="D1459" s="15"/>
      <c r="E1459" s="22"/>
      <c r="F1459" s="22"/>
      <c r="G1459" s="22"/>
      <c r="I1459" s="5"/>
      <c r="J1459" s="5"/>
      <c r="K1459" s="22"/>
      <c r="L1459" s="22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19"/>
      <c r="AH1459" s="5"/>
      <c r="AI1459" s="5"/>
      <c r="AJ1459" s="5"/>
      <c r="AK1459" s="5"/>
    </row>
    <row r="1460" spans="1:37" x14ac:dyDescent="0.25">
      <c r="A1460" s="182"/>
      <c r="B1460" s="6"/>
      <c r="C1460" s="6"/>
      <c r="D1460" s="15"/>
      <c r="E1460" s="22"/>
      <c r="F1460" s="22"/>
      <c r="G1460" s="22"/>
      <c r="I1460" s="5"/>
      <c r="J1460" s="5"/>
      <c r="K1460" s="22"/>
      <c r="L1460" s="22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19"/>
      <c r="AH1460" s="5"/>
      <c r="AI1460" s="5"/>
      <c r="AJ1460" s="5"/>
      <c r="AK1460" s="5"/>
    </row>
    <row r="1461" spans="1:37" x14ac:dyDescent="0.25">
      <c r="A1461" s="182"/>
      <c r="B1461" s="6"/>
      <c r="C1461" s="6"/>
      <c r="D1461" s="15"/>
      <c r="E1461" s="22"/>
      <c r="F1461" s="22"/>
      <c r="G1461" s="22"/>
      <c r="I1461" s="5"/>
      <c r="J1461" s="5"/>
      <c r="K1461" s="22"/>
      <c r="L1461" s="22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19"/>
      <c r="AH1461" s="5"/>
      <c r="AI1461" s="5"/>
      <c r="AJ1461" s="5"/>
      <c r="AK1461" s="5"/>
    </row>
    <row r="1462" spans="1:37" x14ac:dyDescent="0.25">
      <c r="A1462" s="182"/>
      <c r="B1462" s="6"/>
      <c r="C1462" s="6"/>
      <c r="D1462" s="15"/>
      <c r="E1462" s="22"/>
      <c r="F1462" s="22"/>
      <c r="G1462" s="22"/>
      <c r="I1462" s="5"/>
      <c r="J1462" s="5"/>
      <c r="K1462" s="22"/>
      <c r="L1462" s="22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19"/>
      <c r="AH1462" s="5"/>
      <c r="AI1462" s="5"/>
      <c r="AJ1462" s="5"/>
      <c r="AK1462" s="5"/>
    </row>
    <row r="1463" spans="1:37" x14ac:dyDescent="0.25">
      <c r="A1463" s="182"/>
      <c r="B1463" s="6"/>
      <c r="C1463" s="6"/>
      <c r="D1463" s="15"/>
      <c r="E1463" s="22"/>
      <c r="F1463" s="22"/>
      <c r="G1463" s="22"/>
      <c r="I1463" s="5"/>
      <c r="J1463" s="5"/>
      <c r="K1463" s="22"/>
      <c r="L1463" s="22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19"/>
      <c r="AH1463" s="5"/>
      <c r="AI1463" s="5"/>
      <c r="AJ1463" s="5"/>
      <c r="AK1463" s="5"/>
    </row>
    <row r="1464" spans="1:37" x14ac:dyDescent="0.25">
      <c r="A1464" s="182"/>
      <c r="B1464" s="6"/>
      <c r="C1464" s="6"/>
      <c r="D1464" s="15"/>
      <c r="E1464" s="22"/>
      <c r="F1464" s="22"/>
      <c r="G1464" s="22"/>
      <c r="I1464" s="5"/>
      <c r="J1464" s="5"/>
      <c r="K1464" s="22"/>
      <c r="L1464" s="22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19"/>
      <c r="AH1464" s="5"/>
      <c r="AI1464" s="5"/>
      <c r="AJ1464" s="5"/>
      <c r="AK1464" s="5"/>
    </row>
    <row r="1465" spans="1:37" x14ac:dyDescent="0.25">
      <c r="A1465" s="182"/>
      <c r="B1465" s="6"/>
      <c r="C1465" s="6"/>
      <c r="D1465" s="15"/>
      <c r="E1465" s="22"/>
      <c r="F1465" s="22"/>
      <c r="G1465" s="22"/>
      <c r="I1465" s="5"/>
      <c r="J1465" s="5"/>
      <c r="K1465" s="22"/>
      <c r="L1465" s="22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19"/>
      <c r="AH1465" s="5"/>
      <c r="AI1465" s="5"/>
      <c r="AJ1465" s="5"/>
      <c r="AK1465" s="5"/>
    </row>
    <row r="1466" spans="1:37" x14ac:dyDescent="0.25">
      <c r="A1466" s="182"/>
      <c r="B1466" s="6"/>
      <c r="C1466" s="6"/>
      <c r="D1466" s="15"/>
      <c r="E1466" s="22"/>
      <c r="F1466" s="22"/>
      <c r="G1466" s="22"/>
      <c r="I1466" s="5"/>
      <c r="J1466" s="5"/>
      <c r="K1466" s="22"/>
      <c r="L1466" s="22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19"/>
      <c r="AH1466" s="5"/>
      <c r="AI1466" s="5"/>
      <c r="AJ1466" s="5"/>
      <c r="AK1466" s="5"/>
    </row>
    <row r="1467" spans="1:37" x14ac:dyDescent="0.25">
      <c r="A1467" s="182"/>
      <c r="B1467" s="6"/>
      <c r="C1467" s="6"/>
      <c r="D1467" s="15"/>
      <c r="E1467" s="22"/>
      <c r="F1467" s="22"/>
      <c r="G1467" s="22"/>
      <c r="I1467" s="5"/>
      <c r="J1467" s="5"/>
      <c r="K1467" s="22"/>
      <c r="L1467" s="22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19"/>
      <c r="AH1467" s="5"/>
      <c r="AI1467" s="5"/>
      <c r="AJ1467" s="5"/>
      <c r="AK1467" s="5"/>
    </row>
    <row r="1468" spans="1:37" x14ac:dyDescent="0.25">
      <c r="A1468" s="182"/>
      <c r="B1468" s="6"/>
      <c r="C1468" s="6"/>
      <c r="D1468" s="15"/>
      <c r="E1468" s="22"/>
      <c r="F1468" s="22"/>
      <c r="G1468" s="22"/>
      <c r="I1468" s="5"/>
      <c r="J1468" s="5"/>
      <c r="K1468" s="22"/>
      <c r="L1468" s="22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19"/>
      <c r="AH1468" s="5"/>
      <c r="AI1468" s="5"/>
      <c r="AJ1468" s="5"/>
      <c r="AK1468" s="5"/>
    </row>
    <row r="1469" spans="1:37" x14ac:dyDescent="0.25">
      <c r="A1469" s="182"/>
      <c r="B1469" s="6"/>
      <c r="C1469" s="6"/>
      <c r="D1469" s="15"/>
      <c r="E1469" s="22"/>
      <c r="F1469" s="22"/>
      <c r="G1469" s="22"/>
      <c r="I1469" s="5"/>
      <c r="J1469" s="5"/>
      <c r="K1469" s="22"/>
      <c r="L1469" s="22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19"/>
      <c r="AH1469" s="5"/>
      <c r="AI1469" s="5"/>
      <c r="AJ1469" s="5"/>
      <c r="AK1469" s="5"/>
    </row>
    <row r="1470" spans="1:37" x14ac:dyDescent="0.25">
      <c r="A1470" s="182"/>
      <c r="B1470" s="6"/>
      <c r="C1470" s="6"/>
      <c r="D1470" s="15"/>
      <c r="E1470" s="22"/>
      <c r="F1470" s="22"/>
      <c r="G1470" s="22"/>
      <c r="I1470" s="5"/>
      <c r="J1470" s="5"/>
      <c r="K1470" s="22"/>
      <c r="L1470" s="22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19"/>
      <c r="AH1470" s="5"/>
      <c r="AI1470" s="5"/>
      <c r="AJ1470" s="5"/>
      <c r="AK1470" s="5"/>
    </row>
    <row r="1471" spans="1:37" x14ac:dyDescent="0.25">
      <c r="A1471" s="182"/>
      <c r="B1471" s="6"/>
      <c r="C1471" s="6"/>
      <c r="D1471" s="15"/>
      <c r="E1471" s="22"/>
      <c r="F1471" s="22"/>
      <c r="G1471" s="22"/>
      <c r="I1471" s="5"/>
      <c r="J1471" s="5"/>
      <c r="K1471" s="22"/>
      <c r="L1471" s="22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19"/>
      <c r="AH1471" s="5"/>
      <c r="AI1471" s="5"/>
      <c r="AJ1471" s="5"/>
      <c r="AK1471" s="5"/>
    </row>
    <row r="1472" spans="1:37" x14ac:dyDescent="0.25">
      <c r="A1472" s="182"/>
      <c r="B1472" s="6"/>
      <c r="C1472" s="6"/>
      <c r="D1472" s="15"/>
      <c r="E1472" s="22"/>
      <c r="F1472" s="22"/>
      <c r="G1472" s="22"/>
      <c r="I1472" s="5"/>
      <c r="J1472" s="5"/>
      <c r="K1472" s="22"/>
      <c r="L1472" s="22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19"/>
      <c r="AH1472" s="5"/>
      <c r="AI1472" s="5"/>
      <c r="AJ1472" s="5"/>
      <c r="AK1472" s="5"/>
    </row>
    <row r="1473" spans="1:37" x14ac:dyDescent="0.25">
      <c r="A1473" s="182"/>
      <c r="B1473" s="6"/>
      <c r="C1473" s="6"/>
      <c r="D1473" s="15"/>
      <c r="E1473" s="22"/>
      <c r="F1473" s="22"/>
      <c r="G1473" s="22"/>
      <c r="I1473" s="5"/>
      <c r="J1473" s="5"/>
      <c r="K1473" s="22"/>
      <c r="L1473" s="22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19"/>
      <c r="AH1473" s="5"/>
      <c r="AI1473" s="5"/>
      <c r="AJ1473" s="5"/>
      <c r="AK1473" s="5"/>
    </row>
    <row r="1474" spans="1:37" x14ac:dyDescent="0.25">
      <c r="A1474" s="182"/>
      <c r="B1474" s="6"/>
      <c r="C1474" s="6"/>
      <c r="D1474" s="15"/>
      <c r="E1474" s="22"/>
      <c r="F1474" s="22"/>
      <c r="G1474" s="22"/>
      <c r="I1474" s="5"/>
      <c r="J1474" s="5"/>
      <c r="K1474" s="22"/>
      <c r="L1474" s="22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19"/>
      <c r="AH1474" s="5"/>
      <c r="AI1474" s="5"/>
      <c r="AJ1474" s="5"/>
      <c r="AK1474" s="5"/>
    </row>
    <row r="1475" spans="1:37" x14ac:dyDescent="0.25">
      <c r="A1475" s="182"/>
      <c r="B1475" s="6"/>
      <c r="C1475" s="6"/>
      <c r="D1475" s="15"/>
      <c r="E1475" s="22"/>
      <c r="F1475" s="22"/>
      <c r="G1475" s="22"/>
      <c r="I1475" s="5"/>
      <c r="J1475" s="5"/>
      <c r="K1475" s="22"/>
      <c r="L1475" s="22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19"/>
      <c r="AH1475" s="5"/>
      <c r="AI1475" s="5"/>
      <c r="AJ1475" s="5"/>
      <c r="AK1475" s="5"/>
    </row>
    <row r="1476" spans="1:37" x14ac:dyDescent="0.25">
      <c r="A1476" s="182"/>
      <c r="B1476" s="6"/>
      <c r="C1476" s="6"/>
      <c r="D1476" s="15"/>
      <c r="E1476" s="22"/>
      <c r="F1476" s="22"/>
      <c r="G1476" s="22"/>
      <c r="I1476" s="5"/>
      <c r="J1476" s="5"/>
      <c r="K1476" s="22"/>
      <c r="L1476" s="22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19"/>
      <c r="AH1476" s="5"/>
      <c r="AI1476" s="5"/>
      <c r="AJ1476" s="5"/>
      <c r="AK1476" s="5"/>
    </row>
    <row r="1477" spans="1:37" x14ac:dyDescent="0.25">
      <c r="A1477" s="182"/>
      <c r="B1477" s="6"/>
      <c r="C1477" s="6"/>
      <c r="D1477" s="15"/>
      <c r="E1477" s="22"/>
      <c r="F1477" s="22"/>
      <c r="G1477" s="22"/>
      <c r="I1477" s="5"/>
      <c r="J1477" s="5"/>
      <c r="K1477" s="22"/>
      <c r="L1477" s="22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19"/>
      <c r="AH1477" s="5"/>
      <c r="AI1477" s="5"/>
      <c r="AJ1477" s="5"/>
      <c r="AK1477" s="5"/>
    </row>
    <row r="1478" spans="1:37" x14ac:dyDescent="0.25">
      <c r="A1478" s="182"/>
      <c r="B1478" s="6"/>
      <c r="C1478" s="6"/>
      <c r="D1478" s="15"/>
      <c r="E1478" s="22"/>
      <c r="F1478" s="22"/>
      <c r="G1478" s="22"/>
      <c r="I1478" s="5"/>
      <c r="J1478" s="5"/>
      <c r="K1478" s="22"/>
      <c r="L1478" s="22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19"/>
      <c r="AH1478" s="5"/>
      <c r="AI1478" s="5"/>
      <c r="AJ1478" s="5"/>
      <c r="AK1478" s="5"/>
    </row>
    <row r="1479" spans="1:37" x14ac:dyDescent="0.25">
      <c r="A1479" s="182"/>
      <c r="B1479" s="6"/>
      <c r="C1479" s="6"/>
      <c r="D1479" s="15"/>
      <c r="E1479" s="22"/>
      <c r="F1479" s="22"/>
      <c r="G1479" s="22"/>
      <c r="I1479" s="5"/>
      <c r="J1479" s="5"/>
      <c r="K1479" s="22"/>
      <c r="L1479" s="22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19"/>
      <c r="AH1479" s="5"/>
      <c r="AI1479" s="5"/>
      <c r="AJ1479" s="5"/>
      <c r="AK1479" s="5"/>
    </row>
    <row r="1480" spans="1:37" x14ac:dyDescent="0.25">
      <c r="A1480" s="182"/>
      <c r="B1480" s="6"/>
      <c r="C1480" s="6"/>
      <c r="D1480" s="15"/>
      <c r="E1480" s="22"/>
      <c r="F1480" s="22"/>
      <c r="G1480" s="22"/>
      <c r="I1480" s="5"/>
      <c r="J1480" s="5"/>
      <c r="K1480" s="22"/>
      <c r="L1480" s="22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19"/>
      <c r="AH1480" s="5"/>
      <c r="AI1480" s="5"/>
      <c r="AJ1480" s="5"/>
      <c r="AK1480" s="5"/>
    </row>
    <row r="1481" spans="1:37" x14ac:dyDescent="0.25">
      <c r="A1481" s="182"/>
      <c r="B1481" s="6"/>
      <c r="C1481" s="6"/>
      <c r="D1481" s="15"/>
      <c r="E1481" s="22"/>
      <c r="F1481" s="22"/>
      <c r="G1481" s="22"/>
      <c r="I1481" s="5"/>
      <c r="J1481" s="5"/>
      <c r="K1481" s="22"/>
      <c r="L1481" s="22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19"/>
      <c r="AH1481" s="5"/>
      <c r="AI1481" s="5"/>
      <c r="AJ1481" s="5"/>
      <c r="AK1481" s="5"/>
    </row>
    <row r="1482" spans="1:37" x14ac:dyDescent="0.25">
      <c r="A1482" s="182"/>
      <c r="B1482" s="6"/>
      <c r="C1482" s="6"/>
      <c r="D1482" s="15"/>
      <c r="E1482" s="22"/>
      <c r="F1482" s="22"/>
      <c r="G1482" s="22"/>
      <c r="I1482" s="5"/>
      <c r="J1482" s="5"/>
      <c r="K1482" s="22"/>
      <c r="L1482" s="22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19"/>
      <c r="AH1482" s="5"/>
      <c r="AI1482" s="5"/>
      <c r="AJ1482" s="5"/>
      <c r="AK1482" s="5"/>
    </row>
    <row r="1483" spans="1:37" x14ac:dyDescent="0.25">
      <c r="A1483" s="182"/>
      <c r="B1483" s="6"/>
      <c r="C1483" s="6"/>
      <c r="D1483" s="15"/>
      <c r="E1483" s="22"/>
      <c r="F1483" s="22"/>
      <c r="G1483" s="22"/>
      <c r="I1483" s="5"/>
      <c r="J1483" s="5"/>
      <c r="K1483" s="22"/>
      <c r="L1483" s="22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19"/>
      <c r="AH1483" s="5"/>
      <c r="AI1483" s="5"/>
      <c r="AJ1483" s="5"/>
      <c r="AK1483" s="5"/>
    </row>
    <row r="1484" spans="1:37" x14ac:dyDescent="0.25">
      <c r="A1484" s="182"/>
      <c r="B1484" s="6"/>
      <c r="C1484" s="6"/>
      <c r="D1484" s="15"/>
      <c r="E1484" s="22"/>
      <c r="F1484" s="22"/>
      <c r="G1484" s="22"/>
      <c r="I1484" s="5"/>
      <c r="J1484" s="5"/>
      <c r="K1484" s="22"/>
      <c r="L1484" s="22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19"/>
      <c r="AH1484" s="5"/>
      <c r="AI1484" s="5"/>
      <c r="AJ1484" s="5"/>
      <c r="AK1484" s="5"/>
    </row>
    <row r="1485" spans="1:37" x14ac:dyDescent="0.25">
      <c r="A1485" s="182"/>
      <c r="B1485" s="6"/>
      <c r="C1485" s="6"/>
      <c r="D1485" s="15"/>
      <c r="E1485" s="22"/>
      <c r="F1485" s="22"/>
      <c r="G1485" s="22"/>
      <c r="I1485" s="5"/>
      <c r="J1485" s="5"/>
      <c r="K1485" s="22"/>
      <c r="L1485" s="22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19"/>
      <c r="AH1485" s="5"/>
      <c r="AI1485" s="5"/>
      <c r="AJ1485" s="5"/>
      <c r="AK1485" s="5"/>
    </row>
    <row r="1486" spans="1:37" x14ac:dyDescent="0.25">
      <c r="A1486" s="182"/>
      <c r="B1486" s="6"/>
      <c r="C1486" s="6"/>
      <c r="D1486" s="15"/>
      <c r="E1486" s="22"/>
      <c r="F1486" s="22"/>
      <c r="G1486" s="22"/>
      <c r="I1486" s="5"/>
      <c r="J1486" s="5"/>
      <c r="K1486" s="22"/>
      <c r="L1486" s="22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19"/>
      <c r="AH1486" s="5"/>
      <c r="AI1486" s="5"/>
      <c r="AJ1486" s="5"/>
      <c r="AK1486" s="5"/>
    </row>
    <row r="1487" spans="1:37" x14ac:dyDescent="0.25">
      <c r="A1487" s="182"/>
      <c r="B1487" s="6"/>
      <c r="C1487" s="6"/>
      <c r="D1487" s="15"/>
      <c r="E1487" s="22"/>
      <c r="F1487" s="22"/>
      <c r="G1487" s="22"/>
      <c r="I1487" s="5"/>
      <c r="J1487" s="5"/>
      <c r="K1487" s="22"/>
      <c r="L1487" s="22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19"/>
      <c r="AH1487" s="5"/>
      <c r="AI1487" s="5"/>
      <c r="AJ1487" s="5"/>
      <c r="AK1487" s="5"/>
    </row>
    <row r="1488" spans="1:37" x14ac:dyDescent="0.25">
      <c r="A1488" s="182"/>
      <c r="B1488" s="6"/>
      <c r="C1488" s="6"/>
      <c r="D1488" s="15"/>
      <c r="E1488" s="22"/>
      <c r="F1488" s="22"/>
      <c r="G1488" s="22"/>
      <c r="I1488" s="5"/>
      <c r="J1488" s="5"/>
      <c r="K1488" s="22"/>
      <c r="L1488" s="22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19"/>
      <c r="AH1488" s="5"/>
      <c r="AI1488" s="5"/>
      <c r="AJ1488" s="5"/>
      <c r="AK1488" s="5"/>
    </row>
    <row r="1489" spans="1:37" x14ac:dyDescent="0.25">
      <c r="A1489" s="182"/>
      <c r="B1489" s="6"/>
      <c r="C1489" s="6"/>
      <c r="D1489" s="15"/>
      <c r="E1489" s="22"/>
      <c r="F1489" s="22"/>
      <c r="G1489" s="22"/>
      <c r="I1489" s="5"/>
      <c r="J1489" s="5"/>
      <c r="K1489" s="22"/>
      <c r="L1489" s="22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19"/>
      <c r="AH1489" s="5"/>
      <c r="AI1489" s="5"/>
      <c r="AJ1489" s="5"/>
      <c r="AK1489" s="5"/>
    </row>
    <row r="1490" spans="1:37" x14ac:dyDescent="0.25">
      <c r="A1490" s="182"/>
      <c r="B1490" s="6"/>
      <c r="C1490" s="6"/>
      <c r="D1490" s="15"/>
      <c r="E1490" s="22"/>
      <c r="F1490" s="22"/>
      <c r="G1490" s="22"/>
      <c r="I1490" s="5"/>
      <c r="J1490" s="5"/>
      <c r="K1490" s="22"/>
      <c r="L1490" s="22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19"/>
      <c r="AH1490" s="5"/>
      <c r="AI1490" s="5"/>
      <c r="AJ1490" s="5"/>
      <c r="AK1490" s="5"/>
    </row>
    <row r="1491" spans="1:37" x14ac:dyDescent="0.25">
      <c r="A1491" s="182"/>
      <c r="B1491" s="6"/>
      <c r="C1491" s="6"/>
      <c r="D1491" s="15"/>
      <c r="E1491" s="22"/>
      <c r="F1491" s="22"/>
      <c r="G1491" s="22"/>
      <c r="I1491" s="5"/>
      <c r="J1491" s="5"/>
      <c r="K1491" s="22"/>
      <c r="L1491" s="22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19"/>
      <c r="AH1491" s="5"/>
      <c r="AI1491" s="5"/>
      <c r="AJ1491" s="5"/>
      <c r="AK1491" s="5"/>
    </row>
    <row r="1492" spans="1:37" x14ac:dyDescent="0.25">
      <c r="A1492" s="182"/>
      <c r="B1492" s="6"/>
      <c r="C1492" s="6"/>
      <c r="D1492" s="15"/>
      <c r="E1492" s="22"/>
      <c r="F1492" s="22"/>
      <c r="G1492" s="22"/>
      <c r="I1492" s="5"/>
      <c r="J1492" s="5"/>
      <c r="K1492" s="22"/>
      <c r="L1492" s="22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19"/>
      <c r="AH1492" s="5"/>
      <c r="AI1492" s="5"/>
      <c r="AJ1492" s="5"/>
      <c r="AK1492" s="5"/>
    </row>
    <row r="1493" spans="1:37" x14ac:dyDescent="0.25">
      <c r="A1493" s="182"/>
      <c r="B1493" s="6"/>
      <c r="C1493" s="6"/>
      <c r="D1493" s="15"/>
      <c r="E1493" s="22"/>
      <c r="F1493" s="22"/>
      <c r="G1493" s="22"/>
      <c r="I1493" s="5"/>
      <c r="J1493" s="5"/>
      <c r="K1493" s="22"/>
      <c r="L1493" s="22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19"/>
      <c r="AH1493" s="5"/>
      <c r="AI1493" s="5"/>
      <c r="AJ1493" s="5"/>
      <c r="AK1493" s="5"/>
    </row>
    <row r="1494" spans="1:37" x14ac:dyDescent="0.25">
      <c r="A1494" s="182"/>
      <c r="B1494" s="6"/>
      <c r="C1494" s="6"/>
      <c r="D1494" s="15"/>
      <c r="E1494" s="22"/>
      <c r="F1494" s="22"/>
      <c r="G1494" s="22"/>
      <c r="I1494" s="5"/>
      <c r="J1494" s="5"/>
      <c r="K1494" s="22"/>
      <c r="L1494" s="22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19"/>
      <c r="AH1494" s="5"/>
      <c r="AI1494" s="5"/>
      <c r="AJ1494" s="5"/>
      <c r="AK1494" s="5"/>
    </row>
    <row r="1495" spans="1:37" x14ac:dyDescent="0.25">
      <c r="A1495" s="182"/>
      <c r="B1495" s="6"/>
      <c r="C1495" s="6"/>
      <c r="D1495" s="15"/>
      <c r="E1495" s="22"/>
      <c r="F1495" s="22"/>
      <c r="G1495" s="22"/>
      <c r="I1495" s="5"/>
      <c r="J1495" s="5"/>
      <c r="K1495" s="22"/>
      <c r="L1495" s="22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19"/>
      <c r="AH1495" s="5"/>
      <c r="AI1495" s="5"/>
      <c r="AJ1495" s="5"/>
      <c r="AK1495" s="5"/>
    </row>
    <row r="1496" spans="1:37" x14ac:dyDescent="0.25">
      <c r="A1496" s="182"/>
      <c r="B1496" s="6"/>
      <c r="C1496" s="6"/>
      <c r="D1496" s="15"/>
      <c r="E1496" s="22"/>
      <c r="F1496" s="22"/>
      <c r="G1496" s="22"/>
      <c r="I1496" s="5"/>
      <c r="J1496" s="5"/>
      <c r="K1496" s="22"/>
      <c r="L1496" s="22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19"/>
      <c r="AH1496" s="5"/>
      <c r="AI1496" s="5"/>
      <c r="AJ1496" s="5"/>
      <c r="AK1496" s="5"/>
    </row>
    <row r="1497" spans="1:37" x14ac:dyDescent="0.25">
      <c r="A1497" s="182"/>
      <c r="B1497" s="6"/>
      <c r="C1497" s="6"/>
      <c r="D1497" s="15"/>
      <c r="E1497" s="22"/>
      <c r="F1497" s="22"/>
      <c r="G1497" s="22"/>
      <c r="I1497" s="5"/>
      <c r="J1497" s="5"/>
      <c r="K1497" s="22"/>
      <c r="L1497" s="22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19"/>
      <c r="AH1497" s="5"/>
      <c r="AI1497" s="5"/>
      <c r="AJ1497" s="5"/>
      <c r="AK1497" s="5"/>
    </row>
    <row r="1498" spans="1:37" x14ac:dyDescent="0.25">
      <c r="A1498" s="182"/>
      <c r="B1498" s="6"/>
      <c r="C1498" s="6"/>
      <c r="D1498" s="15"/>
      <c r="E1498" s="22"/>
      <c r="F1498" s="22"/>
      <c r="G1498" s="22"/>
      <c r="I1498" s="5"/>
      <c r="J1498" s="5"/>
      <c r="K1498" s="22"/>
      <c r="L1498" s="22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19"/>
      <c r="AH1498" s="5"/>
      <c r="AI1498" s="5"/>
      <c r="AJ1498" s="5"/>
      <c r="AK1498" s="5"/>
    </row>
    <row r="1499" spans="1:37" x14ac:dyDescent="0.25">
      <c r="A1499" s="182"/>
      <c r="B1499" s="6"/>
      <c r="C1499" s="6"/>
      <c r="D1499" s="15"/>
      <c r="E1499" s="22"/>
      <c r="F1499" s="22"/>
      <c r="G1499" s="22"/>
      <c r="I1499" s="5"/>
      <c r="J1499" s="5"/>
      <c r="K1499" s="22"/>
      <c r="L1499" s="22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19"/>
      <c r="AH1499" s="5"/>
      <c r="AI1499" s="5"/>
      <c r="AJ1499" s="5"/>
      <c r="AK1499" s="5"/>
    </row>
    <row r="1500" spans="1:37" x14ac:dyDescent="0.25">
      <c r="A1500" s="182"/>
      <c r="B1500" s="6"/>
      <c r="C1500" s="6"/>
      <c r="D1500" s="15"/>
      <c r="E1500" s="22"/>
      <c r="F1500" s="22"/>
      <c r="G1500" s="22"/>
      <c r="I1500" s="5"/>
      <c r="J1500" s="5"/>
      <c r="K1500" s="22"/>
      <c r="L1500" s="22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19"/>
      <c r="AH1500" s="5"/>
      <c r="AI1500" s="5"/>
      <c r="AJ1500" s="5"/>
      <c r="AK1500" s="5"/>
    </row>
    <row r="1501" spans="1:37" x14ac:dyDescent="0.25">
      <c r="A1501" s="182"/>
      <c r="B1501" s="6"/>
      <c r="C1501" s="6"/>
      <c r="D1501" s="15"/>
      <c r="E1501" s="22"/>
      <c r="F1501" s="22"/>
      <c r="G1501" s="22"/>
      <c r="I1501" s="5"/>
      <c r="J1501" s="5"/>
      <c r="K1501" s="22"/>
      <c r="L1501" s="22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19"/>
      <c r="AH1501" s="5"/>
      <c r="AI1501" s="5"/>
      <c r="AJ1501" s="5"/>
      <c r="AK1501" s="5"/>
    </row>
    <row r="1502" spans="1:37" x14ac:dyDescent="0.25">
      <c r="A1502" s="182"/>
      <c r="B1502" s="6"/>
      <c r="C1502" s="6"/>
      <c r="D1502" s="15"/>
      <c r="E1502" s="22"/>
      <c r="F1502" s="22"/>
      <c r="G1502" s="22"/>
      <c r="I1502" s="5"/>
      <c r="J1502" s="5"/>
      <c r="K1502" s="22"/>
      <c r="L1502" s="22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19"/>
      <c r="AH1502" s="5"/>
      <c r="AI1502" s="5"/>
      <c r="AJ1502" s="5"/>
      <c r="AK1502" s="5"/>
    </row>
    <row r="1503" spans="1:37" x14ac:dyDescent="0.25">
      <c r="A1503" s="182"/>
      <c r="B1503" s="6"/>
      <c r="C1503" s="6"/>
      <c r="D1503" s="15"/>
      <c r="E1503" s="22"/>
      <c r="F1503" s="22"/>
      <c r="G1503" s="22"/>
      <c r="I1503" s="5"/>
      <c r="J1503" s="5"/>
      <c r="K1503" s="22"/>
      <c r="L1503" s="22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19"/>
      <c r="AH1503" s="5"/>
      <c r="AI1503" s="5"/>
      <c r="AJ1503" s="5"/>
      <c r="AK1503" s="5"/>
    </row>
    <row r="1504" spans="1:37" x14ac:dyDescent="0.25">
      <c r="A1504" s="182"/>
      <c r="B1504" s="6"/>
      <c r="C1504" s="6"/>
      <c r="D1504" s="15"/>
      <c r="E1504" s="22"/>
      <c r="F1504" s="22"/>
      <c r="G1504" s="22"/>
      <c r="I1504" s="5"/>
      <c r="J1504" s="5"/>
      <c r="K1504" s="22"/>
      <c r="L1504" s="22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19"/>
      <c r="AH1504" s="5"/>
      <c r="AI1504" s="5"/>
      <c r="AJ1504" s="5"/>
      <c r="AK1504" s="5"/>
    </row>
    <row r="1505" spans="1:37" x14ac:dyDescent="0.25">
      <c r="A1505" s="182"/>
      <c r="B1505" s="6"/>
      <c r="C1505" s="6"/>
      <c r="D1505" s="15"/>
      <c r="E1505" s="22"/>
      <c r="F1505" s="22"/>
      <c r="G1505" s="22"/>
      <c r="I1505" s="5"/>
      <c r="J1505" s="5"/>
      <c r="K1505" s="22"/>
      <c r="L1505" s="22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19"/>
      <c r="AH1505" s="5"/>
      <c r="AI1505" s="5"/>
      <c r="AJ1505" s="5"/>
      <c r="AK1505" s="5"/>
    </row>
    <row r="1506" spans="1:37" x14ac:dyDescent="0.25">
      <c r="A1506" s="182"/>
      <c r="B1506" s="6"/>
      <c r="C1506" s="6"/>
      <c r="D1506" s="15"/>
      <c r="E1506" s="22"/>
      <c r="F1506" s="22"/>
      <c r="G1506" s="22"/>
      <c r="I1506" s="5"/>
      <c r="J1506" s="5"/>
      <c r="K1506" s="22"/>
      <c r="L1506" s="22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19"/>
      <c r="AH1506" s="5"/>
      <c r="AI1506" s="5"/>
      <c r="AJ1506" s="5"/>
      <c r="AK1506" s="5"/>
    </row>
    <row r="1507" spans="1:37" x14ac:dyDescent="0.25">
      <c r="A1507" s="182"/>
      <c r="B1507" s="6"/>
      <c r="C1507" s="6"/>
      <c r="D1507" s="15"/>
      <c r="E1507" s="22"/>
      <c r="F1507" s="22"/>
      <c r="G1507" s="22"/>
      <c r="I1507" s="5"/>
      <c r="J1507" s="5"/>
      <c r="K1507" s="22"/>
      <c r="L1507" s="22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19"/>
      <c r="AH1507" s="5"/>
      <c r="AI1507" s="5"/>
      <c r="AJ1507" s="5"/>
      <c r="AK1507" s="5"/>
    </row>
    <row r="1508" spans="1:37" x14ac:dyDescent="0.25">
      <c r="A1508" s="182"/>
      <c r="B1508" s="6"/>
      <c r="C1508" s="6"/>
      <c r="D1508" s="15"/>
      <c r="E1508" s="22"/>
      <c r="F1508" s="22"/>
      <c r="G1508" s="22"/>
      <c r="I1508" s="5"/>
      <c r="J1508" s="5"/>
      <c r="K1508" s="22"/>
      <c r="L1508" s="22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19"/>
      <c r="AH1508" s="5"/>
      <c r="AI1508" s="5"/>
      <c r="AJ1508" s="5"/>
      <c r="AK1508" s="5"/>
    </row>
    <row r="1509" spans="1:37" x14ac:dyDescent="0.25">
      <c r="A1509" s="182"/>
      <c r="B1509" s="6"/>
      <c r="C1509" s="6"/>
      <c r="D1509" s="15"/>
      <c r="E1509" s="22"/>
      <c r="F1509" s="22"/>
      <c r="G1509" s="22"/>
      <c r="I1509" s="5"/>
      <c r="J1509" s="5"/>
      <c r="K1509" s="22"/>
      <c r="L1509" s="22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19"/>
      <c r="AH1509" s="5"/>
      <c r="AI1509" s="5"/>
      <c r="AJ1509" s="5"/>
      <c r="AK1509" s="5"/>
    </row>
    <row r="1510" spans="1:37" x14ac:dyDescent="0.25">
      <c r="A1510" s="182"/>
      <c r="B1510" s="6"/>
      <c r="C1510" s="6"/>
      <c r="D1510" s="15"/>
      <c r="E1510" s="22"/>
      <c r="F1510" s="22"/>
      <c r="G1510" s="22"/>
      <c r="I1510" s="5"/>
      <c r="J1510" s="5"/>
      <c r="K1510" s="22"/>
      <c r="L1510" s="22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19"/>
      <c r="AH1510" s="5"/>
      <c r="AI1510" s="5"/>
      <c r="AJ1510" s="5"/>
      <c r="AK1510" s="5"/>
    </row>
    <row r="1511" spans="1:37" x14ac:dyDescent="0.25">
      <c r="A1511" s="182"/>
      <c r="B1511" s="6"/>
      <c r="C1511" s="6"/>
      <c r="D1511" s="15"/>
      <c r="E1511" s="22"/>
      <c r="F1511" s="22"/>
      <c r="G1511" s="22"/>
      <c r="I1511" s="5"/>
      <c r="J1511" s="5"/>
      <c r="K1511" s="22"/>
      <c r="L1511" s="22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19"/>
      <c r="AH1511" s="5"/>
      <c r="AI1511" s="5"/>
      <c r="AJ1511" s="5"/>
      <c r="AK1511" s="5"/>
    </row>
    <row r="1512" spans="1:37" x14ac:dyDescent="0.25">
      <c r="A1512" s="182"/>
      <c r="B1512" s="6"/>
      <c r="C1512" s="6"/>
      <c r="D1512" s="15"/>
      <c r="E1512" s="22"/>
      <c r="F1512" s="22"/>
      <c r="G1512" s="22"/>
      <c r="I1512" s="5"/>
      <c r="J1512" s="5"/>
      <c r="K1512" s="22"/>
      <c r="L1512" s="22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19"/>
      <c r="AH1512" s="5"/>
      <c r="AI1512" s="5"/>
      <c r="AJ1512" s="5"/>
      <c r="AK1512" s="5"/>
    </row>
    <row r="1513" spans="1:37" x14ac:dyDescent="0.25">
      <c r="A1513" s="182"/>
      <c r="B1513" s="6"/>
      <c r="C1513" s="6"/>
      <c r="D1513" s="15"/>
      <c r="E1513" s="22"/>
      <c r="F1513" s="22"/>
      <c r="G1513" s="22"/>
      <c r="I1513" s="5"/>
      <c r="J1513" s="5"/>
      <c r="K1513" s="22"/>
      <c r="L1513" s="22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19"/>
      <c r="AH1513" s="5"/>
      <c r="AI1513" s="5"/>
      <c r="AJ1513" s="5"/>
      <c r="AK1513" s="5"/>
    </row>
    <row r="1514" spans="1:37" x14ac:dyDescent="0.25">
      <c r="A1514" s="182"/>
      <c r="B1514" s="6"/>
      <c r="C1514" s="6"/>
      <c r="D1514" s="15"/>
      <c r="E1514" s="22"/>
      <c r="F1514" s="22"/>
      <c r="G1514" s="22"/>
      <c r="I1514" s="5"/>
      <c r="J1514" s="5"/>
      <c r="K1514" s="22"/>
      <c r="L1514" s="22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19"/>
      <c r="AH1514" s="5"/>
      <c r="AI1514" s="5"/>
      <c r="AJ1514" s="5"/>
      <c r="AK1514" s="5"/>
    </row>
    <row r="1515" spans="1:37" x14ac:dyDescent="0.25">
      <c r="A1515" s="182"/>
      <c r="B1515" s="6"/>
      <c r="C1515" s="6"/>
      <c r="D1515" s="15"/>
      <c r="E1515" s="22"/>
      <c r="F1515" s="22"/>
      <c r="G1515" s="22"/>
      <c r="I1515" s="5"/>
      <c r="J1515" s="5"/>
      <c r="K1515" s="22"/>
      <c r="L1515" s="22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19"/>
      <c r="AH1515" s="5"/>
      <c r="AI1515" s="5"/>
      <c r="AJ1515" s="5"/>
      <c r="AK1515" s="5"/>
    </row>
    <row r="1516" spans="1:37" x14ac:dyDescent="0.25">
      <c r="A1516" s="182"/>
      <c r="B1516" s="6"/>
      <c r="C1516" s="6"/>
      <c r="D1516" s="15"/>
      <c r="E1516" s="22"/>
      <c r="F1516" s="22"/>
      <c r="G1516" s="22"/>
      <c r="I1516" s="5"/>
      <c r="J1516" s="5"/>
      <c r="K1516" s="22"/>
      <c r="L1516" s="22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19"/>
      <c r="AH1516" s="5"/>
      <c r="AI1516" s="5"/>
      <c r="AJ1516" s="5"/>
      <c r="AK1516" s="5"/>
    </row>
    <row r="1517" spans="1:37" x14ac:dyDescent="0.25">
      <c r="A1517" s="182"/>
      <c r="B1517" s="6"/>
      <c r="C1517" s="6"/>
      <c r="D1517" s="15"/>
      <c r="E1517" s="22"/>
      <c r="F1517" s="22"/>
      <c r="G1517" s="22"/>
      <c r="I1517" s="5"/>
      <c r="J1517" s="5"/>
      <c r="K1517" s="22"/>
      <c r="L1517" s="22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19"/>
      <c r="AH1517" s="5"/>
      <c r="AI1517" s="5"/>
      <c r="AJ1517" s="5"/>
      <c r="AK1517" s="5"/>
    </row>
    <row r="1518" spans="1:37" x14ac:dyDescent="0.25">
      <c r="A1518" s="182"/>
      <c r="B1518" s="6"/>
      <c r="C1518" s="6"/>
      <c r="D1518" s="15"/>
      <c r="E1518" s="22"/>
      <c r="F1518" s="22"/>
      <c r="G1518" s="22"/>
      <c r="I1518" s="5"/>
      <c r="J1518" s="5"/>
      <c r="K1518" s="22"/>
      <c r="L1518" s="22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19"/>
      <c r="AH1518" s="5"/>
      <c r="AI1518" s="5"/>
      <c r="AJ1518" s="5"/>
      <c r="AK1518" s="5"/>
    </row>
    <row r="1519" spans="1:37" x14ac:dyDescent="0.25">
      <c r="A1519" s="182"/>
      <c r="B1519" s="6"/>
      <c r="C1519" s="6"/>
      <c r="D1519" s="15"/>
      <c r="E1519" s="22"/>
      <c r="F1519" s="22"/>
      <c r="G1519" s="22"/>
      <c r="I1519" s="5"/>
      <c r="J1519" s="5"/>
      <c r="K1519" s="22"/>
      <c r="L1519" s="22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19"/>
      <c r="AH1519" s="5"/>
      <c r="AI1519" s="5"/>
      <c r="AJ1519" s="5"/>
      <c r="AK1519" s="5"/>
    </row>
    <row r="1520" spans="1:37" x14ac:dyDescent="0.25">
      <c r="A1520" s="182"/>
      <c r="B1520" s="6"/>
      <c r="C1520" s="6"/>
      <c r="D1520" s="15"/>
      <c r="E1520" s="22"/>
      <c r="F1520" s="22"/>
      <c r="G1520" s="22"/>
      <c r="I1520" s="5"/>
      <c r="J1520" s="5"/>
      <c r="K1520" s="22"/>
      <c r="L1520" s="22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19"/>
      <c r="AH1520" s="5"/>
      <c r="AI1520" s="5"/>
      <c r="AJ1520" s="5"/>
      <c r="AK1520" s="5"/>
    </row>
    <row r="1521" spans="1:37" x14ac:dyDescent="0.25">
      <c r="A1521" s="182"/>
      <c r="B1521" s="6"/>
      <c r="C1521" s="6"/>
      <c r="D1521" s="15"/>
      <c r="E1521" s="22"/>
      <c r="F1521" s="22"/>
      <c r="G1521" s="22"/>
      <c r="I1521" s="5"/>
      <c r="J1521" s="5"/>
      <c r="K1521" s="22"/>
      <c r="L1521" s="22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19"/>
      <c r="AH1521" s="5"/>
      <c r="AI1521" s="5"/>
      <c r="AJ1521" s="5"/>
      <c r="AK1521" s="5"/>
    </row>
    <row r="1522" spans="1:37" x14ac:dyDescent="0.25">
      <c r="A1522" s="182"/>
      <c r="B1522" s="6"/>
      <c r="C1522" s="6"/>
      <c r="D1522" s="15"/>
      <c r="E1522" s="22"/>
      <c r="F1522" s="22"/>
      <c r="G1522" s="22"/>
      <c r="I1522" s="5"/>
      <c r="J1522" s="5"/>
      <c r="K1522" s="22"/>
      <c r="L1522" s="22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19"/>
      <c r="AH1522" s="5"/>
      <c r="AI1522" s="5"/>
      <c r="AJ1522" s="5"/>
      <c r="AK1522" s="5"/>
    </row>
    <row r="1523" spans="1:37" x14ac:dyDescent="0.25">
      <c r="A1523" s="182"/>
      <c r="B1523" s="6"/>
      <c r="C1523" s="6"/>
      <c r="D1523" s="15"/>
      <c r="E1523" s="22"/>
      <c r="F1523" s="22"/>
      <c r="G1523" s="22"/>
      <c r="I1523" s="5"/>
      <c r="J1523" s="5"/>
      <c r="K1523" s="22"/>
      <c r="L1523" s="22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19"/>
      <c r="AH1523" s="5"/>
      <c r="AI1523" s="5"/>
      <c r="AJ1523" s="5"/>
      <c r="AK1523" s="5"/>
    </row>
    <row r="1524" spans="1:37" x14ac:dyDescent="0.25">
      <c r="A1524" s="182"/>
      <c r="B1524" s="6"/>
      <c r="C1524" s="6"/>
      <c r="D1524" s="15"/>
      <c r="E1524" s="22"/>
      <c r="F1524" s="22"/>
      <c r="G1524" s="22"/>
      <c r="I1524" s="5"/>
      <c r="J1524" s="5"/>
      <c r="K1524" s="22"/>
      <c r="L1524" s="22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19"/>
      <c r="AH1524" s="5"/>
      <c r="AI1524" s="5"/>
      <c r="AJ1524" s="5"/>
      <c r="AK1524" s="5"/>
    </row>
    <row r="1525" spans="1:37" x14ac:dyDescent="0.25">
      <c r="A1525" s="182"/>
      <c r="B1525" s="6"/>
      <c r="C1525" s="6"/>
      <c r="D1525" s="15"/>
      <c r="E1525" s="22"/>
      <c r="F1525" s="22"/>
      <c r="G1525" s="22"/>
      <c r="I1525" s="5"/>
      <c r="J1525" s="5"/>
      <c r="K1525" s="22"/>
      <c r="L1525" s="22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19"/>
      <c r="AH1525" s="5"/>
      <c r="AI1525" s="5"/>
      <c r="AJ1525" s="5"/>
      <c r="AK1525" s="5"/>
    </row>
    <row r="1526" spans="1:37" x14ac:dyDescent="0.25">
      <c r="A1526" s="182"/>
      <c r="B1526" s="6"/>
      <c r="C1526" s="6"/>
      <c r="D1526" s="15"/>
      <c r="E1526" s="22"/>
      <c r="F1526" s="22"/>
      <c r="G1526" s="22"/>
      <c r="I1526" s="5"/>
      <c r="J1526" s="5"/>
      <c r="K1526" s="22"/>
      <c r="L1526" s="22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19"/>
      <c r="AH1526" s="5"/>
      <c r="AI1526" s="5"/>
      <c r="AJ1526" s="5"/>
      <c r="AK1526" s="5"/>
    </row>
    <row r="1527" spans="1:37" x14ac:dyDescent="0.25">
      <c r="A1527" s="182"/>
      <c r="B1527" s="6"/>
      <c r="C1527" s="6"/>
      <c r="D1527" s="15"/>
      <c r="E1527" s="22"/>
      <c r="F1527" s="22"/>
      <c r="G1527" s="22"/>
      <c r="I1527" s="5"/>
      <c r="J1527" s="5"/>
      <c r="K1527" s="22"/>
      <c r="L1527" s="22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19"/>
      <c r="AH1527" s="5"/>
      <c r="AI1527" s="5"/>
      <c r="AJ1527" s="5"/>
      <c r="AK1527" s="5"/>
    </row>
    <row r="1528" spans="1:37" x14ac:dyDescent="0.25">
      <c r="A1528" s="182"/>
      <c r="B1528" s="6"/>
      <c r="C1528" s="6"/>
      <c r="D1528" s="15"/>
      <c r="E1528" s="22"/>
      <c r="F1528" s="22"/>
      <c r="G1528" s="22"/>
      <c r="I1528" s="5"/>
      <c r="J1528" s="5"/>
      <c r="K1528" s="22"/>
      <c r="L1528" s="22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19"/>
      <c r="AH1528" s="5"/>
      <c r="AI1528" s="5"/>
      <c r="AJ1528" s="5"/>
      <c r="AK1528" s="5"/>
    </row>
    <row r="1529" spans="1:37" x14ac:dyDescent="0.25">
      <c r="A1529" s="182"/>
      <c r="B1529" s="6"/>
      <c r="C1529" s="6"/>
      <c r="D1529" s="15"/>
      <c r="E1529" s="22"/>
      <c r="F1529" s="22"/>
      <c r="G1529" s="22"/>
      <c r="I1529" s="5"/>
      <c r="J1529" s="5"/>
      <c r="K1529" s="22"/>
      <c r="L1529" s="22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19"/>
      <c r="AH1529" s="5"/>
      <c r="AI1529" s="5"/>
      <c r="AJ1529" s="5"/>
      <c r="AK1529" s="5"/>
    </row>
    <row r="1530" spans="1:37" x14ac:dyDescent="0.25">
      <c r="A1530" s="182"/>
      <c r="B1530" s="6"/>
      <c r="C1530" s="6"/>
      <c r="D1530" s="15"/>
      <c r="E1530" s="22"/>
      <c r="F1530" s="22"/>
      <c r="G1530" s="22"/>
      <c r="I1530" s="5"/>
      <c r="J1530" s="5"/>
      <c r="K1530" s="22"/>
      <c r="L1530" s="22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19"/>
      <c r="AH1530" s="5"/>
      <c r="AI1530" s="5"/>
      <c r="AJ1530" s="5"/>
      <c r="AK1530" s="5"/>
    </row>
    <row r="1531" spans="1:37" x14ac:dyDescent="0.25">
      <c r="A1531" s="182"/>
      <c r="B1531" s="6"/>
      <c r="C1531" s="6"/>
      <c r="D1531" s="15"/>
      <c r="E1531" s="22"/>
      <c r="F1531" s="22"/>
      <c r="G1531" s="22"/>
      <c r="I1531" s="5"/>
      <c r="J1531" s="5"/>
      <c r="K1531" s="22"/>
      <c r="L1531" s="22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19"/>
      <c r="AH1531" s="5"/>
      <c r="AI1531" s="5"/>
      <c r="AJ1531" s="5"/>
      <c r="AK1531" s="5"/>
    </row>
    <row r="1532" spans="1:37" x14ac:dyDescent="0.25">
      <c r="A1532" s="182"/>
      <c r="B1532" s="6"/>
      <c r="C1532" s="6"/>
      <c r="D1532" s="15"/>
      <c r="E1532" s="22"/>
      <c r="F1532" s="22"/>
      <c r="G1532" s="22"/>
      <c r="I1532" s="5"/>
      <c r="J1532" s="5"/>
      <c r="K1532" s="22"/>
      <c r="L1532" s="22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19"/>
      <c r="AH1532" s="5"/>
      <c r="AI1532" s="5"/>
      <c r="AJ1532" s="5"/>
      <c r="AK1532" s="5"/>
    </row>
    <row r="1533" spans="1:37" x14ac:dyDescent="0.25">
      <c r="A1533" s="182"/>
      <c r="B1533" s="6"/>
      <c r="C1533" s="6"/>
      <c r="D1533" s="15"/>
      <c r="E1533" s="22"/>
      <c r="F1533" s="22"/>
      <c r="G1533" s="22"/>
      <c r="I1533" s="5"/>
      <c r="J1533" s="5"/>
      <c r="K1533" s="22"/>
      <c r="L1533" s="22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19"/>
      <c r="AH1533" s="5"/>
      <c r="AI1533" s="5"/>
      <c r="AJ1533" s="5"/>
      <c r="AK1533" s="5"/>
    </row>
    <row r="1534" spans="1:37" x14ac:dyDescent="0.25">
      <c r="A1534" s="182"/>
      <c r="B1534" s="6"/>
      <c r="C1534" s="6"/>
      <c r="D1534" s="15"/>
      <c r="E1534" s="22"/>
      <c r="F1534" s="22"/>
      <c r="G1534" s="22"/>
      <c r="I1534" s="5"/>
      <c r="J1534" s="5"/>
      <c r="K1534" s="22"/>
      <c r="L1534" s="22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19"/>
      <c r="AH1534" s="5"/>
      <c r="AI1534" s="5"/>
      <c r="AJ1534" s="5"/>
      <c r="AK1534" s="5"/>
    </row>
    <row r="1535" spans="1:37" x14ac:dyDescent="0.25">
      <c r="A1535" s="182"/>
      <c r="B1535" s="6"/>
      <c r="C1535" s="6"/>
      <c r="D1535" s="15"/>
      <c r="E1535" s="22"/>
      <c r="F1535" s="22"/>
      <c r="G1535" s="22"/>
      <c r="I1535" s="5"/>
      <c r="J1535" s="5"/>
      <c r="K1535" s="22"/>
      <c r="L1535" s="22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19"/>
      <c r="AH1535" s="5"/>
      <c r="AI1535" s="5"/>
      <c r="AJ1535" s="5"/>
      <c r="AK1535" s="5"/>
    </row>
    <row r="1536" spans="1:37" x14ac:dyDescent="0.25">
      <c r="A1536" s="182"/>
      <c r="B1536" s="6"/>
      <c r="C1536" s="6"/>
      <c r="D1536" s="15"/>
      <c r="E1536" s="22"/>
      <c r="F1536" s="22"/>
      <c r="G1536" s="22"/>
      <c r="I1536" s="5"/>
      <c r="J1536" s="5"/>
      <c r="K1536" s="22"/>
      <c r="L1536" s="22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19"/>
      <c r="AH1536" s="5"/>
      <c r="AI1536" s="5"/>
      <c r="AJ1536" s="5"/>
      <c r="AK1536" s="5"/>
    </row>
    <row r="1537" spans="1:37" x14ac:dyDescent="0.25">
      <c r="A1537" s="182"/>
      <c r="B1537" s="6"/>
      <c r="C1537" s="6"/>
      <c r="D1537" s="15"/>
      <c r="E1537" s="22"/>
      <c r="F1537" s="22"/>
      <c r="G1537" s="22"/>
      <c r="I1537" s="5"/>
      <c r="J1537" s="5"/>
      <c r="K1537" s="22"/>
      <c r="L1537" s="22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19"/>
      <c r="AH1537" s="5"/>
      <c r="AI1537" s="5"/>
      <c r="AJ1537" s="5"/>
      <c r="AK1537" s="5"/>
    </row>
    <row r="1538" spans="1:37" x14ac:dyDescent="0.25">
      <c r="A1538" s="182"/>
      <c r="B1538" s="6"/>
      <c r="C1538" s="6"/>
      <c r="D1538" s="15"/>
      <c r="E1538" s="22"/>
      <c r="F1538" s="22"/>
      <c r="G1538" s="22"/>
      <c r="I1538" s="5"/>
      <c r="J1538" s="5"/>
      <c r="K1538" s="22"/>
      <c r="L1538" s="22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19"/>
      <c r="AH1538" s="5"/>
      <c r="AI1538" s="5"/>
      <c r="AJ1538" s="5"/>
      <c r="AK1538" s="5"/>
    </row>
    <row r="1539" spans="1:37" x14ac:dyDescent="0.25">
      <c r="A1539" s="182"/>
      <c r="B1539" s="6"/>
      <c r="C1539" s="6"/>
      <c r="D1539" s="15"/>
      <c r="E1539" s="22"/>
      <c r="F1539" s="22"/>
      <c r="G1539" s="22"/>
      <c r="I1539" s="5"/>
      <c r="J1539" s="5"/>
      <c r="K1539" s="22"/>
      <c r="L1539" s="22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19"/>
      <c r="AH1539" s="5"/>
      <c r="AI1539" s="5"/>
      <c r="AJ1539" s="5"/>
      <c r="AK1539" s="5"/>
    </row>
    <row r="1540" spans="1:37" x14ac:dyDescent="0.25">
      <c r="A1540" s="182"/>
      <c r="B1540" s="6"/>
      <c r="C1540" s="6"/>
      <c r="D1540" s="15"/>
      <c r="E1540" s="22"/>
      <c r="F1540" s="22"/>
      <c r="G1540" s="22"/>
      <c r="I1540" s="5"/>
      <c r="J1540" s="5"/>
      <c r="K1540" s="22"/>
      <c r="L1540" s="22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19"/>
      <c r="AH1540" s="5"/>
      <c r="AI1540" s="5"/>
      <c r="AJ1540" s="5"/>
      <c r="AK1540" s="5"/>
    </row>
    <row r="1541" spans="1:37" x14ac:dyDescent="0.25">
      <c r="A1541" s="182"/>
      <c r="B1541" s="6"/>
      <c r="C1541" s="6"/>
      <c r="D1541" s="15"/>
      <c r="E1541" s="22"/>
      <c r="F1541" s="22"/>
      <c r="G1541" s="22"/>
      <c r="I1541" s="5"/>
      <c r="J1541" s="5"/>
      <c r="K1541" s="22"/>
      <c r="L1541" s="22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19"/>
      <c r="AH1541" s="5"/>
      <c r="AI1541" s="5"/>
      <c r="AJ1541" s="5"/>
      <c r="AK1541" s="5"/>
    </row>
    <row r="1542" spans="1:37" x14ac:dyDescent="0.25">
      <c r="A1542" s="182"/>
      <c r="B1542" s="6"/>
      <c r="C1542" s="6"/>
      <c r="D1542" s="15"/>
      <c r="E1542" s="22"/>
      <c r="F1542" s="22"/>
      <c r="G1542" s="22"/>
      <c r="I1542" s="5"/>
      <c r="J1542" s="5"/>
      <c r="K1542" s="22"/>
      <c r="L1542" s="22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19"/>
      <c r="AH1542" s="5"/>
      <c r="AI1542" s="5"/>
      <c r="AJ1542" s="5"/>
      <c r="AK1542" s="5"/>
    </row>
    <row r="1543" spans="1:37" x14ac:dyDescent="0.25">
      <c r="A1543" s="182"/>
      <c r="B1543" s="6"/>
      <c r="C1543" s="6"/>
      <c r="D1543" s="15"/>
      <c r="E1543" s="22"/>
      <c r="F1543" s="22"/>
      <c r="G1543" s="22"/>
      <c r="I1543" s="5"/>
      <c r="J1543" s="5"/>
      <c r="K1543" s="22"/>
      <c r="L1543" s="22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19"/>
      <c r="AH1543" s="5"/>
      <c r="AI1543" s="5"/>
      <c r="AJ1543" s="5"/>
      <c r="AK1543" s="5"/>
    </row>
    <row r="1544" spans="1:37" x14ac:dyDescent="0.25">
      <c r="A1544" s="182"/>
      <c r="B1544" s="6"/>
      <c r="C1544" s="6"/>
      <c r="D1544" s="15"/>
      <c r="E1544" s="22"/>
      <c r="F1544" s="22"/>
      <c r="G1544" s="22"/>
      <c r="I1544" s="5"/>
      <c r="J1544" s="5"/>
      <c r="K1544" s="22"/>
      <c r="L1544" s="22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19"/>
      <c r="AH1544" s="5"/>
      <c r="AI1544" s="5"/>
      <c r="AJ1544" s="5"/>
      <c r="AK1544" s="5"/>
    </row>
    <row r="1545" spans="1:37" x14ac:dyDescent="0.25">
      <c r="A1545" s="182"/>
      <c r="B1545" s="6"/>
      <c r="C1545" s="6"/>
      <c r="D1545" s="15"/>
      <c r="E1545" s="22"/>
      <c r="F1545" s="22"/>
      <c r="G1545" s="22"/>
      <c r="I1545" s="5"/>
      <c r="J1545" s="5"/>
      <c r="K1545" s="22"/>
      <c r="L1545" s="22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19"/>
      <c r="AH1545" s="5"/>
      <c r="AI1545" s="5"/>
      <c r="AJ1545" s="5"/>
      <c r="AK1545" s="5"/>
    </row>
    <row r="1546" spans="1:37" x14ac:dyDescent="0.25">
      <c r="A1546" s="182"/>
      <c r="B1546" s="6"/>
      <c r="C1546" s="6"/>
      <c r="D1546" s="15"/>
      <c r="E1546" s="22"/>
      <c r="F1546" s="22"/>
      <c r="G1546" s="22"/>
      <c r="I1546" s="5"/>
      <c r="J1546" s="5"/>
      <c r="K1546" s="22"/>
      <c r="L1546" s="22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19"/>
      <c r="AH1546" s="5"/>
      <c r="AI1546" s="5"/>
      <c r="AJ1546" s="5"/>
      <c r="AK1546" s="5"/>
    </row>
    <row r="1547" spans="1:37" x14ac:dyDescent="0.25">
      <c r="A1547" s="182"/>
      <c r="B1547" s="6"/>
      <c r="C1547" s="6"/>
      <c r="D1547" s="15"/>
      <c r="E1547" s="22"/>
      <c r="F1547" s="22"/>
      <c r="G1547" s="22"/>
      <c r="I1547" s="5"/>
      <c r="J1547" s="5"/>
      <c r="K1547" s="22"/>
      <c r="L1547" s="22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19"/>
      <c r="AH1547" s="5"/>
      <c r="AI1547" s="5"/>
      <c r="AJ1547" s="5"/>
      <c r="AK1547" s="5"/>
    </row>
    <row r="1548" spans="1:37" x14ac:dyDescent="0.25">
      <c r="A1548" s="182"/>
      <c r="B1548" s="6"/>
      <c r="C1548" s="6"/>
      <c r="D1548" s="15"/>
      <c r="E1548" s="22"/>
      <c r="F1548" s="22"/>
      <c r="G1548" s="22"/>
      <c r="I1548" s="5"/>
      <c r="J1548" s="5"/>
      <c r="K1548" s="22"/>
      <c r="L1548" s="22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19"/>
      <c r="AH1548" s="5"/>
      <c r="AI1548" s="5"/>
      <c r="AJ1548" s="5"/>
      <c r="AK1548" s="5"/>
    </row>
    <row r="1549" spans="1:37" x14ac:dyDescent="0.25">
      <c r="A1549" s="182"/>
      <c r="B1549" s="6"/>
      <c r="C1549" s="6"/>
      <c r="D1549" s="15"/>
      <c r="E1549" s="22"/>
      <c r="F1549" s="22"/>
      <c r="G1549" s="22"/>
      <c r="I1549" s="5"/>
      <c r="J1549" s="5"/>
      <c r="K1549" s="22"/>
      <c r="L1549" s="22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19"/>
      <c r="AH1549" s="5"/>
      <c r="AI1549" s="5"/>
      <c r="AJ1549" s="5"/>
      <c r="AK1549" s="5"/>
    </row>
    <row r="1550" spans="1:37" x14ac:dyDescent="0.25">
      <c r="A1550" s="182"/>
      <c r="B1550" s="6"/>
      <c r="C1550" s="6"/>
      <c r="D1550" s="15"/>
      <c r="E1550" s="22"/>
      <c r="F1550" s="22"/>
      <c r="G1550" s="22"/>
      <c r="I1550" s="5"/>
      <c r="J1550" s="5"/>
      <c r="K1550" s="22"/>
      <c r="L1550" s="22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19"/>
      <c r="AH1550" s="5"/>
      <c r="AI1550" s="5"/>
      <c r="AJ1550" s="5"/>
      <c r="AK1550" s="5"/>
    </row>
    <row r="1551" spans="1:37" x14ac:dyDescent="0.25">
      <c r="A1551" s="182"/>
      <c r="B1551" s="6"/>
      <c r="C1551" s="6"/>
      <c r="D1551" s="15"/>
      <c r="E1551" s="22"/>
      <c r="F1551" s="22"/>
      <c r="G1551" s="22"/>
      <c r="I1551" s="5"/>
      <c r="J1551" s="5"/>
      <c r="K1551" s="22"/>
      <c r="L1551" s="22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19"/>
      <c r="AH1551" s="5"/>
      <c r="AI1551" s="5"/>
      <c r="AJ1551" s="5"/>
      <c r="AK1551" s="5"/>
    </row>
    <row r="1552" spans="1:37" x14ac:dyDescent="0.25">
      <c r="A1552" s="182"/>
      <c r="B1552" s="6"/>
      <c r="C1552" s="6"/>
      <c r="D1552" s="15"/>
      <c r="E1552" s="22"/>
      <c r="F1552" s="22"/>
      <c r="G1552" s="22"/>
      <c r="I1552" s="5"/>
      <c r="J1552" s="5"/>
      <c r="K1552" s="22"/>
      <c r="L1552" s="22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19"/>
      <c r="AH1552" s="5"/>
      <c r="AI1552" s="5"/>
      <c r="AJ1552" s="5"/>
      <c r="AK1552" s="5"/>
    </row>
    <row r="1553" spans="1:37" x14ac:dyDescent="0.25">
      <c r="A1553" s="182"/>
      <c r="B1553" s="6"/>
      <c r="C1553" s="6"/>
      <c r="D1553" s="15"/>
      <c r="E1553" s="22"/>
      <c r="F1553" s="22"/>
      <c r="G1553" s="22"/>
      <c r="I1553" s="5"/>
      <c r="J1553" s="5"/>
      <c r="K1553" s="22"/>
      <c r="L1553" s="22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19"/>
      <c r="AH1553" s="5"/>
      <c r="AI1553" s="5"/>
      <c r="AJ1553" s="5"/>
      <c r="AK1553" s="5"/>
    </row>
    <row r="1554" spans="1:37" x14ac:dyDescent="0.25">
      <c r="A1554" s="182"/>
      <c r="B1554" s="6"/>
      <c r="C1554" s="6"/>
      <c r="D1554" s="15"/>
      <c r="E1554" s="22"/>
      <c r="F1554" s="22"/>
      <c r="G1554" s="22"/>
      <c r="I1554" s="5"/>
      <c r="J1554" s="5"/>
      <c r="K1554" s="22"/>
      <c r="L1554" s="22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19"/>
      <c r="AH1554" s="5"/>
      <c r="AI1554" s="5"/>
      <c r="AJ1554" s="5"/>
      <c r="AK1554" s="5"/>
    </row>
    <row r="1555" spans="1:37" x14ac:dyDescent="0.25">
      <c r="A1555" s="182"/>
      <c r="B1555" s="6"/>
      <c r="C1555" s="6"/>
      <c r="D1555" s="15"/>
      <c r="E1555" s="22"/>
      <c r="F1555" s="22"/>
      <c r="G1555" s="22"/>
      <c r="I1555" s="5"/>
      <c r="J1555" s="5"/>
      <c r="K1555" s="22"/>
      <c r="L1555" s="22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19"/>
      <c r="AH1555" s="5"/>
      <c r="AI1555" s="5"/>
      <c r="AJ1555" s="5"/>
      <c r="AK1555" s="5"/>
    </row>
    <row r="1556" spans="1:37" x14ac:dyDescent="0.25">
      <c r="A1556" s="182"/>
      <c r="B1556" s="6"/>
      <c r="C1556" s="6"/>
      <c r="D1556" s="15"/>
      <c r="E1556" s="22"/>
      <c r="F1556" s="22"/>
      <c r="G1556" s="22"/>
      <c r="I1556" s="5"/>
      <c r="J1556" s="5"/>
      <c r="K1556" s="22"/>
      <c r="L1556" s="22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19"/>
      <c r="AH1556" s="5"/>
      <c r="AI1556" s="5"/>
      <c r="AJ1556" s="5"/>
      <c r="AK1556" s="5"/>
    </row>
    <row r="1557" spans="1:37" x14ac:dyDescent="0.25">
      <c r="A1557" s="182"/>
      <c r="B1557" s="6"/>
      <c r="C1557" s="6"/>
      <c r="D1557" s="15"/>
      <c r="E1557" s="22"/>
      <c r="F1557" s="22"/>
      <c r="G1557" s="22"/>
      <c r="I1557" s="5"/>
      <c r="J1557" s="5"/>
      <c r="K1557" s="22"/>
      <c r="L1557" s="22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19"/>
      <c r="AH1557" s="5"/>
      <c r="AI1557" s="5"/>
      <c r="AJ1557" s="5"/>
      <c r="AK1557" s="5"/>
    </row>
    <row r="1558" spans="1:37" x14ac:dyDescent="0.25">
      <c r="A1558" s="182"/>
      <c r="B1558" s="6"/>
      <c r="C1558" s="6"/>
      <c r="D1558" s="15"/>
      <c r="E1558" s="22"/>
      <c r="F1558" s="22"/>
      <c r="G1558" s="22"/>
      <c r="I1558" s="5"/>
      <c r="J1558" s="5"/>
      <c r="K1558" s="22"/>
      <c r="L1558" s="22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19"/>
      <c r="AH1558" s="5"/>
      <c r="AI1558" s="5"/>
      <c r="AJ1558" s="5"/>
      <c r="AK1558" s="5"/>
    </row>
    <row r="1559" spans="1:37" x14ac:dyDescent="0.25">
      <c r="A1559" s="182"/>
      <c r="B1559" s="6"/>
      <c r="C1559" s="6"/>
      <c r="D1559" s="15"/>
      <c r="E1559" s="22"/>
      <c r="F1559" s="22"/>
      <c r="G1559" s="22"/>
      <c r="I1559" s="5"/>
      <c r="J1559" s="5"/>
      <c r="K1559" s="22"/>
      <c r="L1559" s="22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19"/>
      <c r="AH1559" s="5"/>
      <c r="AI1559" s="5"/>
      <c r="AJ1559" s="5"/>
      <c r="AK1559" s="5"/>
    </row>
    <row r="1560" spans="1:37" x14ac:dyDescent="0.25">
      <c r="A1560" s="182"/>
      <c r="B1560" s="6"/>
      <c r="C1560" s="6"/>
      <c r="D1560" s="15"/>
      <c r="E1560" s="22"/>
      <c r="F1560" s="22"/>
      <c r="G1560" s="22"/>
      <c r="I1560" s="5"/>
      <c r="J1560" s="5"/>
      <c r="K1560" s="22"/>
      <c r="L1560" s="22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19"/>
      <c r="AH1560" s="5"/>
      <c r="AI1560" s="5"/>
      <c r="AJ1560" s="5"/>
      <c r="AK1560" s="5"/>
    </row>
    <row r="1561" spans="1:37" x14ac:dyDescent="0.25">
      <c r="A1561" s="182"/>
      <c r="B1561" s="6"/>
      <c r="C1561" s="6"/>
      <c r="D1561" s="15"/>
      <c r="E1561" s="22"/>
      <c r="F1561" s="22"/>
      <c r="G1561" s="22"/>
      <c r="I1561" s="5"/>
      <c r="J1561" s="5"/>
      <c r="K1561" s="22"/>
      <c r="L1561" s="22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19"/>
      <c r="AH1561" s="5"/>
      <c r="AI1561" s="5"/>
      <c r="AJ1561" s="5"/>
      <c r="AK1561" s="5"/>
    </row>
    <row r="1562" spans="1:37" x14ac:dyDescent="0.25">
      <c r="A1562" s="182"/>
      <c r="B1562" s="6"/>
      <c r="C1562" s="6"/>
      <c r="D1562" s="15"/>
      <c r="E1562" s="22"/>
      <c r="F1562" s="22"/>
      <c r="G1562" s="22"/>
      <c r="I1562" s="5"/>
      <c r="J1562" s="5"/>
      <c r="K1562" s="22"/>
      <c r="L1562" s="22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19"/>
      <c r="AH1562" s="5"/>
      <c r="AI1562" s="5"/>
      <c r="AJ1562" s="5"/>
      <c r="AK1562" s="5"/>
    </row>
    <row r="1563" spans="1:37" x14ac:dyDescent="0.25">
      <c r="A1563" s="182"/>
      <c r="B1563" s="6"/>
      <c r="C1563" s="6"/>
      <c r="D1563" s="15"/>
      <c r="E1563" s="22"/>
      <c r="F1563" s="22"/>
      <c r="G1563" s="22"/>
      <c r="I1563" s="5"/>
      <c r="J1563" s="5"/>
      <c r="K1563" s="22"/>
      <c r="L1563" s="22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19"/>
      <c r="AH1563" s="5"/>
      <c r="AI1563" s="5"/>
      <c r="AJ1563" s="5"/>
      <c r="AK1563" s="5"/>
    </row>
    <row r="1564" spans="1:37" x14ac:dyDescent="0.25">
      <c r="A1564" s="182"/>
      <c r="B1564" s="6"/>
      <c r="C1564" s="6"/>
      <c r="D1564" s="15"/>
      <c r="E1564" s="22"/>
      <c r="F1564" s="22"/>
      <c r="G1564" s="22"/>
      <c r="I1564" s="5"/>
      <c r="J1564" s="5"/>
      <c r="K1564" s="22"/>
      <c r="L1564" s="22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19"/>
      <c r="AH1564" s="5"/>
      <c r="AI1564" s="5"/>
      <c r="AJ1564" s="5"/>
      <c r="AK1564" s="5"/>
    </row>
    <row r="1565" spans="1:37" x14ac:dyDescent="0.25">
      <c r="A1565" s="182"/>
      <c r="B1565" s="6"/>
      <c r="C1565" s="6"/>
      <c r="D1565" s="15"/>
      <c r="E1565" s="22"/>
      <c r="F1565" s="22"/>
      <c r="G1565" s="22"/>
      <c r="I1565" s="5"/>
      <c r="J1565" s="5"/>
      <c r="K1565" s="22"/>
      <c r="L1565" s="22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19"/>
      <c r="AH1565" s="5"/>
      <c r="AI1565" s="5"/>
      <c r="AJ1565" s="5"/>
      <c r="AK1565" s="5"/>
    </row>
    <row r="1566" spans="1:37" x14ac:dyDescent="0.25">
      <c r="A1566" s="182"/>
      <c r="B1566" s="6"/>
      <c r="C1566" s="6"/>
      <c r="D1566" s="15"/>
      <c r="E1566" s="22"/>
      <c r="F1566" s="22"/>
      <c r="G1566" s="22"/>
      <c r="I1566" s="5"/>
      <c r="J1566" s="5"/>
      <c r="K1566" s="22"/>
      <c r="L1566" s="22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19"/>
      <c r="AH1566" s="5"/>
      <c r="AI1566" s="5"/>
      <c r="AJ1566" s="5"/>
      <c r="AK1566" s="5"/>
    </row>
    <row r="1567" spans="1:37" x14ac:dyDescent="0.25">
      <c r="A1567" s="182"/>
      <c r="B1567" s="6"/>
      <c r="C1567" s="6"/>
      <c r="D1567" s="15"/>
      <c r="E1567" s="22"/>
      <c r="F1567" s="22"/>
      <c r="G1567" s="22"/>
      <c r="I1567" s="5"/>
      <c r="J1567" s="5"/>
      <c r="K1567" s="22"/>
      <c r="L1567" s="22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19"/>
      <c r="AH1567" s="5"/>
      <c r="AI1567" s="5"/>
      <c r="AJ1567" s="5"/>
      <c r="AK1567" s="5"/>
    </row>
    <row r="1568" spans="1:37" x14ac:dyDescent="0.25">
      <c r="A1568" s="182"/>
      <c r="B1568" s="6"/>
      <c r="C1568" s="6"/>
      <c r="D1568" s="15"/>
      <c r="E1568" s="22"/>
      <c r="F1568" s="22"/>
      <c r="G1568" s="22"/>
      <c r="I1568" s="5"/>
      <c r="J1568" s="5"/>
      <c r="K1568" s="22"/>
      <c r="L1568" s="22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19"/>
      <c r="AH1568" s="5"/>
      <c r="AI1568" s="5"/>
      <c r="AJ1568" s="5"/>
      <c r="AK1568" s="5"/>
    </row>
    <row r="1569" spans="1:37" x14ac:dyDescent="0.25">
      <c r="A1569" s="182"/>
      <c r="B1569" s="6"/>
      <c r="C1569" s="6"/>
      <c r="D1569" s="15"/>
      <c r="E1569" s="22"/>
      <c r="F1569" s="22"/>
      <c r="G1569" s="22"/>
      <c r="I1569" s="5"/>
      <c r="J1569" s="5"/>
      <c r="K1569" s="22"/>
      <c r="L1569" s="22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19"/>
      <c r="AH1569" s="5"/>
      <c r="AI1569" s="5"/>
      <c r="AJ1569" s="5"/>
      <c r="AK1569" s="5"/>
    </row>
    <row r="1570" spans="1:37" x14ac:dyDescent="0.25">
      <c r="A1570" s="182"/>
      <c r="B1570" s="6"/>
      <c r="C1570" s="6"/>
      <c r="D1570" s="15"/>
      <c r="E1570" s="22"/>
      <c r="F1570" s="22"/>
      <c r="G1570" s="22"/>
      <c r="I1570" s="5"/>
      <c r="J1570" s="5"/>
      <c r="K1570" s="22"/>
      <c r="L1570" s="22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19"/>
      <c r="AH1570" s="5"/>
      <c r="AI1570" s="5"/>
      <c r="AJ1570" s="5"/>
      <c r="AK1570" s="5"/>
    </row>
    <row r="1571" spans="1:37" x14ac:dyDescent="0.25">
      <c r="A1571" s="182"/>
      <c r="B1571" s="6"/>
      <c r="C1571" s="6"/>
      <c r="D1571" s="15"/>
      <c r="E1571" s="22"/>
      <c r="F1571" s="22"/>
      <c r="G1571" s="22"/>
      <c r="I1571" s="5"/>
      <c r="J1571" s="5"/>
      <c r="K1571" s="22"/>
      <c r="L1571" s="22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19"/>
      <c r="AH1571" s="5"/>
      <c r="AI1571" s="5"/>
      <c r="AJ1571" s="5"/>
      <c r="AK1571" s="5"/>
    </row>
    <row r="1572" spans="1:37" x14ac:dyDescent="0.25">
      <c r="A1572" s="182"/>
      <c r="B1572" s="6"/>
      <c r="C1572" s="6"/>
      <c r="D1572" s="15"/>
      <c r="E1572" s="22"/>
      <c r="F1572" s="22"/>
      <c r="G1572" s="22"/>
      <c r="I1572" s="5"/>
      <c r="J1572" s="5"/>
      <c r="K1572" s="22"/>
      <c r="L1572" s="22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19"/>
      <c r="AH1572" s="5"/>
      <c r="AI1572" s="5"/>
      <c r="AJ1572" s="5"/>
      <c r="AK1572" s="5"/>
    </row>
    <row r="1573" spans="1:37" x14ac:dyDescent="0.25">
      <c r="A1573" s="182"/>
      <c r="B1573" s="6"/>
      <c r="C1573" s="6"/>
      <c r="D1573" s="15"/>
      <c r="E1573" s="22"/>
      <c r="F1573" s="22"/>
      <c r="G1573" s="22"/>
      <c r="I1573" s="5"/>
      <c r="J1573" s="5"/>
      <c r="K1573" s="22"/>
      <c r="L1573" s="22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19"/>
      <c r="AH1573" s="5"/>
      <c r="AI1573" s="5"/>
      <c r="AJ1573" s="5"/>
      <c r="AK1573" s="5"/>
    </row>
    <row r="1574" spans="1:37" x14ac:dyDescent="0.25">
      <c r="A1574" s="182"/>
      <c r="B1574" s="6"/>
      <c r="C1574" s="6"/>
      <c r="D1574" s="15"/>
      <c r="E1574" s="22"/>
      <c r="F1574" s="22"/>
      <c r="G1574" s="22"/>
      <c r="I1574" s="5"/>
      <c r="J1574" s="5"/>
      <c r="K1574" s="22"/>
      <c r="L1574" s="22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19"/>
      <c r="AH1574" s="5"/>
      <c r="AI1574" s="5"/>
      <c r="AJ1574" s="5"/>
      <c r="AK1574" s="5"/>
    </row>
    <row r="1575" spans="1:37" x14ac:dyDescent="0.25">
      <c r="A1575" s="182"/>
      <c r="B1575" s="6"/>
      <c r="C1575" s="6"/>
      <c r="D1575" s="15"/>
      <c r="E1575" s="22"/>
      <c r="F1575" s="22"/>
      <c r="G1575" s="22"/>
      <c r="I1575" s="5"/>
      <c r="J1575" s="5"/>
      <c r="K1575" s="22"/>
      <c r="L1575" s="22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19"/>
      <c r="AH1575" s="5"/>
      <c r="AI1575" s="5"/>
      <c r="AJ1575" s="5"/>
      <c r="AK1575" s="5"/>
    </row>
    <row r="1576" spans="1:37" x14ac:dyDescent="0.25">
      <c r="A1576" s="182"/>
      <c r="B1576" s="6"/>
      <c r="C1576" s="6"/>
      <c r="D1576" s="15"/>
      <c r="E1576" s="22"/>
      <c r="F1576" s="22"/>
      <c r="G1576" s="22"/>
      <c r="I1576" s="5"/>
      <c r="J1576" s="5"/>
      <c r="K1576" s="22"/>
      <c r="L1576" s="22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19"/>
      <c r="AH1576" s="5"/>
      <c r="AI1576" s="5"/>
      <c r="AJ1576" s="5"/>
      <c r="AK1576" s="5"/>
    </row>
    <row r="1577" spans="1:37" x14ac:dyDescent="0.25">
      <c r="A1577" s="182"/>
      <c r="B1577" s="6"/>
      <c r="C1577" s="6"/>
      <c r="D1577" s="15"/>
      <c r="E1577" s="22"/>
      <c r="F1577" s="22"/>
      <c r="G1577" s="22"/>
      <c r="I1577" s="5"/>
      <c r="J1577" s="5"/>
      <c r="K1577" s="22"/>
      <c r="L1577" s="22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19"/>
      <c r="AH1577" s="5"/>
      <c r="AI1577" s="5"/>
      <c r="AJ1577" s="5"/>
      <c r="AK1577" s="5"/>
    </row>
    <row r="1578" spans="1:37" x14ac:dyDescent="0.25">
      <c r="A1578" s="182"/>
      <c r="B1578" s="6"/>
      <c r="C1578" s="6"/>
      <c r="D1578" s="15"/>
      <c r="E1578" s="22"/>
      <c r="F1578" s="22"/>
      <c r="G1578" s="22"/>
      <c r="I1578" s="5"/>
      <c r="J1578" s="5"/>
      <c r="K1578" s="22"/>
      <c r="L1578" s="22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19"/>
      <c r="AH1578" s="5"/>
      <c r="AI1578" s="5"/>
      <c r="AJ1578" s="5"/>
      <c r="AK1578" s="5"/>
    </row>
    <row r="1579" spans="1:37" x14ac:dyDescent="0.25">
      <c r="A1579" s="182"/>
      <c r="B1579" s="6"/>
      <c r="C1579" s="6"/>
      <c r="D1579" s="15"/>
      <c r="E1579" s="22"/>
      <c r="F1579" s="22"/>
      <c r="G1579" s="22"/>
      <c r="I1579" s="5"/>
      <c r="J1579" s="5"/>
      <c r="K1579" s="22"/>
      <c r="L1579" s="22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19"/>
      <c r="AH1579" s="5"/>
      <c r="AI1579" s="5"/>
      <c r="AJ1579" s="5"/>
      <c r="AK1579" s="5"/>
    </row>
    <row r="1580" spans="1:37" x14ac:dyDescent="0.25">
      <c r="A1580" s="182"/>
      <c r="B1580" s="6"/>
      <c r="C1580" s="6"/>
      <c r="D1580" s="15"/>
      <c r="E1580" s="22"/>
      <c r="F1580" s="22"/>
      <c r="G1580" s="22"/>
      <c r="I1580" s="5"/>
      <c r="J1580" s="5"/>
      <c r="K1580" s="22"/>
      <c r="L1580" s="22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19"/>
      <c r="AH1580" s="5"/>
      <c r="AI1580" s="5"/>
      <c r="AJ1580" s="5"/>
      <c r="AK1580" s="5"/>
    </row>
    <row r="1581" spans="1:37" x14ac:dyDescent="0.25">
      <c r="A1581" s="182"/>
      <c r="B1581" s="6"/>
      <c r="C1581" s="6"/>
      <c r="D1581" s="15"/>
      <c r="E1581" s="22"/>
      <c r="F1581" s="22"/>
      <c r="G1581" s="22"/>
      <c r="I1581" s="5"/>
      <c r="J1581" s="5"/>
      <c r="K1581" s="22"/>
      <c r="L1581" s="22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19"/>
      <c r="AH1581" s="5"/>
      <c r="AI1581" s="5"/>
      <c r="AJ1581" s="5"/>
      <c r="AK1581" s="5"/>
    </row>
    <row r="1582" spans="1:37" x14ac:dyDescent="0.25">
      <c r="A1582" s="182"/>
      <c r="B1582" s="6"/>
      <c r="C1582" s="6"/>
      <c r="D1582" s="15"/>
      <c r="E1582" s="22"/>
      <c r="F1582" s="22"/>
      <c r="G1582" s="22"/>
      <c r="I1582" s="5"/>
      <c r="J1582" s="5"/>
      <c r="K1582" s="22"/>
      <c r="L1582" s="22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19"/>
      <c r="AH1582" s="5"/>
      <c r="AI1582" s="5"/>
      <c r="AJ1582" s="5"/>
      <c r="AK1582" s="5"/>
    </row>
    <row r="1583" spans="1:37" x14ac:dyDescent="0.25">
      <c r="A1583" s="182"/>
      <c r="B1583" s="6"/>
      <c r="C1583" s="6"/>
      <c r="D1583" s="15"/>
      <c r="E1583" s="22"/>
      <c r="F1583" s="22"/>
      <c r="G1583" s="22"/>
      <c r="I1583" s="5"/>
      <c r="J1583" s="5"/>
      <c r="K1583" s="22"/>
      <c r="L1583" s="22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19"/>
      <c r="AH1583" s="5"/>
      <c r="AI1583" s="5"/>
      <c r="AJ1583" s="5"/>
      <c r="AK1583" s="5"/>
    </row>
    <row r="1584" spans="1:37" x14ac:dyDescent="0.25">
      <c r="A1584" s="182"/>
      <c r="B1584" s="6"/>
      <c r="C1584" s="6"/>
      <c r="D1584" s="15"/>
      <c r="E1584" s="22"/>
      <c r="F1584" s="22"/>
      <c r="G1584" s="22"/>
      <c r="I1584" s="5"/>
      <c r="J1584" s="5"/>
      <c r="K1584" s="22"/>
      <c r="L1584" s="22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19"/>
      <c r="AH1584" s="5"/>
      <c r="AI1584" s="5"/>
      <c r="AJ1584" s="5"/>
      <c r="AK1584" s="5"/>
    </row>
    <row r="1585" spans="1:37" x14ac:dyDescent="0.25">
      <c r="A1585" s="182"/>
      <c r="B1585" s="6"/>
      <c r="C1585" s="6"/>
      <c r="D1585" s="15"/>
      <c r="E1585" s="22"/>
      <c r="F1585" s="22"/>
      <c r="G1585" s="22"/>
      <c r="I1585" s="5"/>
      <c r="J1585" s="5"/>
      <c r="K1585" s="22"/>
      <c r="L1585" s="22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19"/>
      <c r="AH1585" s="5"/>
      <c r="AI1585" s="5"/>
      <c r="AJ1585" s="5"/>
      <c r="AK1585" s="5"/>
    </row>
    <row r="1586" spans="1:37" x14ac:dyDescent="0.25">
      <c r="A1586" s="182"/>
      <c r="B1586" s="6"/>
      <c r="C1586" s="6"/>
      <c r="D1586" s="15"/>
      <c r="E1586" s="22"/>
      <c r="F1586" s="22"/>
      <c r="G1586" s="22"/>
      <c r="I1586" s="5"/>
      <c r="J1586" s="5"/>
      <c r="K1586" s="22"/>
      <c r="L1586" s="22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19"/>
      <c r="AH1586" s="5"/>
      <c r="AI1586" s="5"/>
      <c r="AJ1586" s="5"/>
      <c r="AK1586" s="5"/>
    </row>
    <row r="1587" spans="1:37" x14ac:dyDescent="0.25">
      <c r="A1587" s="182"/>
      <c r="B1587" s="6"/>
      <c r="C1587" s="6"/>
      <c r="D1587" s="15"/>
      <c r="E1587" s="22"/>
      <c r="F1587" s="22"/>
      <c r="G1587" s="22"/>
      <c r="I1587" s="5"/>
      <c r="J1587" s="5"/>
      <c r="K1587" s="22"/>
      <c r="L1587" s="22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19"/>
      <c r="AH1587" s="5"/>
      <c r="AI1587" s="5"/>
      <c r="AJ1587" s="5"/>
      <c r="AK1587" s="5"/>
    </row>
    <row r="1588" spans="1:37" x14ac:dyDescent="0.25">
      <c r="A1588" s="182"/>
      <c r="B1588" s="6"/>
      <c r="C1588" s="6"/>
      <c r="D1588" s="15"/>
      <c r="E1588" s="22"/>
      <c r="F1588" s="22"/>
      <c r="G1588" s="22"/>
      <c r="I1588" s="5"/>
      <c r="J1588" s="5"/>
      <c r="K1588" s="22"/>
      <c r="L1588" s="22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19"/>
      <c r="AH1588" s="5"/>
      <c r="AI1588" s="5"/>
      <c r="AJ1588" s="5"/>
      <c r="AK1588" s="5"/>
    </row>
    <row r="1589" spans="1:37" x14ac:dyDescent="0.25">
      <c r="A1589" s="182"/>
      <c r="B1589" s="6"/>
      <c r="C1589" s="6"/>
      <c r="D1589" s="15"/>
      <c r="E1589" s="22"/>
      <c r="F1589" s="22"/>
      <c r="G1589" s="22"/>
      <c r="I1589" s="5"/>
      <c r="J1589" s="5"/>
      <c r="K1589" s="22"/>
      <c r="L1589" s="22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19"/>
      <c r="AH1589" s="5"/>
      <c r="AI1589" s="5"/>
      <c r="AJ1589" s="5"/>
      <c r="AK1589" s="5"/>
    </row>
    <row r="1590" spans="1:37" x14ac:dyDescent="0.25">
      <c r="A1590" s="182"/>
      <c r="B1590" s="6"/>
      <c r="C1590" s="6"/>
      <c r="D1590" s="15"/>
      <c r="E1590" s="22"/>
      <c r="F1590" s="22"/>
      <c r="G1590" s="22"/>
      <c r="I1590" s="5"/>
      <c r="J1590" s="5"/>
      <c r="K1590" s="22"/>
      <c r="L1590" s="22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19"/>
      <c r="AH1590" s="5"/>
      <c r="AI1590" s="5"/>
      <c r="AJ1590" s="5"/>
      <c r="AK1590" s="5"/>
    </row>
    <row r="1591" spans="1:37" x14ac:dyDescent="0.25">
      <c r="A1591" s="182"/>
      <c r="B1591" s="6"/>
      <c r="C1591" s="6"/>
      <c r="D1591" s="15"/>
      <c r="E1591" s="22"/>
      <c r="F1591" s="22"/>
      <c r="G1591" s="22"/>
      <c r="I1591" s="5"/>
      <c r="J1591" s="5"/>
      <c r="K1591" s="22"/>
      <c r="L1591" s="22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19"/>
      <c r="AH1591" s="5"/>
      <c r="AI1591" s="5"/>
      <c r="AJ1591" s="5"/>
      <c r="AK1591" s="5"/>
    </row>
    <row r="1592" spans="1:37" x14ac:dyDescent="0.25">
      <c r="A1592" s="182"/>
      <c r="B1592" s="6"/>
      <c r="C1592" s="6"/>
      <c r="D1592" s="15"/>
      <c r="E1592" s="22"/>
      <c r="F1592" s="22"/>
      <c r="G1592" s="22"/>
      <c r="I1592" s="5"/>
      <c r="J1592" s="5"/>
      <c r="K1592" s="22"/>
      <c r="L1592" s="22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19"/>
      <c r="AH1592" s="5"/>
      <c r="AI1592" s="5"/>
      <c r="AJ1592" s="5"/>
      <c r="AK1592" s="5"/>
    </row>
    <row r="1593" spans="1:37" x14ac:dyDescent="0.25">
      <c r="A1593" s="182"/>
      <c r="B1593" s="6"/>
      <c r="C1593" s="6"/>
      <c r="D1593" s="15"/>
      <c r="E1593" s="22"/>
      <c r="F1593" s="22"/>
      <c r="G1593" s="22"/>
      <c r="I1593" s="5"/>
      <c r="J1593" s="5"/>
      <c r="K1593" s="22"/>
      <c r="L1593" s="22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19"/>
      <c r="AH1593" s="5"/>
      <c r="AI1593" s="5"/>
      <c r="AJ1593" s="5"/>
      <c r="AK1593" s="5"/>
    </row>
    <row r="1594" spans="1:37" x14ac:dyDescent="0.25">
      <c r="A1594" s="182"/>
      <c r="B1594" s="6"/>
      <c r="C1594" s="6"/>
      <c r="D1594" s="15"/>
      <c r="E1594" s="22"/>
      <c r="F1594" s="22"/>
      <c r="G1594" s="22"/>
      <c r="I1594" s="5"/>
      <c r="J1594" s="5"/>
      <c r="K1594" s="22"/>
      <c r="L1594" s="22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19"/>
      <c r="AH1594" s="5"/>
      <c r="AI1594" s="5"/>
      <c r="AJ1594" s="5"/>
      <c r="AK1594" s="5"/>
    </row>
    <row r="1595" spans="1:37" x14ac:dyDescent="0.25">
      <c r="A1595" s="182"/>
      <c r="B1595" s="6"/>
      <c r="C1595" s="6"/>
      <c r="D1595" s="15"/>
      <c r="E1595" s="22"/>
      <c r="F1595" s="22"/>
      <c r="G1595" s="22"/>
      <c r="I1595" s="5"/>
      <c r="J1595" s="5"/>
      <c r="K1595" s="22"/>
      <c r="L1595" s="22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19"/>
      <c r="AH1595" s="5"/>
      <c r="AI1595" s="5"/>
      <c r="AJ1595" s="5"/>
      <c r="AK1595" s="5"/>
    </row>
    <row r="1596" spans="1:37" x14ac:dyDescent="0.25">
      <c r="A1596" s="182"/>
      <c r="B1596" s="6"/>
      <c r="C1596" s="6"/>
      <c r="D1596" s="15"/>
      <c r="E1596" s="22"/>
      <c r="F1596" s="22"/>
      <c r="G1596" s="22"/>
      <c r="I1596" s="5"/>
      <c r="J1596" s="5"/>
      <c r="K1596" s="22"/>
      <c r="L1596" s="22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19"/>
      <c r="AH1596" s="5"/>
      <c r="AI1596" s="5"/>
      <c r="AJ1596" s="5"/>
      <c r="AK1596" s="5"/>
    </row>
    <row r="1597" spans="1:37" x14ac:dyDescent="0.25">
      <c r="A1597" s="182"/>
      <c r="B1597" s="6"/>
      <c r="C1597" s="6"/>
      <c r="D1597" s="15"/>
      <c r="E1597" s="22"/>
      <c r="F1597" s="22"/>
      <c r="G1597" s="22"/>
      <c r="I1597" s="5"/>
      <c r="J1597" s="5"/>
      <c r="K1597" s="22"/>
      <c r="L1597" s="22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19"/>
      <c r="AH1597" s="5"/>
      <c r="AI1597" s="5"/>
      <c r="AJ1597" s="5"/>
      <c r="AK1597" s="5"/>
    </row>
    <row r="1598" spans="1:37" x14ac:dyDescent="0.25">
      <c r="A1598" s="182"/>
      <c r="B1598" s="6"/>
      <c r="C1598" s="6"/>
      <c r="D1598" s="15"/>
      <c r="E1598" s="22"/>
      <c r="F1598" s="22"/>
      <c r="G1598" s="22"/>
      <c r="I1598" s="5"/>
      <c r="J1598" s="5"/>
      <c r="K1598" s="22"/>
      <c r="L1598" s="22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19"/>
      <c r="AH1598" s="5"/>
      <c r="AI1598" s="5"/>
      <c r="AJ1598" s="5"/>
      <c r="AK1598" s="5"/>
    </row>
    <row r="1599" spans="1:37" x14ac:dyDescent="0.25">
      <c r="A1599" s="182"/>
      <c r="B1599" s="6"/>
      <c r="C1599" s="6"/>
      <c r="D1599" s="15"/>
      <c r="E1599" s="22"/>
      <c r="F1599" s="22"/>
      <c r="G1599" s="22"/>
      <c r="I1599" s="5"/>
      <c r="J1599" s="5"/>
      <c r="K1599" s="22"/>
      <c r="L1599" s="22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19"/>
      <c r="AH1599" s="5"/>
      <c r="AI1599" s="5"/>
      <c r="AJ1599" s="5"/>
      <c r="AK1599" s="5"/>
    </row>
    <row r="1600" spans="1:37" x14ac:dyDescent="0.25">
      <c r="A1600" s="182"/>
      <c r="B1600" s="6"/>
      <c r="C1600" s="6"/>
      <c r="D1600" s="15"/>
      <c r="E1600" s="22"/>
      <c r="F1600" s="22"/>
      <c r="G1600" s="22"/>
      <c r="I1600" s="5"/>
      <c r="J1600" s="5"/>
      <c r="K1600" s="22"/>
      <c r="L1600" s="22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19"/>
      <c r="AH1600" s="5"/>
      <c r="AI1600" s="5"/>
      <c r="AJ1600" s="5"/>
      <c r="AK1600" s="5"/>
    </row>
    <row r="1601" spans="1:37" x14ac:dyDescent="0.25">
      <c r="A1601" s="182"/>
      <c r="B1601" s="6"/>
      <c r="C1601" s="6"/>
      <c r="D1601" s="15"/>
      <c r="E1601" s="22"/>
      <c r="F1601" s="22"/>
      <c r="G1601" s="22"/>
      <c r="I1601" s="5"/>
      <c r="J1601" s="5"/>
      <c r="K1601" s="22"/>
      <c r="L1601" s="22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19"/>
      <c r="AH1601" s="5"/>
      <c r="AI1601" s="5"/>
      <c r="AJ1601" s="5"/>
      <c r="AK1601" s="5"/>
    </row>
    <row r="1602" spans="1:37" x14ac:dyDescent="0.25">
      <c r="A1602" s="182"/>
      <c r="B1602" s="6"/>
      <c r="C1602" s="6"/>
      <c r="D1602" s="15"/>
      <c r="E1602" s="22"/>
      <c r="F1602" s="22"/>
      <c r="G1602" s="22"/>
      <c r="I1602" s="5"/>
      <c r="J1602" s="5"/>
      <c r="K1602" s="22"/>
      <c r="L1602" s="22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19"/>
      <c r="AH1602" s="5"/>
      <c r="AI1602" s="5"/>
      <c r="AJ1602" s="5"/>
      <c r="AK1602" s="5"/>
    </row>
    <row r="1603" spans="1:37" x14ac:dyDescent="0.25">
      <c r="A1603" s="182"/>
      <c r="B1603" s="6"/>
      <c r="C1603" s="6"/>
      <c r="D1603" s="15"/>
      <c r="E1603" s="22"/>
      <c r="F1603" s="22"/>
      <c r="G1603" s="22"/>
      <c r="I1603" s="5"/>
      <c r="J1603" s="5"/>
      <c r="K1603" s="22"/>
      <c r="L1603" s="22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19"/>
      <c r="AH1603" s="5"/>
      <c r="AI1603" s="5"/>
      <c r="AJ1603" s="5"/>
      <c r="AK1603" s="5"/>
    </row>
    <row r="1604" spans="1:37" x14ac:dyDescent="0.25">
      <c r="A1604" s="182"/>
      <c r="B1604" s="6"/>
      <c r="C1604" s="6"/>
      <c r="D1604" s="15"/>
      <c r="E1604" s="22"/>
      <c r="F1604" s="22"/>
      <c r="G1604" s="22"/>
      <c r="I1604" s="5"/>
      <c r="J1604" s="5"/>
      <c r="K1604" s="22"/>
      <c r="L1604" s="22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19"/>
      <c r="AH1604" s="5"/>
      <c r="AI1604" s="5"/>
      <c r="AJ1604" s="5"/>
      <c r="AK1604" s="5"/>
    </row>
    <row r="1605" spans="1:37" x14ac:dyDescent="0.25">
      <c r="A1605" s="182"/>
      <c r="B1605" s="6"/>
      <c r="C1605" s="6"/>
      <c r="D1605" s="15"/>
      <c r="E1605" s="22"/>
      <c r="F1605" s="22"/>
      <c r="G1605" s="22"/>
      <c r="I1605" s="5"/>
      <c r="J1605" s="5"/>
      <c r="K1605" s="22"/>
      <c r="L1605" s="22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19"/>
      <c r="AH1605" s="5"/>
      <c r="AI1605" s="5"/>
      <c r="AJ1605" s="5"/>
      <c r="AK1605" s="5"/>
    </row>
    <row r="1606" spans="1:37" x14ac:dyDescent="0.25">
      <c r="A1606" s="182"/>
      <c r="B1606" s="6"/>
      <c r="C1606" s="6"/>
      <c r="D1606" s="15"/>
      <c r="E1606" s="22"/>
      <c r="F1606" s="22"/>
      <c r="G1606" s="22"/>
      <c r="I1606" s="5"/>
      <c r="J1606" s="5"/>
      <c r="K1606" s="22"/>
      <c r="L1606" s="22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19"/>
      <c r="AH1606" s="5"/>
      <c r="AI1606" s="5"/>
      <c r="AJ1606" s="5"/>
      <c r="AK1606" s="5"/>
    </row>
    <row r="1607" spans="1:37" x14ac:dyDescent="0.25">
      <c r="A1607" s="182"/>
      <c r="B1607" s="6"/>
      <c r="C1607" s="6"/>
      <c r="D1607" s="15"/>
      <c r="E1607" s="22"/>
      <c r="F1607" s="22"/>
      <c r="G1607" s="22"/>
      <c r="I1607" s="5"/>
      <c r="J1607" s="5"/>
      <c r="K1607" s="22"/>
      <c r="L1607" s="22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19"/>
      <c r="AH1607" s="5"/>
      <c r="AI1607" s="5"/>
      <c r="AJ1607" s="5"/>
      <c r="AK1607" s="5"/>
    </row>
    <row r="1608" spans="1:37" x14ac:dyDescent="0.25">
      <c r="A1608" s="182"/>
      <c r="B1608" s="6"/>
      <c r="C1608" s="6"/>
      <c r="D1608" s="15"/>
      <c r="E1608" s="22"/>
      <c r="F1608" s="22"/>
      <c r="G1608" s="22"/>
      <c r="I1608" s="5"/>
      <c r="J1608" s="5"/>
      <c r="K1608" s="22"/>
      <c r="L1608" s="22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19"/>
      <c r="AH1608" s="5"/>
      <c r="AI1608" s="5"/>
      <c r="AJ1608" s="5"/>
      <c r="AK1608" s="5"/>
    </row>
    <row r="1609" spans="1:37" x14ac:dyDescent="0.25">
      <c r="A1609" s="182"/>
      <c r="B1609" s="6"/>
      <c r="C1609" s="6"/>
      <c r="D1609" s="15"/>
      <c r="E1609" s="22"/>
      <c r="F1609" s="22"/>
      <c r="G1609" s="22"/>
      <c r="I1609" s="5"/>
      <c r="J1609" s="5"/>
      <c r="K1609" s="22"/>
      <c r="L1609" s="22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19"/>
      <c r="AH1609" s="5"/>
      <c r="AI1609" s="5"/>
      <c r="AJ1609" s="5"/>
      <c r="AK1609" s="5"/>
    </row>
    <row r="1610" spans="1:37" x14ac:dyDescent="0.25">
      <c r="A1610" s="182"/>
      <c r="B1610" s="6"/>
      <c r="C1610" s="6"/>
      <c r="D1610" s="15"/>
      <c r="E1610" s="22"/>
      <c r="F1610" s="22"/>
      <c r="G1610" s="22"/>
      <c r="I1610" s="5"/>
      <c r="J1610" s="5"/>
      <c r="K1610" s="22"/>
      <c r="L1610" s="22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19"/>
      <c r="AH1610" s="5"/>
      <c r="AI1610" s="5"/>
      <c r="AJ1610" s="5"/>
      <c r="AK1610" s="5"/>
    </row>
    <row r="1611" spans="1:37" x14ac:dyDescent="0.25">
      <c r="A1611" s="182"/>
      <c r="B1611" s="6"/>
      <c r="C1611" s="6"/>
      <c r="D1611" s="15"/>
      <c r="E1611" s="22"/>
      <c r="F1611" s="22"/>
      <c r="G1611" s="22"/>
      <c r="I1611" s="5"/>
      <c r="J1611" s="5"/>
      <c r="K1611" s="22"/>
      <c r="L1611" s="22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19"/>
      <c r="AH1611" s="5"/>
      <c r="AI1611" s="5"/>
      <c r="AJ1611" s="5"/>
      <c r="AK1611" s="5"/>
    </row>
    <row r="1612" spans="1:37" x14ac:dyDescent="0.25">
      <c r="A1612" s="182"/>
      <c r="B1612" s="6"/>
      <c r="C1612" s="6"/>
      <c r="D1612" s="15"/>
      <c r="E1612" s="22"/>
      <c r="F1612" s="22"/>
      <c r="G1612" s="22"/>
      <c r="I1612" s="5"/>
      <c r="J1612" s="5"/>
      <c r="K1612" s="22"/>
      <c r="L1612" s="22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19"/>
      <c r="AH1612" s="5"/>
      <c r="AI1612" s="5"/>
      <c r="AJ1612" s="5"/>
      <c r="AK1612" s="5"/>
    </row>
    <row r="1613" spans="1:37" x14ac:dyDescent="0.25">
      <c r="A1613" s="182"/>
      <c r="B1613" s="6"/>
      <c r="C1613" s="6"/>
      <c r="D1613" s="15"/>
      <c r="E1613" s="22"/>
      <c r="F1613" s="22"/>
      <c r="G1613" s="22"/>
      <c r="I1613" s="5"/>
      <c r="J1613" s="5"/>
      <c r="K1613" s="22"/>
      <c r="L1613" s="22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19"/>
      <c r="AH1613" s="5"/>
      <c r="AI1613" s="5"/>
      <c r="AJ1613" s="5"/>
      <c r="AK1613" s="5"/>
    </row>
    <row r="1614" spans="1:37" x14ac:dyDescent="0.25">
      <c r="A1614" s="182"/>
      <c r="B1614" s="6"/>
      <c r="C1614" s="6"/>
      <c r="D1614" s="15"/>
      <c r="E1614" s="22"/>
      <c r="F1614" s="22"/>
      <c r="G1614" s="22"/>
      <c r="I1614" s="5"/>
      <c r="J1614" s="5"/>
      <c r="K1614" s="22"/>
      <c r="L1614" s="22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19"/>
      <c r="AH1614" s="5"/>
      <c r="AI1614" s="5"/>
      <c r="AJ1614" s="5"/>
      <c r="AK1614" s="5"/>
    </row>
    <row r="1615" spans="1:37" x14ac:dyDescent="0.25">
      <c r="A1615" s="182"/>
      <c r="B1615" s="6"/>
      <c r="C1615" s="6"/>
      <c r="D1615" s="15"/>
      <c r="E1615" s="22"/>
      <c r="F1615" s="22"/>
      <c r="G1615" s="22"/>
      <c r="I1615" s="5"/>
      <c r="J1615" s="5"/>
      <c r="K1615" s="22"/>
      <c r="L1615" s="22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19"/>
      <c r="AH1615" s="5"/>
      <c r="AI1615" s="5"/>
      <c r="AJ1615" s="5"/>
      <c r="AK1615" s="5"/>
    </row>
    <row r="1616" spans="1:37" x14ac:dyDescent="0.25">
      <c r="A1616" s="182"/>
      <c r="B1616" s="6"/>
      <c r="C1616" s="6"/>
      <c r="D1616" s="15"/>
      <c r="E1616" s="22"/>
      <c r="F1616" s="22"/>
      <c r="G1616" s="22"/>
      <c r="I1616" s="5"/>
      <c r="J1616" s="5"/>
      <c r="K1616" s="22"/>
      <c r="L1616" s="22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19"/>
      <c r="AH1616" s="5"/>
      <c r="AI1616" s="5"/>
      <c r="AJ1616" s="5"/>
      <c r="AK1616" s="5"/>
    </row>
    <row r="1617" spans="1:37" x14ac:dyDescent="0.25">
      <c r="A1617" s="182"/>
      <c r="B1617" s="6"/>
      <c r="C1617" s="6"/>
      <c r="D1617" s="15"/>
      <c r="E1617" s="22"/>
      <c r="F1617" s="22"/>
      <c r="G1617" s="22"/>
      <c r="I1617" s="5"/>
      <c r="J1617" s="5"/>
      <c r="K1617" s="22"/>
      <c r="L1617" s="22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19"/>
      <c r="AH1617" s="5"/>
      <c r="AI1617" s="5"/>
      <c r="AJ1617" s="5"/>
      <c r="AK1617" s="5"/>
    </row>
    <row r="1618" spans="1:37" x14ac:dyDescent="0.25">
      <c r="A1618" s="182"/>
      <c r="B1618" s="6"/>
      <c r="C1618" s="6"/>
      <c r="D1618" s="15"/>
      <c r="E1618" s="22"/>
      <c r="F1618" s="22"/>
      <c r="G1618" s="22"/>
      <c r="I1618" s="5"/>
      <c r="J1618" s="5"/>
      <c r="K1618" s="22"/>
      <c r="L1618" s="22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19"/>
      <c r="AH1618" s="5"/>
      <c r="AI1618" s="5"/>
      <c r="AJ1618" s="5"/>
      <c r="AK1618" s="5"/>
    </row>
    <row r="1619" spans="1:37" x14ac:dyDescent="0.25">
      <c r="A1619" s="182"/>
      <c r="B1619" s="6"/>
      <c r="C1619" s="6"/>
      <c r="D1619" s="15"/>
      <c r="E1619" s="22"/>
      <c r="F1619" s="22"/>
      <c r="G1619" s="22"/>
      <c r="I1619" s="5"/>
      <c r="J1619" s="5"/>
      <c r="K1619" s="22"/>
      <c r="L1619" s="22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19"/>
      <c r="AH1619" s="5"/>
      <c r="AI1619" s="5"/>
      <c r="AJ1619" s="5"/>
      <c r="AK1619" s="5"/>
    </row>
    <row r="1620" spans="1:37" x14ac:dyDescent="0.25">
      <c r="A1620" s="182"/>
      <c r="B1620" s="6"/>
      <c r="C1620" s="6"/>
      <c r="D1620" s="15"/>
      <c r="E1620" s="22"/>
      <c r="F1620" s="22"/>
      <c r="G1620" s="22"/>
      <c r="I1620" s="5"/>
      <c r="J1620" s="5"/>
      <c r="K1620" s="22"/>
      <c r="L1620" s="22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19"/>
      <c r="AH1620" s="5"/>
      <c r="AI1620" s="5"/>
      <c r="AJ1620" s="5"/>
      <c r="AK1620" s="5"/>
    </row>
    <row r="1621" spans="1:37" x14ac:dyDescent="0.25">
      <c r="A1621" s="182"/>
      <c r="B1621" s="6"/>
      <c r="C1621" s="6"/>
      <c r="D1621" s="15"/>
      <c r="E1621" s="22"/>
      <c r="F1621" s="22"/>
      <c r="G1621" s="22"/>
      <c r="I1621" s="5"/>
      <c r="J1621" s="5"/>
      <c r="K1621" s="22"/>
      <c r="L1621" s="22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19"/>
      <c r="AH1621" s="5"/>
      <c r="AI1621" s="5"/>
      <c r="AJ1621" s="5"/>
      <c r="AK1621" s="5"/>
    </row>
    <row r="1622" spans="1:37" x14ac:dyDescent="0.25">
      <c r="A1622" s="182"/>
      <c r="B1622" s="6"/>
      <c r="C1622" s="6"/>
      <c r="D1622" s="15"/>
      <c r="E1622" s="22"/>
      <c r="F1622" s="22"/>
      <c r="G1622" s="22"/>
      <c r="I1622" s="5"/>
      <c r="J1622" s="5"/>
      <c r="K1622" s="22"/>
      <c r="L1622" s="22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19"/>
      <c r="AH1622" s="5"/>
      <c r="AI1622" s="5"/>
      <c r="AJ1622" s="5"/>
      <c r="AK1622" s="5"/>
    </row>
    <row r="1623" spans="1:37" x14ac:dyDescent="0.25">
      <c r="A1623" s="182"/>
      <c r="B1623" s="6"/>
      <c r="C1623" s="6"/>
      <c r="D1623" s="15"/>
      <c r="E1623" s="22"/>
      <c r="F1623" s="22"/>
      <c r="G1623" s="22"/>
      <c r="I1623" s="5"/>
      <c r="J1623" s="5"/>
      <c r="K1623" s="22"/>
      <c r="L1623" s="22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19"/>
      <c r="AH1623" s="5"/>
      <c r="AI1623" s="5"/>
      <c r="AJ1623" s="5"/>
      <c r="AK1623" s="5"/>
    </row>
    <row r="1624" spans="1:37" x14ac:dyDescent="0.25">
      <c r="A1624" s="182"/>
      <c r="B1624" s="6"/>
      <c r="C1624" s="6"/>
      <c r="D1624" s="15"/>
      <c r="E1624" s="22"/>
      <c r="F1624" s="22"/>
      <c r="G1624" s="22"/>
      <c r="I1624" s="5"/>
      <c r="J1624" s="5"/>
      <c r="K1624" s="22"/>
      <c r="L1624" s="22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19"/>
      <c r="AH1624" s="5"/>
      <c r="AI1624" s="5"/>
      <c r="AJ1624" s="5"/>
      <c r="AK1624" s="5"/>
    </row>
    <row r="1625" spans="1:37" x14ac:dyDescent="0.25">
      <c r="A1625" s="182"/>
      <c r="B1625" s="6"/>
      <c r="C1625" s="6"/>
      <c r="D1625" s="15"/>
      <c r="E1625" s="22"/>
      <c r="F1625" s="22"/>
      <c r="G1625" s="22"/>
      <c r="I1625" s="5"/>
      <c r="J1625" s="5"/>
      <c r="K1625" s="22"/>
      <c r="L1625" s="22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19"/>
      <c r="AH1625" s="5"/>
      <c r="AI1625" s="5"/>
      <c r="AJ1625" s="5"/>
      <c r="AK1625" s="5"/>
    </row>
    <row r="1626" spans="1:37" x14ac:dyDescent="0.25">
      <c r="A1626" s="182"/>
      <c r="B1626" s="6"/>
      <c r="C1626" s="6"/>
      <c r="D1626" s="15"/>
      <c r="E1626" s="22"/>
      <c r="F1626" s="22"/>
      <c r="G1626" s="22"/>
      <c r="I1626" s="5"/>
      <c r="J1626" s="5"/>
      <c r="K1626" s="22"/>
      <c r="L1626" s="22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19"/>
      <c r="AH1626" s="5"/>
      <c r="AI1626" s="5"/>
      <c r="AJ1626" s="5"/>
      <c r="AK1626" s="5"/>
    </row>
    <row r="1627" spans="1:37" x14ac:dyDescent="0.25">
      <c r="A1627" s="182"/>
      <c r="B1627" s="6"/>
      <c r="C1627" s="6"/>
      <c r="D1627" s="15"/>
      <c r="E1627" s="22"/>
      <c r="F1627" s="22"/>
      <c r="G1627" s="22"/>
      <c r="I1627" s="5"/>
      <c r="J1627" s="5"/>
      <c r="K1627" s="22"/>
      <c r="L1627" s="22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19"/>
      <c r="AH1627" s="5"/>
      <c r="AI1627" s="5"/>
      <c r="AJ1627" s="5"/>
      <c r="AK1627" s="5"/>
    </row>
    <row r="1628" spans="1:37" x14ac:dyDescent="0.25">
      <c r="A1628" s="182"/>
      <c r="B1628" s="6"/>
      <c r="C1628" s="6"/>
      <c r="D1628" s="15"/>
      <c r="E1628" s="22"/>
      <c r="F1628" s="22"/>
      <c r="G1628" s="22"/>
      <c r="I1628" s="5"/>
      <c r="J1628" s="5"/>
      <c r="K1628" s="22"/>
      <c r="L1628" s="22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19"/>
      <c r="AH1628" s="5"/>
      <c r="AI1628" s="5"/>
      <c r="AJ1628" s="5"/>
      <c r="AK1628" s="5"/>
    </row>
    <row r="1629" spans="1:37" x14ac:dyDescent="0.25">
      <c r="A1629" s="182"/>
      <c r="B1629" s="6"/>
      <c r="C1629" s="6"/>
      <c r="D1629" s="15"/>
      <c r="E1629" s="22"/>
      <c r="F1629" s="22"/>
      <c r="G1629" s="22"/>
      <c r="I1629" s="5"/>
      <c r="J1629" s="5"/>
      <c r="K1629" s="22"/>
      <c r="L1629" s="22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19"/>
      <c r="AH1629" s="5"/>
      <c r="AI1629" s="5"/>
      <c r="AJ1629" s="5"/>
      <c r="AK1629" s="5"/>
    </row>
    <row r="1630" spans="1:37" x14ac:dyDescent="0.25">
      <c r="A1630" s="182"/>
      <c r="B1630" s="6"/>
      <c r="C1630" s="6"/>
      <c r="D1630" s="15"/>
      <c r="E1630" s="22"/>
      <c r="F1630" s="22"/>
      <c r="G1630" s="22"/>
      <c r="I1630" s="5"/>
      <c r="J1630" s="5"/>
      <c r="K1630" s="22"/>
      <c r="L1630" s="22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19"/>
      <c r="AH1630" s="5"/>
      <c r="AI1630" s="5"/>
      <c r="AJ1630" s="5"/>
      <c r="AK1630" s="5"/>
    </row>
    <row r="1631" spans="1:37" x14ac:dyDescent="0.25">
      <c r="A1631" s="182"/>
      <c r="B1631" s="6"/>
      <c r="C1631" s="6"/>
      <c r="D1631" s="15"/>
      <c r="E1631" s="22"/>
      <c r="F1631" s="22"/>
      <c r="G1631" s="22"/>
      <c r="I1631" s="5"/>
      <c r="J1631" s="5"/>
      <c r="K1631" s="22"/>
      <c r="L1631" s="22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19"/>
      <c r="AH1631" s="5"/>
      <c r="AI1631" s="5"/>
      <c r="AJ1631" s="5"/>
      <c r="AK1631" s="5"/>
    </row>
    <row r="1632" spans="1:37" x14ac:dyDescent="0.25">
      <c r="A1632" s="182"/>
      <c r="B1632" s="6"/>
      <c r="C1632" s="6"/>
      <c r="D1632" s="15"/>
      <c r="E1632" s="22"/>
      <c r="F1632" s="22"/>
      <c r="G1632" s="22"/>
      <c r="I1632" s="5"/>
      <c r="J1632" s="5"/>
      <c r="K1632" s="22"/>
      <c r="L1632" s="22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19"/>
      <c r="AH1632" s="5"/>
      <c r="AI1632" s="5"/>
      <c r="AJ1632" s="5"/>
      <c r="AK1632" s="5"/>
    </row>
    <row r="1633" spans="1:37" x14ac:dyDescent="0.25">
      <c r="A1633" s="182"/>
      <c r="B1633" s="6"/>
      <c r="C1633" s="6"/>
      <c r="D1633" s="15"/>
      <c r="E1633" s="22"/>
      <c r="F1633" s="22"/>
      <c r="G1633" s="22"/>
      <c r="I1633" s="5"/>
      <c r="J1633" s="5"/>
      <c r="K1633" s="22"/>
      <c r="L1633" s="22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19"/>
      <c r="AH1633" s="5"/>
      <c r="AI1633" s="5"/>
      <c r="AJ1633" s="5"/>
      <c r="AK1633" s="5"/>
    </row>
    <row r="1634" spans="1:37" x14ac:dyDescent="0.25">
      <c r="A1634" s="182"/>
      <c r="B1634" s="6"/>
      <c r="C1634" s="6"/>
      <c r="D1634" s="15"/>
      <c r="E1634" s="22"/>
      <c r="F1634" s="22"/>
      <c r="G1634" s="22"/>
      <c r="I1634" s="5"/>
      <c r="J1634" s="5"/>
      <c r="K1634" s="22"/>
      <c r="L1634" s="22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19"/>
      <c r="AH1634" s="5"/>
      <c r="AI1634" s="5"/>
      <c r="AJ1634" s="5"/>
      <c r="AK1634" s="5"/>
    </row>
    <row r="1635" spans="1:37" x14ac:dyDescent="0.25">
      <c r="A1635" s="182"/>
      <c r="B1635" s="6"/>
      <c r="C1635" s="6"/>
      <c r="D1635" s="15"/>
      <c r="E1635" s="22"/>
      <c r="F1635" s="22"/>
      <c r="G1635" s="22"/>
      <c r="I1635" s="5"/>
      <c r="J1635" s="5"/>
      <c r="K1635" s="22"/>
      <c r="L1635" s="22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19"/>
      <c r="AH1635" s="5"/>
      <c r="AI1635" s="5"/>
      <c r="AJ1635" s="5"/>
      <c r="AK1635" s="5"/>
    </row>
    <row r="1636" spans="1:37" x14ac:dyDescent="0.25">
      <c r="A1636" s="182"/>
      <c r="B1636" s="6"/>
      <c r="C1636" s="6"/>
      <c r="D1636" s="15"/>
      <c r="E1636" s="22"/>
      <c r="F1636" s="22"/>
      <c r="G1636" s="22"/>
      <c r="I1636" s="5"/>
      <c r="J1636" s="5"/>
      <c r="K1636" s="22"/>
      <c r="L1636" s="22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19"/>
      <c r="AH1636" s="5"/>
      <c r="AI1636" s="5"/>
      <c r="AJ1636" s="5"/>
      <c r="AK1636" s="5"/>
    </row>
    <row r="1637" spans="1:37" x14ac:dyDescent="0.25">
      <c r="A1637" s="182"/>
      <c r="B1637" s="6"/>
      <c r="C1637" s="6"/>
      <c r="D1637" s="15"/>
      <c r="E1637" s="22"/>
      <c r="F1637" s="22"/>
      <c r="G1637" s="22"/>
      <c r="I1637" s="5"/>
      <c r="J1637" s="5"/>
      <c r="K1637" s="22"/>
      <c r="L1637" s="22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19"/>
      <c r="AH1637" s="5"/>
      <c r="AI1637" s="5"/>
      <c r="AJ1637" s="5"/>
      <c r="AK1637" s="5"/>
    </row>
    <row r="1638" spans="1:37" x14ac:dyDescent="0.25">
      <c r="A1638" s="182"/>
      <c r="B1638" s="6"/>
      <c r="C1638" s="6"/>
      <c r="D1638" s="15"/>
      <c r="E1638" s="22"/>
      <c r="F1638" s="22"/>
      <c r="G1638" s="22"/>
      <c r="I1638" s="5"/>
      <c r="J1638" s="5"/>
      <c r="K1638" s="22"/>
      <c r="L1638" s="22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19"/>
      <c r="AH1638" s="5"/>
      <c r="AI1638" s="5"/>
      <c r="AJ1638" s="5"/>
      <c r="AK1638" s="5"/>
    </row>
    <row r="1639" spans="1:37" x14ac:dyDescent="0.25">
      <c r="A1639" s="182"/>
      <c r="B1639" s="6"/>
      <c r="C1639" s="6"/>
      <c r="D1639" s="15"/>
      <c r="E1639" s="22"/>
      <c r="F1639" s="22"/>
      <c r="G1639" s="22"/>
      <c r="I1639" s="5"/>
      <c r="J1639" s="5"/>
      <c r="K1639" s="22"/>
      <c r="L1639" s="22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19"/>
      <c r="AH1639" s="5"/>
      <c r="AI1639" s="5"/>
      <c r="AJ1639" s="5"/>
      <c r="AK1639" s="5"/>
    </row>
    <row r="1640" spans="1:37" x14ac:dyDescent="0.25">
      <c r="A1640" s="182"/>
      <c r="B1640" s="6"/>
      <c r="C1640" s="6"/>
      <c r="D1640" s="15"/>
      <c r="E1640" s="22"/>
      <c r="F1640" s="22"/>
      <c r="G1640" s="22"/>
      <c r="I1640" s="5"/>
      <c r="J1640" s="5"/>
      <c r="K1640" s="22"/>
      <c r="L1640" s="22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19"/>
      <c r="AH1640" s="5"/>
      <c r="AI1640" s="5"/>
      <c r="AJ1640" s="5"/>
      <c r="AK1640" s="5"/>
    </row>
    <row r="1641" spans="1:37" x14ac:dyDescent="0.25">
      <c r="A1641" s="182"/>
      <c r="B1641" s="6"/>
      <c r="C1641" s="6"/>
      <c r="D1641" s="15"/>
      <c r="E1641" s="22"/>
      <c r="F1641" s="22"/>
      <c r="G1641" s="22"/>
      <c r="I1641" s="5"/>
      <c r="J1641" s="5"/>
      <c r="K1641" s="22"/>
      <c r="L1641" s="22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19"/>
      <c r="AH1641" s="5"/>
      <c r="AI1641" s="5"/>
      <c r="AJ1641" s="5"/>
      <c r="AK1641" s="5"/>
    </row>
    <row r="1642" spans="1:37" x14ac:dyDescent="0.25">
      <c r="A1642" s="182"/>
      <c r="B1642" s="6"/>
      <c r="C1642" s="6"/>
      <c r="D1642" s="15"/>
      <c r="E1642" s="22"/>
      <c r="F1642" s="22"/>
      <c r="G1642" s="22"/>
      <c r="I1642" s="5"/>
      <c r="J1642" s="5"/>
      <c r="K1642" s="22"/>
      <c r="L1642" s="22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19"/>
      <c r="AH1642" s="5"/>
      <c r="AI1642" s="5"/>
      <c r="AJ1642" s="5"/>
      <c r="AK1642" s="5"/>
    </row>
    <row r="1643" spans="1:37" x14ac:dyDescent="0.25">
      <c r="A1643" s="182"/>
      <c r="B1643" s="6"/>
      <c r="C1643" s="6"/>
      <c r="D1643" s="15"/>
      <c r="E1643" s="22"/>
      <c r="F1643" s="22"/>
      <c r="G1643" s="22"/>
      <c r="I1643" s="5"/>
      <c r="J1643" s="5"/>
      <c r="K1643" s="22"/>
      <c r="L1643" s="22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19"/>
      <c r="AH1643" s="5"/>
      <c r="AI1643" s="5"/>
      <c r="AJ1643" s="5"/>
      <c r="AK1643" s="5"/>
    </row>
    <row r="1644" spans="1:37" x14ac:dyDescent="0.25">
      <c r="A1644" s="182"/>
      <c r="B1644" s="6"/>
      <c r="C1644" s="6"/>
      <c r="D1644" s="15"/>
      <c r="E1644" s="22"/>
      <c r="F1644" s="22"/>
      <c r="G1644" s="22"/>
      <c r="I1644" s="5"/>
      <c r="J1644" s="5"/>
      <c r="K1644" s="22"/>
      <c r="L1644" s="22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19"/>
      <c r="AH1644" s="5"/>
      <c r="AI1644" s="5"/>
      <c r="AJ1644" s="5"/>
      <c r="AK1644" s="5"/>
    </row>
    <row r="1645" spans="1:37" x14ac:dyDescent="0.25">
      <c r="A1645" s="182"/>
      <c r="B1645" s="6"/>
      <c r="C1645" s="6"/>
      <c r="D1645" s="15"/>
      <c r="E1645" s="22"/>
      <c r="F1645" s="22"/>
      <c r="G1645" s="22"/>
      <c r="I1645" s="5"/>
      <c r="J1645" s="5"/>
      <c r="K1645" s="22"/>
      <c r="L1645" s="22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19"/>
      <c r="AH1645" s="5"/>
      <c r="AI1645" s="5"/>
      <c r="AJ1645" s="5"/>
      <c r="AK1645" s="5"/>
    </row>
    <row r="1646" spans="1:37" x14ac:dyDescent="0.25">
      <c r="A1646" s="182"/>
      <c r="B1646" s="6"/>
      <c r="C1646" s="6"/>
      <c r="D1646" s="15"/>
      <c r="E1646" s="22"/>
      <c r="F1646" s="22"/>
      <c r="G1646" s="22"/>
      <c r="I1646" s="5"/>
      <c r="J1646" s="5"/>
      <c r="K1646" s="22"/>
      <c r="L1646" s="22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19"/>
      <c r="AH1646" s="5"/>
      <c r="AI1646" s="5"/>
      <c r="AJ1646" s="5"/>
      <c r="AK1646" s="5"/>
    </row>
    <row r="1647" spans="1:37" x14ac:dyDescent="0.25">
      <c r="A1647" s="182"/>
      <c r="B1647" s="6"/>
      <c r="C1647" s="6"/>
      <c r="D1647" s="15"/>
      <c r="E1647" s="22"/>
      <c r="F1647" s="22"/>
      <c r="G1647" s="22"/>
      <c r="I1647" s="5"/>
      <c r="J1647" s="5"/>
      <c r="K1647" s="22"/>
      <c r="L1647" s="22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19"/>
      <c r="AH1647" s="5"/>
      <c r="AI1647" s="5"/>
      <c r="AJ1647" s="5"/>
      <c r="AK1647" s="5"/>
    </row>
    <row r="1648" spans="1:37" x14ac:dyDescent="0.25">
      <c r="A1648" s="182"/>
      <c r="B1648" s="6"/>
      <c r="C1648" s="6"/>
      <c r="D1648" s="15"/>
      <c r="E1648" s="22"/>
      <c r="F1648" s="22"/>
      <c r="G1648" s="22"/>
      <c r="I1648" s="5"/>
      <c r="J1648" s="5"/>
      <c r="K1648" s="22"/>
      <c r="L1648" s="22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19"/>
      <c r="AH1648" s="5"/>
      <c r="AI1648" s="5"/>
      <c r="AJ1648" s="5"/>
      <c r="AK1648" s="5"/>
    </row>
    <row r="1649" spans="1:37" x14ac:dyDescent="0.25">
      <c r="A1649" s="182"/>
      <c r="B1649" s="6"/>
      <c r="C1649" s="6"/>
      <c r="D1649" s="15"/>
      <c r="E1649" s="22"/>
      <c r="F1649" s="22"/>
      <c r="G1649" s="22"/>
      <c r="I1649" s="5"/>
      <c r="J1649" s="5"/>
      <c r="K1649" s="22"/>
      <c r="L1649" s="22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19"/>
      <c r="AH1649" s="5"/>
      <c r="AI1649" s="5"/>
      <c r="AJ1649" s="5"/>
      <c r="AK1649" s="5"/>
    </row>
    <row r="1650" spans="1:37" x14ac:dyDescent="0.25">
      <c r="A1650" s="182"/>
      <c r="B1650" s="6"/>
      <c r="C1650" s="6"/>
      <c r="D1650" s="15"/>
      <c r="E1650" s="22"/>
      <c r="F1650" s="22"/>
      <c r="G1650" s="22"/>
      <c r="I1650" s="5"/>
      <c r="J1650" s="5"/>
      <c r="K1650" s="22"/>
      <c r="L1650" s="22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19"/>
      <c r="AH1650" s="5"/>
      <c r="AI1650" s="5"/>
      <c r="AJ1650" s="5"/>
      <c r="AK1650" s="5"/>
    </row>
    <row r="1651" spans="1:37" x14ac:dyDescent="0.25">
      <c r="A1651" s="182"/>
      <c r="B1651" s="6"/>
      <c r="C1651" s="6"/>
      <c r="D1651" s="15"/>
      <c r="E1651" s="22"/>
      <c r="F1651" s="22"/>
      <c r="G1651" s="22"/>
      <c r="I1651" s="5"/>
      <c r="J1651" s="5"/>
      <c r="K1651" s="22"/>
      <c r="L1651" s="22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19"/>
      <c r="AH1651" s="5"/>
      <c r="AI1651" s="5"/>
      <c r="AJ1651" s="5"/>
      <c r="AK1651" s="5"/>
    </row>
    <row r="1652" spans="1:37" x14ac:dyDescent="0.25">
      <c r="A1652" s="182"/>
      <c r="B1652" s="6"/>
      <c r="C1652" s="6"/>
      <c r="D1652" s="15"/>
      <c r="E1652" s="22"/>
      <c r="F1652" s="22"/>
      <c r="G1652" s="22"/>
      <c r="I1652" s="5"/>
      <c r="J1652" s="5"/>
      <c r="K1652" s="22"/>
      <c r="L1652" s="22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19"/>
      <c r="AH1652" s="5"/>
      <c r="AI1652" s="5"/>
      <c r="AJ1652" s="5"/>
      <c r="AK1652" s="5"/>
    </row>
    <row r="1653" spans="1:37" x14ac:dyDescent="0.25">
      <c r="A1653" s="182"/>
      <c r="B1653" s="6"/>
      <c r="C1653" s="6"/>
      <c r="D1653" s="15"/>
      <c r="E1653" s="22"/>
      <c r="F1653" s="22"/>
      <c r="G1653" s="22"/>
      <c r="I1653" s="5"/>
      <c r="J1653" s="5"/>
      <c r="K1653" s="22"/>
      <c r="L1653" s="22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19"/>
      <c r="AH1653" s="5"/>
      <c r="AI1653" s="5"/>
      <c r="AJ1653" s="5"/>
      <c r="AK1653" s="5"/>
    </row>
    <row r="1654" spans="1:37" x14ac:dyDescent="0.25">
      <c r="A1654" s="182"/>
      <c r="B1654" s="6"/>
      <c r="C1654" s="6"/>
      <c r="D1654" s="15"/>
      <c r="E1654" s="22"/>
      <c r="F1654" s="22"/>
      <c r="G1654" s="22"/>
      <c r="I1654" s="5"/>
      <c r="J1654" s="5"/>
      <c r="K1654" s="22"/>
      <c r="L1654" s="22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19"/>
      <c r="AH1654" s="5"/>
      <c r="AI1654" s="5"/>
      <c r="AJ1654" s="5"/>
      <c r="AK1654" s="5"/>
    </row>
    <row r="1655" spans="1:37" x14ac:dyDescent="0.25">
      <c r="A1655" s="182"/>
      <c r="B1655" s="6"/>
      <c r="C1655" s="6"/>
      <c r="D1655" s="15"/>
      <c r="E1655" s="22"/>
      <c r="F1655" s="22"/>
      <c r="G1655" s="22"/>
      <c r="I1655" s="5"/>
      <c r="J1655" s="5"/>
      <c r="K1655" s="22"/>
      <c r="L1655" s="22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19"/>
      <c r="AH1655" s="5"/>
      <c r="AI1655" s="5"/>
      <c r="AJ1655" s="5"/>
      <c r="AK1655" s="5"/>
    </row>
    <row r="1656" spans="1:37" x14ac:dyDescent="0.25">
      <c r="A1656" s="182"/>
      <c r="B1656" s="6"/>
      <c r="C1656" s="6"/>
      <c r="D1656" s="15"/>
      <c r="E1656" s="22"/>
      <c r="F1656" s="22"/>
      <c r="G1656" s="22"/>
      <c r="I1656" s="5"/>
      <c r="J1656" s="5"/>
      <c r="K1656" s="22"/>
      <c r="L1656" s="22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19"/>
      <c r="AH1656" s="5"/>
      <c r="AI1656" s="5"/>
      <c r="AJ1656" s="5"/>
      <c r="AK1656" s="5"/>
    </row>
    <row r="1657" spans="1:37" x14ac:dyDescent="0.25">
      <c r="A1657" s="182"/>
      <c r="B1657" s="6"/>
      <c r="C1657" s="6"/>
      <c r="D1657" s="15"/>
      <c r="E1657" s="22"/>
      <c r="F1657" s="22"/>
      <c r="G1657" s="22"/>
      <c r="I1657" s="5"/>
      <c r="J1657" s="5"/>
      <c r="K1657" s="22"/>
      <c r="L1657" s="22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19"/>
      <c r="AH1657" s="5"/>
      <c r="AI1657" s="5"/>
      <c r="AJ1657" s="5"/>
      <c r="AK1657" s="5"/>
    </row>
    <row r="1658" spans="1:37" x14ac:dyDescent="0.25">
      <c r="A1658" s="182"/>
      <c r="B1658" s="6"/>
      <c r="C1658" s="6"/>
      <c r="D1658" s="15"/>
      <c r="E1658" s="22"/>
      <c r="F1658" s="22"/>
      <c r="G1658" s="22"/>
      <c r="I1658" s="5"/>
      <c r="J1658" s="5"/>
      <c r="K1658" s="22"/>
      <c r="L1658" s="22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19"/>
      <c r="AH1658" s="5"/>
      <c r="AI1658" s="5"/>
      <c r="AJ1658" s="5"/>
      <c r="AK1658" s="5"/>
    </row>
    <row r="1659" spans="1:37" x14ac:dyDescent="0.25">
      <c r="A1659" s="182"/>
      <c r="B1659" s="6"/>
      <c r="C1659" s="6"/>
      <c r="D1659" s="15"/>
      <c r="E1659" s="22"/>
      <c r="F1659" s="22"/>
      <c r="G1659" s="22"/>
      <c r="I1659" s="5"/>
      <c r="J1659" s="5"/>
      <c r="K1659" s="22"/>
      <c r="L1659" s="22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19"/>
      <c r="AH1659" s="5"/>
      <c r="AI1659" s="5"/>
      <c r="AJ1659" s="5"/>
      <c r="AK1659" s="5"/>
    </row>
    <row r="1660" spans="1:37" x14ac:dyDescent="0.25">
      <c r="A1660" s="182"/>
      <c r="B1660" s="6"/>
      <c r="C1660" s="6"/>
      <c r="D1660" s="15"/>
      <c r="E1660" s="22"/>
      <c r="F1660" s="22"/>
      <c r="G1660" s="22"/>
      <c r="I1660" s="5"/>
      <c r="J1660" s="5"/>
      <c r="K1660" s="22"/>
      <c r="L1660" s="22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19"/>
      <c r="AH1660" s="5"/>
      <c r="AI1660" s="5"/>
      <c r="AJ1660" s="5"/>
      <c r="AK1660" s="5"/>
    </row>
    <row r="1661" spans="1:37" x14ac:dyDescent="0.25">
      <c r="A1661" s="182"/>
      <c r="B1661" s="6"/>
      <c r="C1661" s="6"/>
      <c r="D1661" s="15"/>
      <c r="E1661" s="22"/>
      <c r="F1661" s="22"/>
      <c r="G1661" s="22"/>
      <c r="I1661" s="5"/>
      <c r="J1661" s="5"/>
      <c r="K1661" s="22"/>
      <c r="L1661" s="22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19"/>
      <c r="AH1661" s="5"/>
      <c r="AI1661" s="5"/>
      <c r="AJ1661" s="5"/>
      <c r="AK1661" s="5"/>
    </row>
    <row r="1662" spans="1:37" x14ac:dyDescent="0.25">
      <c r="A1662" s="182"/>
      <c r="B1662" s="6"/>
      <c r="C1662" s="6"/>
      <c r="D1662" s="15"/>
      <c r="E1662" s="22"/>
      <c r="F1662" s="22"/>
      <c r="G1662" s="22"/>
      <c r="I1662" s="5"/>
      <c r="J1662" s="5"/>
      <c r="K1662" s="22"/>
      <c r="L1662" s="22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19"/>
      <c r="AH1662" s="5"/>
      <c r="AI1662" s="5"/>
      <c r="AJ1662" s="5"/>
      <c r="AK1662" s="5"/>
    </row>
    <row r="1663" spans="1:37" x14ac:dyDescent="0.25">
      <c r="A1663" s="182"/>
      <c r="B1663" s="6"/>
      <c r="C1663" s="6"/>
      <c r="D1663" s="15"/>
      <c r="E1663" s="22"/>
      <c r="F1663" s="22"/>
      <c r="G1663" s="22"/>
      <c r="I1663" s="5"/>
      <c r="J1663" s="5"/>
      <c r="K1663" s="22"/>
      <c r="L1663" s="22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19"/>
      <c r="AH1663" s="5"/>
      <c r="AI1663" s="5"/>
      <c r="AJ1663" s="5"/>
      <c r="AK1663" s="5"/>
    </row>
    <row r="1664" spans="1:37" x14ac:dyDescent="0.25">
      <c r="A1664" s="182"/>
      <c r="B1664" s="6"/>
      <c r="C1664" s="6"/>
      <c r="D1664" s="15"/>
      <c r="E1664" s="22"/>
      <c r="F1664" s="22"/>
      <c r="G1664" s="22"/>
      <c r="I1664" s="5"/>
      <c r="J1664" s="5"/>
      <c r="K1664" s="22"/>
      <c r="L1664" s="22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19"/>
      <c r="AH1664" s="5"/>
      <c r="AI1664" s="5"/>
      <c r="AJ1664" s="5"/>
      <c r="AK1664" s="5"/>
    </row>
    <row r="1665" spans="1:37" x14ac:dyDescent="0.25">
      <c r="A1665" s="182"/>
      <c r="B1665" s="6"/>
      <c r="C1665" s="6"/>
      <c r="D1665" s="15"/>
      <c r="E1665" s="22"/>
      <c r="F1665" s="22"/>
      <c r="G1665" s="22"/>
      <c r="I1665" s="5"/>
      <c r="J1665" s="5"/>
      <c r="K1665" s="22"/>
      <c r="L1665" s="22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19"/>
      <c r="AH1665" s="5"/>
      <c r="AI1665" s="5"/>
      <c r="AJ1665" s="5"/>
      <c r="AK1665" s="5"/>
    </row>
    <row r="1666" spans="1:37" x14ac:dyDescent="0.25">
      <c r="A1666" s="182"/>
      <c r="B1666" s="6"/>
      <c r="C1666" s="6"/>
      <c r="D1666" s="15"/>
      <c r="E1666" s="22"/>
      <c r="F1666" s="22"/>
      <c r="G1666" s="22"/>
      <c r="I1666" s="5"/>
      <c r="J1666" s="5"/>
      <c r="K1666" s="22"/>
      <c r="L1666" s="22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19"/>
      <c r="AH1666" s="5"/>
      <c r="AI1666" s="5"/>
      <c r="AJ1666" s="5"/>
      <c r="AK1666" s="5"/>
    </row>
    <row r="1667" spans="1:37" x14ac:dyDescent="0.25">
      <c r="A1667" s="182"/>
      <c r="B1667" s="6"/>
      <c r="C1667" s="6"/>
      <c r="D1667" s="15"/>
      <c r="E1667" s="22"/>
      <c r="F1667" s="22"/>
      <c r="G1667" s="22"/>
      <c r="I1667" s="5"/>
      <c r="J1667" s="5"/>
      <c r="K1667" s="22"/>
      <c r="L1667" s="22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19"/>
      <c r="AH1667" s="5"/>
      <c r="AI1667" s="5"/>
      <c r="AJ1667" s="5"/>
      <c r="AK1667" s="5"/>
    </row>
    <row r="1668" spans="1:37" x14ac:dyDescent="0.25">
      <c r="A1668" s="182"/>
      <c r="B1668" s="6"/>
      <c r="C1668" s="6"/>
      <c r="D1668" s="15"/>
      <c r="E1668" s="22"/>
      <c r="F1668" s="22"/>
      <c r="G1668" s="22"/>
      <c r="I1668" s="5"/>
      <c r="J1668" s="5"/>
      <c r="K1668" s="22"/>
      <c r="L1668" s="22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19"/>
      <c r="AH1668" s="5"/>
      <c r="AI1668" s="5"/>
      <c r="AJ1668" s="5"/>
      <c r="AK1668" s="5"/>
    </row>
    <row r="1669" spans="1:37" x14ac:dyDescent="0.25">
      <c r="A1669" s="182"/>
      <c r="B1669" s="6"/>
      <c r="C1669" s="6"/>
      <c r="D1669" s="15"/>
      <c r="E1669" s="22"/>
      <c r="F1669" s="22"/>
      <c r="G1669" s="22"/>
      <c r="I1669" s="5"/>
      <c r="J1669" s="5"/>
      <c r="K1669" s="22"/>
      <c r="L1669" s="22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19"/>
      <c r="AH1669" s="5"/>
      <c r="AI1669" s="5"/>
      <c r="AJ1669" s="5"/>
      <c r="AK1669" s="5"/>
    </row>
    <row r="1670" spans="1:37" x14ac:dyDescent="0.25">
      <c r="A1670" s="182"/>
      <c r="B1670" s="6"/>
      <c r="C1670" s="6"/>
      <c r="D1670" s="15"/>
      <c r="E1670" s="22"/>
      <c r="F1670" s="22"/>
      <c r="G1670" s="22"/>
      <c r="I1670" s="5"/>
      <c r="J1670" s="5"/>
      <c r="K1670" s="22"/>
      <c r="L1670" s="22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19"/>
      <c r="AH1670" s="5"/>
      <c r="AI1670" s="5"/>
      <c r="AJ1670" s="5"/>
      <c r="AK1670" s="5"/>
    </row>
    <row r="1671" spans="1:37" x14ac:dyDescent="0.25">
      <c r="A1671" s="182"/>
      <c r="B1671" s="6"/>
      <c r="C1671" s="6"/>
      <c r="D1671" s="15"/>
      <c r="E1671" s="22"/>
      <c r="F1671" s="22"/>
      <c r="G1671" s="22"/>
      <c r="I1671" s="5"/>
      <c r="J1671" s="5"/>
      <c r="K1671" s="22"/>
      <c r="L1671" s="22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19"/>
      <c r="AH1671" s="5"/>
      <c r="AI1671" s="5"/>
      <c r="AJ1671" s="5"/>
      <c r="AK1671" s="5"/>
    </row>
    <row r="1672" spans="1:37" x14ac:dyDescent="0.25">
      <c r="A1672" s="182"/>
      <c r="B1672" s="6"/>
      <c r="C1672" s="6"/>
      <c r="D1672" s="15"/>
      <c r="E1672" s="22"/>
      <c r="F1672" s="22"/>
      <c r="G1672" s="22"/>
      <c r="I1672" s="5"/>
      <c r="J1672" s="5"/>
      <c r="K1672" s="22"/>
      <c r="L1672" s="22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19"/>
      <c r="AH1672" s="5"/>
      <c r="AI1672" s="5"/>
      <c r="AJ1672" s="5"/>
      <c r="AK1672" s="5"/>
    </row>
    <row r="1673" spans="1:37" x14ac:dyDescent="0.25">
      <c r="A1673" s="182"/>
      <c r="B1673" s="6"/>
      <c r="C1673" s="6"/>
      <c r="D1673" s="15"/>
      <c r="E1673" s="22"/>
      <c r="F1673" s="22"/>
      <c r="G1673" s="22"/>
      <c r="I1673" s="5"/>
      <c r="J1673" s="5"/>
      <c r="K1673" s="22"/>
      <c r="L1673" s="22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19"/>
      <c r="AH1673" s="5"/>
      <c r="AI1673" s="5"/>
      <c r="AJ1673" s="5"/>
      <c r="AK1673" s="5"/>
    </row>
    <row r="1674" spans="1:37" x14ac:dyDescent="0.25">
      <c r="A1674" s="182"/>
      <c r="B1674" s="6"/>
      <c r="C1674" s="6"/>
      <c r="D1674" s="15"/>
      <c r="E1674" s="22"/>
      <c r="F1674" s="22"/>
      <c r="G1674" s="22"/>
      <c r="I1674" s="5"/>
      <c r="J1674" s="5"/>
      <c r="K1674" s="22"/>
      <c r="L1674" s="22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19"/>
      <c r="AH1674" s="5"/>
      <c r="AI1674" s="5"/>
      <c r="AJ1674" s="5"/>
      <c r="AK1674" s="5"/>
    </row>
    <row r="1675" spans="1:37" x14ac:dyDescent="0.25">
      <c r="A1675" s="182"/>
      <c r="B1675" s="6"/>
      <c r="C1675" s="6"/>
      <c r="D1675" s="15"/>
      <c r="E1675" s="22"/>
      <c r="F1675" s="22"/>
      <c r="G1675" s="22"/>
      <c r="I1675" s="5"/>
      <c r="J1675" s="5"/>
      <c r="K1675" s="22"/>
      <c r="L1675" s="22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19"/>
      <c r="AH1675" s="5"/>
      <c r="AI1675" s="5"/>
      <c r="AJ1675" s="5"/>
      <c r="AK1675" s="5"/>
    </row>
    <row r="1676" spans="1:37" x14ac:dyDescent="0.25">
      <c r="A1676" s="182"/>
      <c r="B1676" s="6"/>
      <c r="C1676" s="6"/>
      <c r="D1676" s="15"/>
      <c r="E1676" s="22"/>
      <c r="F1676" s="22"/>
      <c r="G1676" s="22"/>
      <c r="I1676" s="5"/>
      <c r="J1676" s="5"/>
      <c r="K1676" s="22"/>
      <c r="L1676" s="22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19"/>
      <c r="AH1676" s="5"/>
      <c r="AI1676" s="5"/>
      <c r="AJ1676" s="5"/>
      <c r="AK1676" s="5"/>
    </row>
    <row r="1677" spans="1:37" x14ac:dyDescent="0.25">
      <c r="A1677" s="182"/>
      <c r="B1677" s="6"/>
      <c r="C1677" s="6"/>
      <c r="D1677" s="15"/>
      <c r="E1677" s="22"/>
      <c r="F1677" s="22"/>
      <c r="G1677" s="22"/>
      <c r="I1677" s="5"/>
      <c r="J1677" s="5"/>
      <c r="K1677" s="22"/>
      <c r="L1677" s="22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19"/>
      <c r="AH1677" s="5"/>
      <c r="AI1677" s="5"/>
      <c r="AJ1677" s="5"/>
      <c r="AK1677" s="5"/>
    </row>
    <row r="1678" spans="1:37" x14ac:dyDescent="0.25">
      <c r="A1678" s="182"/>
      <c r="B1678" s="6"/>
      <c r="C1678" s="6"/>
      <c r="D1678" s="15"/>
      <c r="E1678" s="22"/>
      <c r="F1678" s="22"/>
      <c r="G1678" s="22"/>
      <c r="I1678" s="5"/>
      <c r="J1678" s="5"/>
      <c r="K1678" s="22"/>
      <c r="L1678" s="22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19"/>
      <c r="AH1678" s="5"/>
      <c r="AI1678" s="5"/>
      <c r="AJ1678" s="5"/>
      <c r="AK1678" s="5"/>
    </row>
    <row r="1679" spans="1:37" x14ac:dyDescent="0.25">
      <c r="A1679" s="182"/>
      <c r="B1679" s="6"/>
      <c r="C1679" s="6"/>
      <c r="D1679" s="15"/>
      <c r="E1679" s="22"/>
      <c r="F1679" s="22"/>
      <c r="G1679" s="22"/>
      <c r="I1679" s="5"/>
      <c r="J1679" s="5"/>
      <c r="K1679" s="22"/>
      <c r="L1679" s="22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19"/>
      <c r="AH1679" s="5"/>
      <c r="AI1679" s="5"/>
      <c r="AJ1679" s="5"/>
      <c r="AK1679" s="5"/>
    </row>
    <row r="1680" spans="1:37" x14ac:dyDescent="0.25">
      <c r="A1680" s="182"/>
      <c r="B1680" s="6"/>
      <c r="C1680" s="6"/>
      <c r="D1680" s="15"/>
      <c r="E1680" s="22"/>
      <c r="F1680" s="22"/>
      <c r="G1680" s="22"/>
      <c r="I1680" s="5"/>
      <c r="J1680" s="5"/>
      <c r="K1680" s="22"/>
      <c r="L1680" s="22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19"/>
      <c r="AH1680" s="5"/>
      <c r="AI1680" s="5"/>
      <c r="AJ1680" s="5"/>
      <c r="AK1680" s="5"/>
    </row>
    <row r="1681" spans="1:37" x14ac:dyDescent="0.25">
      <c r="A1681" s="182"/>
      <c r="B1681" s="6"/>
      <c r="C1681" s="6"/>
      <c r="D1681" s="15"/>
      <c r="E1681" s="22"/>
      <c r="F1681" s="22"/>
      <c r="G1681" s="22"/>
      <c r="I1681" s="5"/>
      <c r="J1681" s="5"/>
      <c r="K1681" s="22"/>
      <c r="L1681" s="22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19"/>
      <c r="AH1681" s="5"/>
      <c r="AI1681" s="5"/>
      <c r="AJ1681" s="5"/>
      <c r="AK1681" s="5"/>
    </row>
    <row r="1682" spans="1:37" x14ac:dyDescent="0.25">
      <c r="A1682" s="182"/>
      <c r="B1682" s="6"/>
      <c r="C1682" s="6"/>
      <c r="D1682" s="15"/>
      <c r="E1682" s="22"/>
      <c r="F1682" s="22"/>
      <c r="G1682" s="22"/>
      <c r="I1682" s="5"/>
      <c r="J1682" s="5"/>
      <c r="K1682" s="22"/>
      <c r="L1682" s="22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19"/>
      <c r="AH1682" s="5"/>
      <c r="AI1682" s="5"/>
      <c r="AJ1682" s="5"/>
      <c r="AK1682" s="5"/>
    </row>
    <row r="1683" spans="1:37" x14ac:dyDescent="0.25">
      <c r="A1683" s="182"/>
      <c r="B1683" s="6"/>
      <c r="C1683" s="6"/>
      <c r="D1683" s="15"/>
      <c r="E1683" s="22"/>
      <c r="F1683" s="22"/>
      <c r="G1683" s="22"/>
      <c r="I1683" s="5"/>
      <c r="J1683" s="5"/>
      <c r="K1683" s="22"/>
      <c r="L1683" s="22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19"/>
      <c r="AH1683" s="5"/>
      <c r="AI1683" s="5"/>
      <c r="AJ1683" s="5"/>
      <c r="AK1683" s="5"/>
    </row>
    <row r="1684" spans="1:37" x14ac:dyDescent="0.25">
      <c r="A1684" s="182"/>
      <c r="B1684" s="6"/>
      <c r="C1684" s="6"/>
      <c r="D1684" s="15"/>
      <c r="E1684" s="22"/>
      <c r="F1684" s="22"/>
      <c r="G1684" s="22"/>
      <c r="I1684" s="5"/>
      <c r="J1684" s="5"/>
      <c r="K1684" s="22"/>
      <c r="L1684" s="22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19"/>
      <c r="AH1684" s="5"/>
      <c r="AI1684" s="5"/>
      <c r="AJ1684" s="5"/>
      <c r="AK1684" s="5"/>
    </row>
    <row r="1685" spans="1:37" x14ac:dyDescent="0.25">
      <c r="A1685" s="182"/>
      <c r="B1685" s="6"/>
      <c r="C1685" s="6"/>
      <c r="D1685" s="15"/>
      <c r="E1685" s="22"/>
      <c r="F1685" s="22"/>
      <c r="G1685" s="22"/>
      <c r="I1685" s="5"/>
      <c r="J1685" s="5"/>
      <c r="K1685" s="22"/>
      <c r="L1685" s="22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19"/>
      <c r="AH1685" s="5"/>
      <c r="AI1685" s="5"/>
      <c r="AJ1685" s="5"/>
      <c r="AK1685" s="5"/>
    </row>
    <row r="1686" spans="1:37" x14ac:dyDescent="0.25">
      <c r="A1686" s="182"/>
      <c r="B1686" s="6"/>
      <c r="C1686" s="6"/>
      <c r="D1686" s="15"/>
      <c r="E1686" s="22"/>
      <c r="F1686" s="22"/>
      <c r="G1686" s="22"/>
      <c r="I1686" s="5"/>
      <c r="J1686" s="5"/>
      <c r="K1686" s="22"/>
      <c r="L1686" s="22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19"/>
      <c r="AH1686" s="5"/>
      <c r="AI1686" s="5"/>
      <c r="AJ1686" s="5"/>
      <c r="AK1686" s="5"/>
    </row>
    <row r="1687" spans="1:37" x14ac:dyDescent="0.25">
      <c r="A1687" s="182"/>
      <c r="B1687" s="6"/>
      <c r="C1687" s="6"/>
      <c r="D1687" s="15"/>
      <c r="E1687" s="22"/>
      <c r="F1687" s="22"/>
      <c r="G1687" s="22"/>
      <c r="I1687" s="5"/>
      <c r="J1687" s="5"/>
      <c r="K1687" s="22"/>
      <c r="L1687" s="22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19"/>
      <c r="AH1687" s="5"/>
      <c r="AI1687" s="5"/>
      <c r="AJ1687" s="5"/>
      <c r="AK1687" s="5"/>
    </row>
    <row r="1688" spans="1:37" x14ac:dyDescent="0.25">
      <c r="A1688" s="182"/>
      <c r="B1688" s="6"/>
      <c r="C1688" s="6"/>
      <c r="D1688" s="15"/>
      <c r="E1688" s="22"/>
      <c r="F1688" s="22"/>
      <c r="G1688" s="22"/>
      <c r="I1688" s="5"/>
      <c r="J1688" s="5"/>
      <c r="K1688" s="22"/>
      <c r="L1688" s="22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19"/>
      <c r="AH1688" s="5"/>
      <c r="AI1688" s="5"/>
      <c r="AJ1688" s="5"/>
      <c r="AK1688" s="5"/>
    </row>
    <row r="1689" spans="1:37" x14ac:dyDescent="0.25">
      <c r="A1689" s="182"/>
      <c r="B1689" s="6"/>
      <c r="C1689" s="6"/>
      <c r="D1689" s="15"/>
      <c r="E1689" s="22"/>
      <c r="F1689" s="22"/>
      <c r="G1689" s="22"/>
      <c r="I1689" s="5"/>
      <c r="J1689" s="5"/>
      <c r="K1689" s="22"/>
      <c r="L1689" s="22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19"/>
      <c r="AH1689" s="5"/>
      <c r="AI1689" s="5"/>
      <c r="AJ1689" s="5"/>
      <c r="AK1689" s="5"/>
    </row>
    <row r="1690" spans="1:37" x14ac:dyDescent="0.25">
      <c r="A1690" s="182"/>
      <c r="B1690" s="6"/>
      <c r="C1690" s="6"/>
      <c r="D1690" s="15"/>
      <c r="E1690" s="22"/>
      <c r="F1690" s="22"/>
      <c r="G1690" s="22"/>
      <c r="I1690" s="5"/>
      <c r="J1690" s="5"/>
      <c r="K1690" s="22"/>
      <c r="L1690" s="22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19"/>
      <c r="AH1690" s="5"/>
      <c r="AI1690" s="5"/>
      <c r="AJ1690" s="5"/>
      <c r="AK1690" s="5"/>
    </row>
    <row r="1691" spans="1:37" x14ac:dyDescent="0.25">
      <c r="A1691" s="182"/>
      <c r="B1691" s="6"/>
      <c r="C1691" s="6"/>
      <c r="D1691" s="15"/>
      <c r="E1691" s="22"/>
      <c r="F1691" s="22"/>
      <c r="G1691" s="22"/>
      <c r="I1691" s="5"/>
      <c r="J1691" s="5"/>
      <c r="K1691" s="22"/>
      <c r="L1691" s="22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19"/>
      <c r="AH1691" s="5"/>
      <c r="AI1691" s="5"/>
      <c r="AJ1691" s="5"/>
      <c r="AK1691" s="5"/>
    </row>
    <row r="1692" spans="1:37" x14ac:dyDescent="0.25">
      <c r="A1692" s="182"/>
      <c r="B1692" s="6"/>
      <c r="C1692" s="6"/>
      <c r="D1692" s="15"/>
      <c r="E1692" s="22"/>
      <c r="F1692" s="22"/>
      <c r="G1692" s="22"/>
      <c r="I1692" s="5"/>
      <c r="J1692" s="5"/>
      <c r="K1692" s="22"/>
      <c r="L1692" s="22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19"/>
      <c r="AH1692" s="5"/>
      <c r="AI1692" s="5"/>
      <c r="AJ1692" s="5"/>
      <c r="AK1692" s="5"/>
    </row>
    <row r="1693" spans="1:37" x14ac:dyDescent="0.25">
      <c r="A1693" s="182"/>
      <c r="B1693" s="6"/>
      <c r="C1693" s="6"/>
      <c r="D1693" s="15"/>
      <c r="E1693" s="22"/>
      <c r="F1693" s="22"/>
      <c r="G1693" s="22"/>
      <c r="I1693" s="5"/>
      <c r="J1693" s="5"/>
      <c r="K1693" s="22"/>
      <c r="L1693" s="22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19"/>
      <c r="AH1693" s="5"/>
      <c r="AI1693" s="5"/>
      <c r="AJ1693" s="5"/>
      <c r="AK1693" s="5"/>
    </row>
    <row r="1694" spans="1:37" x14ac:dyDescent="0.25">
      <c r="A1694" s="182"/>
      <c r="B1694" s="6"/>
      <c r="C1694" s="6"/>
      <c r="D1694" s="15"/>
      <c r="E1694" s="22"/>
      <c r="F1694" s="22"/>
      <c r="G1694" s="22"/>
      <c r="I1694" s="5"/>
      <c r="J1694" s="5"/>
      <c r="K1694" s="22"/>
      <c r="L1694" s="22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19"/>
      <c r="AH1694" s="5"/>
      <c r="AI1694" s="5"/>
      <c r="AJ1694" s="5"/>
      <c r="AK1694" s="5"/>
    </row>
    <row r="1695" spans="1:37" x14ac:dyDescent="0.25">
      <c r="A1695" s="182"/>
      <c r="B1695" s="6"/>
      <c r="C1695" s="6"/>
      <c r="D1695" s="15"/>
      <c r="E1695" s="22"/>
      <c r="F1695" s="22"/>
      <c r="G1695" s="22"/>
      <c r="I1695" s="5"/>
      <c r="J1695" s="5"/>
      <c r="K1695" s="22"/>
      <c r="L1695" s="22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19"/>
      <c r="AH1695" s="5"/>
      <c r="AI1695" s="5"/>
      <c r="AJ1695" s="5"/>
      <c r="AK1695" s="5"/>
    </row>
    <row r="1696" spans="1:37" x14ac:dyDescent="0.25">
      <c r="A1696" s="182"/>
      <c r="B1696" s="6"/>
      <c r="C1696" s="6"/>
      <c r="D1696" s="15"/>
      <c r="E1696" s="22"/>
      <c r="F1696" s="22"/>
      <c r="G1696" s="22"/>
      <c r="I1696" s="5"/>
      <c r="J1696" s="5"/>
      <c r="K1696" s="22"/>
      <c r="L1696" s="22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19"/>
      <c r="AH1696" s="5"/>
      <c r="AI1696" s="5"/>
      <c r="AJ1696" s="5"/>
      <c r="AK1696" s="5"/>
    </row>
    <row r="1697" spans="1:37" x14ac:dyDescent="0.25">
      <c r="A1697" s="182"/>
      <c r="B1697" s="6"/>
      <c r="C1697" s="6"/>
      <c r="D1697" s="15"/>
      <c r="E1697" s="22"/>
      <c r="F1697" s="22"/>
      <c r="G1697" s="22"/>
      <c r="I1697" s="5"/>
      <c r="J1697" s="5"/>
      <c r="K1697" s="22"/>
      <c r="L1697" s="22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19"/>
      <c r="AH1697" s="5"/>
      <c r="AI1697" s="5"/>
      <c r="AJ1697" s="5"/>
      <c r="AK1697" s="5"/>
    </row>
    <row r="1698" spans="1:37" x14ac:dyDescent="0.25">
      <c r="A1698" s="182"/>
      <c r="B1698" s="6"/>
      <c r="C1698" s="6"/>
      <c r="D1698" s="15"/>
      <c r="E1698" s="22"/>
      <c r="F1698" s="22"/>
      <c r="G1698" s="22"/>
      <c r="I1698" s="5"/>
      <c r="J1698" s="5"/>
      <c r="K1698" s="22"/>
      <c r="L1698" s="22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19"/>
      <c r="AH1698" s="5"/>
      <c r="AI1698" s="5"/>
      <c r="AJ1698" s="5"/>
      <c r="AK1698" s="5"/>
    </row>
    <row r="1699" spans="1:37" x14ac:dyDescent="0.25">
      <c r="A1699" s="182"/>
      <c r="B1699" s="6"/>
      <c r="C1699" s="6"/>
      <c r="D1699" s="15"/>
      <c r="E1699" s="22"/>
      <c r="F1699" s="22"/>
      <c r="G1699" s="22"/>
      <c r="I1699" s="5"/>
      <c r="J1699" s="5"/>
      <c r="K1699" s="22"/>
      <c r="L1699" s="22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19"/>
      <c r="AH1699" s="5"/>
      <c r="AI1699" s="5"/>
      <c r="AJ1699" s="5"/>
      <c r="AK1699" s="5"/>
    </row>
    <row r="1700" spans="1:37" x14ac:dyDescent="0.25">
      <c r="A1700" s="182"/>
      <c r="B1700" s="6"/>
      <c r="C1700" s="6"/>
      <c r="D1700" s="15"/>
      <c r="E1700" s="22"/>
      <c r="F1700" s="22"/>
      <c r="G1700" s="22"/>
      <c r="I1700" s="5"/>
      <c r="J1700" s="5"/>
      <c r="K1700" s="22"/>
      <c r="L1700" s="22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19"/>
      <c r="AH1700" s="5"/>
      <c r="AI1700" s="5"/>
      <c r="AJ1700" s="5"/>
      <c r="AK1700" s="5"/>
    </row>
    <row r="1701" spans="1:37" x14ac:dyDescent="0.25">
      <c r="A1701" s="182"/>
      <c r="B1701" s="6"/>
      <c r="C1701" s="6"/>
      <c r="D1701" s="15"/>
      <c r="E1701" s="22"/>
      <c r="F1701" s="22"/>
      <c r="G1701" s="22"/>
      <c r="I1701" s="5"/>
      <c r="J1701" s="5"/>
      <c r="K1701" s="22"/>
      <c r="L1701" s="22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19"/>
      <c r="AH1701" s="5"/>
      <c r="AI1701" s="5"/>
      <c r="AJ1701" s="5"/>
      <c r="AK1701" s="5"/>
    </row>
    <row r="1702" spans="1:37" x14ac:dyDescent="0.25">
      <c r="A1702" s="182"/>
      <c r="B1702" s="6"/>
      <c r="C1702" s="6"/>
      <c r="D1702" s="15"/>
      <c r="E1702" s="22"/>
      <c r="F1702" s="22"/>
      <c r="G1702" s="22"/>
      <c r="I1702" s="5"/>
      <c r="J1702" s="5"/>
      <c r="K1702" s="22"/>
      <c r="L1702" s="22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19"/>
      <c r="AH1702" s="5"/>
      <c r="AI1702" s="5"/>
      <c r="AJ1702" s="5"/>
      <c r="AK1702" s="5"/>
    </row>
    <row r="1703" spans="1:37" x14ac:dyDescent="0.25">
      <c r="A1703" s="182"/>
      <c r="B1703" s="6"/>
      <c r="C1703" s="6"/>
      <c r="D1703" s="15"/>
      <c r="E1703" s="22"/>
      <c r="F1703" s="22"/>
      <c r="G1703" s="22"/>
      <c r="I1703" s="5"/>
      <c r="J1703" s="5"/>
      <c r="K1703" s="22"/>
      <c r="L1703" s="22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19"/>
      <c r="AH1703" s="5"/>
      <c r="AI1703" s="5"/>
      <c r="AJ1703" s="5"/>
      <c r="AK1703" s="5"/>
    </row>
    <row r="1704" spans="1:37" x14ac:dyDescent="0.25">
      <c r="A1704" s="182"/>
      <c r="B1704" s="6"/>
      <c r="C1704" s="6"/>
      <c r="D1704" s="15"/>
      <c r="E1704" s="22"/>
      <c r="F1704" s="22"/>
      <c r="G1704" s="22"/>
      <c r="I1704" s="5"/>
      <c r="J1704" s="5"/>
      <c r="K1704" s="22"/>
      <c r="L1704" s="22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19"/>
      <c r="AH1704" s="5"/>
      <c r="AI1704" s="5"/>
      <c r="AJ1704" s="5"/>
      <c r="AK1704" s="5"/>
    </row>
    <row r="1705" spans="1:37" x14ac:dyDescent="0.25">
      <c r="A1705" s="182"/>
      <c r="B1705" s="6"/>
      <c r="C1705" s="6"/>
      <c r="D1705" s="15"/>
      <c r="E1705" s="22"/>
      <c r="F1705" s="22"/>
      <c r="G1705" s="22"/>
      <c r="I1705" s="5"/>
      <c r="J1705" s="5"/>
      <c r="K1705" s="22"/>
      <c r="L1705" s="22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19"/>
      <c r="AH1705" s="5"/>
      <c r="AI1705" s="5"/>
      <c r="AJ1705" s="5"/>
      <c r="AK1705" s="5"/>
    </row>
    <row r="1706" spans="1:37" x14ac:dyDescent="0.25">
      <c r="A1706" s="182"/>
      <c r="B1706" s="6"/>
      <c r="C1706" s="6"/>
      <c r="D1706" s="15"/>
      <c r="E1706" s="22"/>
      <c r="F1706" s="22"/>
      <c r="G1706" s="22"/>
      <c r="I1706" s="5"/>
      <c r="J1706" s="5"/>
      <c r="K1706" s="22"/>
      <c r="L1706" s="22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19"/>
      <c r="AH1706" s="5"/>
      <c r="AI1706" s="5"/>
      <c r="AJ1706" s="5"/>
      <c r="AK1706" s="5"/>
    </row>
    <row r="1707" spans="1:37" x14ac:dyDescent="0.25">
      <c r="A1707" s="182"/>
      <c r="B1707" s="6"/>
      <c r="C1707" s="6"/>
      <c r="D1707" s="15"/>
      <c r="E1707" s="22"/>
      <c r="F1707" s="22"/>
      <c r="G1707" s="22"/>
      <c r="I1707" s="5"/>
      <c r="J1707" s="5"/>
      <c r="K1707" s="22"/>
      <c r="L1707" s="22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19"/>
      <c r="AH1707" s="5"/>
      <c r="AI1707" s="5"/>
      <c r="AJ1707" s="5"/>
      <c r="AK1707" s="5"/>
    </row>
    <row r="1708" spans="1:37" x14ac:dyDescent="0.25">
      <c r="A1708" s="182"/>
      <c r="B1708" s="6"/>
      <c r="C1708" s="6"/>
      <c r="D1708" s="15"/>
      <c r="E1708" s="22"/>
      <c r="F1708" s="22"/>
      <c r="G1708" s="22"/>
      <c r="I1708" s="5"/>
      <c r="J1708" s="5"/>
      <c r="K1708" s="22"/>
      <c r="L1708" s="22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19"/>
      <c r="AH1708" s="5"/>
      <c r="AI1708" s="5"/>
      <c r="AJ1708" s="5"/>
      <c r="AK1708" s="5"/>
    </row>
    <row r="1709" spans="1:37" x14ac:dyDescent="0.25">
      <c r="A1709" s="182"/>
      <c r="B1709" s="6"/>
      <c r="C1709" s="6"/>
      <c r="D1709" s="15"/>
      <c r="E1709" s="22"/>
      <c r="F1709" s="22"/>
      <c r="G1709" s="22"/>
      <c r="I1709" s="5"/>
      <c r="J1709" s="5"/>
      <c r="K1709" s="22"/>
      <c r="L1709" s="22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19"/>
      <c r="AH1709" s="5"/>
      <c r="AI1709" s="5"/>
      <c r="AJ1709" s="5"/>
      <c r="AK1709" s="5"/>
    </row>
    <row r="1710" spans="1:37" x14ac:dyDescent="0.25">
      <c r="A1710" s="182"/>
      <c r="B1710" s="6"/>
      <c r="C1710" s="6"/>
      <c r="D1710" s="15"/>
      <c r="E1710" s="22"/>
      <c r="F1710" s="22"/>
      <c r="G1710" s="22"/>
      <c r="I1710" s="5"/>
      <c r="J1710" s="5"/>
      <c r="K1710" s="22"/>
      <c r="L1710" s="22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19"/>
      <c r="AH1710" s="5"/>
      <c r="AI1710" s="5"/>
      <c r="AJ1710" s="5"/>
      <c r="AK1710" s="5"/>
    </row>
    <row r="1711" spans="1:37" x14ac:dyDescent="0.25">
      <c r="A1711" s="182"/>
      <c r="B1711" s="6"/>
      <c r="C1711" s="6"/>
      <c r="D1711" s="15"/>
      <c r="E1711" s="22"/>
      <c r="F1711" s="22"/>
      <c r="G1711" s="22"/>
      <c r="I1711" s="5"/>
      <c r="J1711" s="5"/>
      <c r="K1711" s="22"/>
      <c r="L1711" s="22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19"/>
      <c r="AH1711" s="5"/>
      <c r="AI1711" s="5"/>
      <c r="AJ1711" s="5"/>
      <c r="AK1711" s="5"/>
    </row>
    <row r="1712" spans="1:37" x14ac:dyDescent="0.25">
      <c r="A1712" s="182"/>
      <c r="B1712" s="6"/>
      <c r="C1712" s="6"/>
      <c r="D1712" s="15"/>
      <c r="E1712" s="22"/>
      <c r="F1712" s="22"/>
      <c r="G1712" s="22"/>
      <c r="I1712" s="5"/>
      <c r="J1712" s="5"/>
      <c r="K1712" s="22"/>
      <c r="L1712" s="22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19"/>
      <c r="AH1712" s="5"/>
      <c r="AI1712" s="5"/>
      <c r="AJ1712" s="5"/>
      <c r="AK1712" s="5"/>
    </row>
    <row r="1713" spans="1:37" x14ac:dyDescent="0.25">
      <c r="A1713" s="182"/>
      <c r="B1713" s="6"/>
      <c r="C1713" s="6"/>
      <c r="D1713" s="15"/>
      <c r="E1713" s="22"/>
      <c r="F1713" s="22"/>
      <c r="G1713" s="22"/>
      <c r="I1713" s="5"/>
      <c r="J1713" s="5"/>
      <c r="K1713" s="22"/>
      <c r="L1713" s="22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19"/>
      <c r="AH1713" s="5"/>
      <c r="AI1713" s="5"/>
      <c r="AJ1713" s="5"/>
      <c r="AK1713" s="5"/>
    </row>
    <row r="1714" spans="1:37" x14ac:dyDescent="0.25">
      <c r="A1714" s="182"/>
      <c r="B1714" s="6"/>
      <c r="C1714" s="6"/>
      <c r="D1714" s="15"/>
      <c r="E1714" s="22"/>
      <c r="F1714" s="22"/>
      <c r="G1714" s="22"/>
      <c r="I1714" s="5"/>
      <c r="J1714" s="5"/>
      <c r="K1714" s="22"/>
      <c r="L1714" s="22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19"/>
      <c r="AH1714" s="5"/>
      <c r="AI1714" s="5"/>
      <c r="AJ1714" s="5"/>
      <c r="AK1714" s="5"/>
    </row>
    <row r="1715" spans="1:37" x14ac:dyDescent="0.25">
      <c r="A1715" s="182"/>
      <c r="B1715" s="6"/>
      <c r="C1715" s="6"/>
      <c r="D1715" s="15"/>
      <c r="E1715" s="22"/>
      <c r="F1715" s="22"/>
      <c r="G1715" s="22"/>
      <c r="I1715" s="5"/>
      <c r="J1715" s="5"/>
      <c r="K1715" s="22"/>
      <c r="L1715" s="22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19"/>
      <c r="AH1715" s="5"/>
      <c r="AI1715" s="5"/>
      <c r="AJ1715" s="5"/>
      <c r="AK1715" s="5"/>
    </row>
    <row r="1716" spans="1:37" x14ac:dyDescent="0.25">
      <c r="A1716" s="182"/>
      <c r="B1716" s="6"/>
      <c r="C1716" s="6"/>
      <c r="D1716" s="15"/>
      <c r="E1716" s="22"/>
      <c r="F1716" s="22"/>
      <c r="G1716" s="22"/>
      <c r="I1716" s="5"/>
      <c r="J1716" s="5"/>
      <c r="K1716" s="22"/>
      <c r="L1716" s="22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19"/>
      <c r="AH1716" s="5"/>
      <c r="AI1716" s="5"/>
      <c r="AJ1716" s="5"/>
      <c r="AK1716" s="5"/>
    </row>
    <row r="1717" spans="1:37" x14ac:dyDescent="0.25">
      <c r="A1717" s="182"/>
      <c r="B1717" s="6"/>
      <c r="C1717" s="6"/>
      <c r="D1717" s="15"/>
      <c r="E1717" s="22"/>
      <c r="F1717" s="22"/>
      <c r="G1717" s="22"/>
      <c r="I1717" s="5"/>
      <c r="J1717" s="5"/>
      <c r="K1717" s="22"/>
      <c r="L1717" s="22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19"/>
      <c r="AH1717" s="5"/>
      <c r="AI1717" s="5"/>
      <c r="AJ1717" s="5"/>
      <c r="AK1717" s="5"/>
    </row>
    <row r="1718" spans="1:37" x14ac:dyDescent="0.25">
      <c r="A1718" s="182"/>
      <c r="B1718" s="6"/>
      <c r="C1718" s="6"/>
      <c r="D1718" s="15"/>
      <c r="E1718" s="22"/>
      <c r="F1718" s="22"/>
      <c r="G1718" s="22"/>
      <c r="I1718" s="5"/>
      <c r="J1718" s="5"/>
      <c r="K1718" s="22"/>
      <c r="L1718" s="22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19"/>
      <c r="AH1718" s="5"/>
      <c r="AI1718" s="5"/>
      <c r="AJ1718" s="5"/>
      <c r="AK1718" s="5"/>
    </row>
    <row r="1719" spans="1:37" x14ac:dyDescent="0.25">
      <c r="A1719" s="182"/>
      <c r="B1719" s="6"/>
      <c r="C1719" s="6"/>
      <c r="D1719" s="15"/>
      <c r="E1719" s="22"/>
      <c r="F1719" s="22"/>
      <c r="G1719" s="22"/>
      <c r="I1719" s="5"/>
      <c r="J1719" s="5"/>
      <c r="K1719" s="22"/>
      <c r="L1719" s="22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19"/>
      <c r="AH1719" s="5"/>
      <c r="AI1719" s="5"/>
      <c r="AJ1719" s="5"/>
      <c r="AK1719" s="5"/>
    </row>
    <row r="1720" spans="1:37" x14ac:dyDescent="0.25">
      <c r="A1720" s="182"/>
      <c r="B1720" s="6"/>
      <c r="C1720" s="6"/>
      <c r="D1720" s="15"/>
      <c r="E1720" s="22"/>
      <c r="F1720" s="22"/>
      <c r="G1720" s="22"/>
      <c r="I1720" s="5"/>
      <c r="J1720" s="5"/>
      <c r="K1720" s="22"/>
      <c r="L1720" s="22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19"/>
      <c r="AH1720" s="5"/>
      <c r="AI1720" s="5"/>
      <c r="AJ1720" s="5"/>
      <c r="AK1720" s="5"/>
    </row>
    <row r="1721" spans="1:37" x14ac:dyDescent="0.25">
      <c r="A1721" s="182"/>
      <c r="B1721" s="6"/>
      <c r="C1721" s="6"/>
      <c r="D1721" s="15"/>
      <c r="E1721" s="22"/>
      <c r="F1721" s="22"/>
      <c r="G1721" s="22"/>
      <c r="I1721" s="5"/>
      <c r="J1721" s="5"/>
      <c r="K1721" s="22"/>
      <c r="L1721" s="22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19"/>
      <c r="AH1721" s="5"/>
      <c r="AI1721" s="5"/>
      <c r="AJ1721" s="5"/>
      <c r="AK1721" s="5"/>
    </row>
    <row r="1722" spans="1:37" x14ac:dyDescent="0.25">
      <c r="A1722" s="182"/>
      <c r="B1722" s="6"/>
      <c r="C1722" s="6"/>
      <c r="D1722" s="15"/>
      <c r="E1722" s="22"/>
      <c r="F1722" s="22"/>
      <c r="G1722" s="22"/>
      <c r="I1722" s="5"/>
      <c r="J1722" s="5"/>
      <c r="K1722" s="22"/>
      <c r="L1722" s="22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19"/>
      <c r="AH1722" s="5"/>
      <c r="AI1722" s="5"/>
      <c r="AJ1722" s="5"/>
      <c r="AK1722" s="5"/>
    </row>
    <row r="1723" spans="1:37" x14ac:dyDescent="0.25">
      <c r="A1723" s="182"/>
      <c r="B1723" s="6"/>
      <c r="C1723" s="6"/>
      <c r="D1723" s="15"/>
      <c r="E1723" s="22"/>
      <c r="F1723" s="22"/>
      <c r="G1723" s="22"/>
      <c r="I1723" s="5"/>
      <c r="J1723" s="5"/>
      <c r="K1723" s="22"/>
      <c r="L1723" s="22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19"/>
      <c r="AH1723" s="5"/>
      <c r="AI1723" s="5"/>
      <c r="AJ1723" s="5"/>
      <c r="AK1723" s="5"/>
    </row>
    <row r="1724" spans="1:37" x14ac:dyDescent="0.25">
      <c r="A1724" s="182"/>
      <c r="B1724" s="6"/>
      <c r="C1724" s="6"/>
      <c r="D1724" s="15"/>
      <c r="E1724" s="22"/>
      <c r="F1724" s="22"/>
      <c r="G1724" s="22"/>
      <c r="I1724" s="5"/>
      <c r="J1724" s="5"/>
      <c r="K1724" s="22"/>
      <c r="L1724" s="22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19"/>
      <c r="AH1724" s="5"/>
      <c r="AI1724" s="5"/>
      <c r="AJ1724" s="5"/>
      <c r="AK1724" s="5"/>
    </row>
    <row r="1725" spans="1:37" x14ac:dyDescent="0.25">
      <c r="A1725" s="182"/>
      <c r="B1725" s="6"/>
      <c r="C1725" s="6"/>
      <c r="D1725" s="15"/>
      <c r="E1725" s="22"/>
      <c r="F1725" s="22"/>
      <c r="G1725" s="22"/>
      <c r="I1725" s="5"/>
      <c r="J1725" s="5"/>
      <c r="K1725" s="22"/>
      <c r="L1725" s="22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19"/>
      <c r="AH1725" s="5"/>
      <c r="AI1725" s="5"/>
      <c r="AJ1725" s="5"/>
      <c r="AK1725" s="5"/>
    </row>
    <row r="1726" spans="1:37" x14ac:dyDescent="0.25">
      <c r="A1726" s="182"/>
      <c r="B1726" s="6"/>
      <c r="C1726" s="6"/>
      <c r="D1726" s="15"/>
      <c r="E1726" s="22"/>
      <c r="F1726" s="22"/>
      <c r="G1726" s="22"/>
      <c r="I1726" s="5"/>
      <c r="J1726" s="5"/>
      <c r="K1726" s="22"/>
      <c r="L1726" s="22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19"/>
      <c r="AH1726" s="5"/>
      <c r="AI1726" s="5"/>
      <c r="AJ1726" s="5"/>
      <c r="AK1726" s="5"/>
    </row>
    <row r="1727" spans="1:37" x14ac:dyDescent="0.25">
      <c r="A1727" s="182"/>
      <c r="B1727" s="6"/>
      <c r="C1727" s="6"/>
      <c r="D1727" s="15"/>
      <c r="E1727" s="22"/>
      <c r="F1727" s="22"/>
      <c r="G1727" s="22"/>
      <c r="I1727" s="5"/>
      <c r="J1727" s="5"/>
      <c r="K1727" s="22"/>
      <c r="L1727" s="22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19"/>
      <c r="AH1727" s="5"/>
      <c r="AI1727" s="5"/>
      <c r="AJ1727" s="5"/>
      <c r="AK1727" s="5"/>
    </row>
    <row r="1728" spans="1:37" x14ac:dyDescent="0.25">
      <c r="A1728" s="182"/>
      <c r="B1728" s="6"/>
      <c r="C1728" s="6"/>
      <c r="D1728" s="15"/>
      <c r="E1728" s="22"/>
      <c r="F1728" s="22"/>
      <c r="G1728" s="22"/>
      <c r="I1728" s="5"/>
      <c r="J1728" s="5"/>
      <c r="K1728" s="22"/>
      <c r="L1728" s="22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19"/>
      <c r="AH1728" s="5"/>
      <c r="AI1728" s="5"/>
      <c r="AJ1728" s="5"/>
      <c r="AK1728" s="5"/>
    </row>
    <row r="1729" spans="1:37" x14ac:dyDescent="0.25">
      <c r="A1729" s="182"/>
      <c r="B1729" s="6"/>
      <c r="C1729" s="6"/>
      <c r="D1729" s="15"/>
      <c r="E1729" s="22"/>
      <c r="F1729" s="22"/>
      <c r="G1729" s="22"/>
      <c r="I1729" s="5"/>
      <c r="J1729" s="5"/>
      <c r="K1729" s="22"/>
      <c r="L1729" s="22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19"/>
      <c r="AH1729" s="5"/>
      <c r="AI1729" s="5"/>
      <c r="AJ1729" s="5"/>
      <c r="AK1729" s="5"/>
    </row>
    <row r="1730" spans="1:37" x14ac:dyDescent="0.25">
      <c r="A1730" s="182"/>
      <c r="B1730" s="6"/>
      <c r="C1730" s="6"/>
      <c r="D1730" s="15"/>
      <c r="E1730" s="22"/>
      <c r="F1730" s="22"/>
      <c r="G1730" s="22"/>
      <c r="I1730" s="5"/>
      <c r="J1730" s="5"/>
      <c r="K1730" s="22"/>
      <c r="L1730" s="22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19"/>
      <c r="AH1730" s="5"/>
      <c r="AI1730" s="5"/>
      <c r="AJ1730" s="5"/>
      <c r="AK1730" s="5"/>
    </row>
    <row r="1731" spans="1:37" x14ac:dyDescent="0.25">
      <c r="A1731" s="182"/>
      <c r="B1731" s="6"/>
      <c r="C1731" s="6"/>
      <c r="D1731" s="15"/>
      <c r="E1731" s="22"/>
      <c r="F1731" s="22"/>
      <c r="G1731" s="22"/>
      <c r="I1731" s="5"/>
      <c r="J1731" s="5"/>
      <c r="K1731" s="22"/>
      <c r="L1731" s="22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19"/>
      <c r="AH1731" s="5"/>
      <c r="AI1731" s="5"/>
      <c r="AJ1731" s="5"/>
      <c r="AK1731" s="5"/>
    </row>
    <row r="1732" spans="1:37" x14ac:dyDescent="0.25">
      <c r="A1732" s="182"/>
      <c r="B1732" s="6"/>
      <c r="C1732" s="6"/>
      <c r="D1732" s="15"/>
      <c r="E1732" s="22"/>
      <c r="F1732" s="22"/>
      <c r="G1732" s="22"/>
      <c r="I1732" s="5"/>
      <c r="J1732" s="5"/>
      <c r="K1732" s="22"/>
      <c r="L1732" s="22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19"/>
      <c r="AH1732" s="5"/>
      <c r="AI1732" s="5"/>
      <c r="AJ1732" s="5"/>
      <c r="AK1732" s="5"/>
    </row>
    <row r="1733" spans="1:37" x14ac:dyDescent="0.25">
      <c r="A1733" s="182"/>
      <c r="B1733" s="6"/>
      <c r="C1733" s="6"/>
      <c r="D1733" s="15"/>
      <c r="E1733" s="22"/>
      <c r="F1733" s="22"/>
      <c r="G1733" s="22"/>
      <c r="I1733" s="5"/>
      <c r="J1733" s="5"/>
      <c r="K1733" s="22"/>
      <c r="L1733" s="22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19"/>
      <c r="AH1733" s="5"/>
      <c r="AI1733" s="5"/>
      <c r="AJ1733" s="5"/>
      <c r="AK1733" s="5"/>
    </row>
    <row r="1734" spans="1:37" x14ac:dyDescent="0.25">
      <c r="A1734" s="182"/>
      <c r="B1734" s="6"/>
      <c r="C1734" s="6"/>
      <c r="D1734" s="15"/>
      <c r="E1734" s="22"/>
      <c r="F1734" s="22"/>
      <c r="G1734" s="22"/>
      <c r="I1734" s="5"/>
      <c r="J1734" s="5"/>
      <c r="K1734" s="22"/>
      <c r="L1734" s="22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19"/>
      <c r="AH1734" s="5"/>
      <c r="AI1734" s="5"/>
      <c r="AJ1734" s="5"/>
      <c r="AK1734" s="5"/>
    </row>
    <row r="1735" spans="1:37" x14ac:dyDescent="0.25">
      <c r="A1735" s="182"/>
      <c r="B1735" s="6"/>
      <c r="C1735" s="6"/>
      <c r="D1735" s="15"/>
      <c r="E1735" s="22"/>
      <c r="F1735" s="22"/>
      <c r="G1735" s="22"/>
      <c r="I1735" s="5"/>
      <c r="J1735" s="5"/>
      <c r="K1735" s="22"/>
      <c r="L1735" s="22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19"/>
      <c r="AH1735" s="5"/>
      <c r="AI1735" s="5"/>
      <c r="AJ1735" s="5"/>
      <c r="AK1735" s="5"/>
    </row>
    <row r="1736" spans="1:37" x14ac:dyDescent="0.25">
      <c r="A1736" s="182"/>
      <c r="B1736" s="6"/>
      <c r="C1736" s="6"/>
      <c r="D1736" s="15"/>
      <c r="E1736" s="22"/>
      <c r="F1736" s="22"/>
      <c r="G1736" s="22"/>
      <c r="I1736" s="5"/>
      <c r="J1736" s="5"/>
      <c r="K1736" s="22"/>
      <c r="L1736" s="22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19"/>
      <c r="AH1736" s="5"/>
      <c r="AI1736" s="5"/>
      <c r="AJ1736" s="5"/>
      <c r="AK1736" s="5"/>
    </row>
    <row r="1737" spans="1:37" x14ac:dyDescent="0.25">
      <c r="A1737" s="182"/>
      <c r="B1737" s="6"/>
      <c r="C1737" s="6"/>
      <c r="D1737" s="15"/>
      <c r="E1737" s="22"/>
      <c r="F1737" s="22"/>
      <c r="G1737" s="22"/>
      <c r="I1737" s="5"/>
      <c r="J1737" s="5"/>
      <c r="K1737" s="22"/>
      <c r="L1737" s="22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19"/>
      <c r="AH1737" s="5"/>
      <c r="AI1737" s="5"/>
      <c r="AJ1737" s="5"/>
      <c r="AK1737" s="5"/>
    </row>
    <row r="1738" spans="1:37" x14ac:dyDescent="0.25">
      <c r="A1738" s="182"/>
      <c r="B1738" s="6"/>
      <c r="C1738" s="6"/>
      <c r="D1738" s="15"/>
      <c r="E1738" s="22"/>
      <c r="F1738" s="22"/>
      <c r="G1738" s="22"/>
      <c r="I1738" s="5"/>
      <c r="J1738" s="5"/>
      <c r="K1738" s="22"/>
      <c r="L1738" s="22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19"/>
      <c r="AH1738" s="5"/>
      <c r="AI1738" s="5"/>
      <c r="AJ1738" s="5"/>
      <c r="AK1738" s="5"/>
    </row>
    <row r="1739" spans="1:37" x14ac:dyDescent="0.25">
      <c r="A1739" s="182"/>
      <c r="B1739" s="6"/>
      <c r="C1739" s="6"/>
      <c r="D1739" s="15"/>
      <c r="E1739" s="22"/>
      <c r="F1739" s="22"/>
      <c r="G1739" s="22"/>
      <c r="I1739" s="5"/>
      <c r="J1739" s="5"/>
      <c r="K1739" s="22"/>
      <c r="L1739" s="22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19"/>
      <c r="AH1739" s="5"/>
      <c r="AI1739" s="5"/>
      <c r="AJ1739" s="5"/>
      <c r="AK1739" s="5"/>
    </row>
    <row r="1740" spans="1:37" x14ac:dyDescent="0.25">
      <c r="A1740" s="182"/>
      <c r="B1740" s="6"/>
      <c r="C1740" s="6"/>
      <c r="D1740" s="15"/>
      <c r="E1740" s="22"/>
      <c r="F1740" s="22"/>
      <c r="G1740" s="22"/>
      <c r="I1740" s="5"/>
      <c r="J1740" s="5"/>
      <c r="K1740" s="22"/>
      <c r="L1740" s="22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19"/>
      <c r="AH1740" s="5"/>
      <c r="AI1740" s="5"/>
      <c r="AJ1740" s="5"/>
      <c r="AK1740" s="5"/>
    </row>
    <row r="1741" spans="1:37" x14ac:dyDescent="0.25">
      <c r="A1741" s="182"/>
      <c r="B1741" s="6"/>
      <c r="C1741" s="6"/>
      <c r="D1741" s="15"/>
      <c r="E1741" s="22"/>
      <c r="F1741" s="22"/>
      <c r="G1741" s="22"/>
      <c r="I1741" s="5"/>
      <c r="J1741" s="5"/>
      <c r="K1741" s="22"/>
      <c r="L1741" s="22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19"/>
      <c r="AH1741" s="5"/>
      <c r="AI1741" s="5"/>
      <c r="AJ1741" s="5"/>
      <c r="AK1741" s="5"/>
    </row>
    <row r="1742" spans="1:37" x14ac:dyDescent="0.25">
      <c r="A1742" s="182"/>
      <c r="B1742" s="6"/>
      <c r="C1742" s="6"/>
      <c r="D1742" s="15"/>
      <c r="E1742" s="22"/>
      <c r="F1742" s="22"/>
      <c r="G1742" s="22"/>
      <c r="I1742" s="5"/>
      <c r="J1742" s="5"/>
      <c r="K1742" s="22"/>
      <c r="L1742" s="22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19"/>
      <c r="AH1742" s="5"/>
      <c r="AI1742" s="5"/>
      <c r="AJ1742" s="5"/>
      <c r="AK1742" s="5"/>
    </row>
    <row r="1743" spans="1:37" x14ac:dyDescent="0.25">
      <c r="A1743" s="182"/>
      <c r="B1743" s="6"/>
      <c r="C1743" s="6"/>
      <c r="D1743" s="15"/>
      <c r="E1743" s="22"/>
      <c r="F1743" s="22"/>
      <c r="G1743" s="22"/>
      <c r="I1743" s="5"/>
      <c r="J1743" s="5"/>
      <c r="K1743" s="22"/>
      <c r="L1743" s="22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19"/>
      <c r="AH1743" s="5"/>
      <c r="AI1743" s="5"/>
      <c r="AJ1743" s="5"/>
      <c r="AK1743" s="5"/>
    </row>
    <row r="1744" spans="1:37" x14ac:dyDescent="0.25">
      <c r="A1744" s="182"/>
      <c r="B1744" s="6"/>
      <c r="C1744" s="6"/>
      <c r="D1744" s="15"/>
      <c r="E1744" s="22"/>
      <c r="F1744" s="22"/>
      <c r="G1744" s="22"/>
      <c r="I1744" s="5"/>
      <c r="J1744" s="5"/>
      <c r="K1744" s="22"/>
      <c r="L1744" s="22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19"/>
      <c r="AH1744" s="5"/>
      <c r="AI1744" s="5"/>
      <c r="AJ1744" s="5"/>
      <c r="AK1744" s="5"/>
    </row>
    <row r="1745" spans="1:37" x14ac:dyDescent="0.25">
      <c r="A1745" s="182"/>
      <c r="B1745" s="6"/>
      <c r="C1745" s="6"/>
      <c r="D1745" s="15"/>
      <c r="E1745" s="22"/>
      <c r="F1745" s="22"/>
      <c r="G1745" s="22"/>
      <c r="I1745" s="5"/>
      <c r="J1745" s="5"/>
      <c r="K1745" s="22"/>
      <c r="L1745" s="22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19"/>
      <c r="AH1745" s="5"/>
      <c r="AI1745" s="5"/>
      <c r="AJ1745" s="5"/>
      <c r="AK1745" s="5"/>
    </row>
    <row r="1746" spans="1:37" x14ac:dyDescent="0.25">
      <c r="A1746" s="182"/>
      <c r="B1746" s="6"/>
      <c r="C1746" s="6"/>
      <c r="D1746" s="15"/>
      <c r="E1746" s="22"/>
      <c r="F1746" s="22"/>
      <c r="G1746" s="22"/>
      <c r="I1746" s="5"/>
      <c r="J1746" s="5"/>
      <c r="K1746" s="22"/>
      <c r="L1746" s="22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19"/>
      <c r="AH1746" s="5"/>
      <c r="AI1746" s="5"/>
      <c r="AJ1746" s="5"/>
      <c r="AK1746" s="5"/>
    </row>
    <row r="1747" spans="1:37" x14ac:dyDescent="0.25">
      <c r="A1747" s="182"/>
      <c r="B1747" s="6"/>
      <c r="C1747" s="6"/>
      <c r="D1747" s="15"/>
      <c r="E1747" s="22"/>
      <c r="F1747" s="22"/>
      <c r="G1747" s="22"/>
      <c r="I1747" s="5"/>
      <c r="J1747" s="5"/>
      <c r="K1747" s="22"/>
      <c r="L1747" s="22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19"/>
      <c r="AH1747" s="5"/>
      <c r="AI1747" s="5"/>
      <c r="AJ1747" s="5"/>
      <c r="AK1747" s="5"/>
    </row>
    <row r="1748" spans="1:37" x14ac:dyDescent="0.25">
      <c r="A1748" s="182"/>
      <c r="B1748" s="6"/>
      <c r="C1748" s="6"/>
      <c r="D1748" s="15"/>
      <c r="E1748" s="22"/>
      <c r="F1748" s="22"/>
      <c r="G1748" s="22"/>
      <c r="I1748" s="5"/>
      <c r="J1748" s="5"/>
      <c r="K1748" s="22"/>
      <c r="L1748" s="22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19"/>
      <c r="AH1748" s="5"/>
      <c r="AI1748" s="5"/>
      <c r="AJ1748" s="5"/>
      <c r="AK1748" s="5"/>
    </row>
    <row r="1749" spans="1:37" x14ac:dyDescent="0.25">
      <c r="A1749" s="182"/>
      <c r="B1749" s="6"/>
      <c r="C1749" s="6"/>
      <c r="D1749" s="15"/>
      <c r="E1749" s="22"/>
      <c r="F1749" s="22"/>
      <c r="G1749" s="22"/>
      <c r="I1749" s="5"/>
      <c r="J1749" s="5"/>
      <c r="K1749" s="22"/>
      <c r="L1749" s="22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19"/>
      <c r="AH1749" s="5"/>
      <c r="AI1749" s="5"/>
      <c r="AJ1749" s="5"/>
      <c r="AK1749" s="5"/>
    </row>
    <row r="1750" spans="1:37" x14ac:dyDescent="0.25">
      <c r="A1750" s="182"/>
      <c r="B1750" s="6"/>
      <c r="C1750" s="6"/>
      <c r="D1750" s="15"/>
      <c r="E1750" s="22"/>
      <c r="F1750" s="22"/>
      <c r="G1750" s="22"/>
      <c r="I1750" s="5"/>
      <c r="J1750" s="5"/>
      <c r="K1750" s="22"/>
      <c r="L1750" s="22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19"/>
      <c r="AH1750" s="5"/>
      <c r="AI1750" s="5"/>
      <c r="AJ1750" s="5"/>
      <c r="AK1750" s="5"/>
    </row>
    <row r="1751" spans="1:37" x14ac:dyDescent="0.25">
      <c r="A1751" s="182"/>
      <c r="B1751" s="6"/>
      <c r="C1751" s="6"/>
      <c r="D1751" s="15"/>
      <c r="E1751" s="22"/>
      <c r="F1751" s="22"/>
      <c r="G1751" s="22"/>
      <c r="I1751" s="5"/>
      <c r="J1751" s="5"/>
      <c r="K1751" s="22"/>
      <c r="L1751" s="22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19"/>
      <c r="AH1751" s="5"/>
      <c r="AI1751" s="5"/>
      <c r="AJ1751" s="5"/>
      <c r="AK1751" s="5"/>
    </row>
    <row r="1752" spans="1:37" x14ac:dyDescent="0.25">
      <c r="A1752" s="182"/>
      <c r="B1752" s="6"/>
      <c r="C1752" s="6"/>
      <c r="D1752" s="15"/>
      <c r="E1752" s="22"/>
      <c r="F1752" s="22"/>
      <c r="G1752" s="22"/>
      <c r="I1752" s="5"/>
      <c r="J1752" s="5"/>
      <c r="K1752" s="22"/>
      <c r="L1752" s="22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19"/>
      <c r="AH1752" s="5"/>
      <c r="AI1752" s="5"/>
      <c r="AJ1752" s="5"/>
      <c r="AK1752" s="5"/>
    </row>
    <row r="1753" spans="1:37" x14ac:dyDescent="0.25">
      <c r="A1753" s="182"/>
      <c r="B1753" s="6"/>
      <c r="C1753" s="6"/>
      <c r="D1753" s="15"/>
      <c r="E1753" s="22"/>
      <c r="F1753" s="22"/>
      <c r="G1753" s="22"/>
      <c r="I1753" s="5"/>
      <c r="J1753" s="5"/>
      <c r="K1753" s="22"/>
      <c r="L1753" s="22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19"/>
      <c r="AH1753" s="5"/>
      <c r="AI1753" s="5"/>
      <c r="AJ1753" s="5"/>
      <c r="AK1753" s="5"/>
    </row>
    <row r="1754" spans="1:37" x14ac:dyDescent="0.25">
      <c r="A1754" s="182"/>
      <c r="B1754" s="6"/>
      <c r="C1754" s="6"/>
      <c r="D1754" s="15"/>
      <c r="E1754" s="22"/>
      <c r="F1754" s="22"/>
      <c r="G1754" s="22"/>
      <c r="I1754" s="5"/>
      <c r="J1754" s="5"/>
      <c r="K1754" s="22"/>
      <c r="L1754" s="22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19"/>
      <c r="AH1754" s="5"/>
      <c r="AI1754" s="5"/>
      <c r="AJ1754" s="5"/>
      <c r="AK1754" s="5"/>
    </row>
    <row r="1755" spans="1:37" x14ac:dyDescent="0.25">
      <c r="A1755" s="182"/>
      <c r="B1755" s="6"/>
      <c r="C1755" s="6"/>
      <c r="D1755" s="15"/>
      <c r="E1755" s="22"/>
      <c r="F1755" s="22"/>
      <c r="G1755" s="22"/>
      <c r="I1755" s="5"/>
      <c r="J1755" s="5"/>
      <c r="K1755" s="22"/>
      <c r="L1755" s="22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19"/>
      <c r="AH1755" s="5"/>
      <c r="AI1755" s="5"/>
      <c r="AJ1755" s="5"/>
      <c r="AK1755" s="5"/>
    </row>
    <row r="1756" spans="1:37" x14ac:dyDescent="0.25">
      <c r="A1756" s="182"/>
      <c r="B1756" s="6"/>
      <c r="C1756" s="6"/>
      <c r="D1756" s="15"/>
      <c r="E1756" s="22"/>
      <c r="F1756" s="22"/>
      <c r="G1756" s="22"/>
      <c r="I1756" s="5"/>
      <c r="J1756" s="5"/>
      <c r="K1756" s="22"/>
      <c r="L1756" s="22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19"/>
      <c r="AH1756" s="5"/>
      <c r="AI1756" s="5"/>
      <c r="AJ1756" s="5"/>
      <c r="AK1756" s="5"/>
    </row>
    <row r="1757" spans="1:37" x14ac:dyDescent="0.25">
      <c r="A1757" s="182"/>
      <c r="B1757" s="6"/>
      <c r="C1757" s="6"/>
      <c r="D1757" s="15"/>
      <c r="E1757" s="22"/>
      <c r="F1757" s="22"/>
      <c r="G1757" s="22"/>
      <c r="I1757" s="5"/>
      <c r="J1757" s="5"/>
      <c r="K1757" s="22"/>
      <c r="L1757" s="22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19"/>
      <c r="AH1757" s="5"/>
      <c r="AI1757" s="5"/>
      <c r="AJ1757" s="5"/>
      <c r="AK1757" s="5"/>
    </row>
    <row r="1758" spans="1:37" x14ac:dyDescent="0.25">
      <c r="A1758" s="182"/>
      <c r="B1758" s="6"/>
      <c r="C1758" s="6"/>
      <c r="D1758" s="15"/>
      <c r="E1758" s="22"/>
      <c r="F1758" s="22"/>
      <c r="G1758" s="22"/>
      <c r="I1758" s="5"/>
      <c r="J1758" s="5"/>
      <c r="K1758" s="22"/>
      <c r="L1758" s="22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19"/>
      <c r="AH1758" s="5"/>
      <c r="AI1758" s="5"/>
      <c r="AJ1758" s="5"/>
      <c r="AK1758" s="5"/>
    </row>
    <row r="1759" spans="1:37" x14ac:dyDescent="0.25">
      <c r="A1759" s="182"/>
      <c r="B1759" s="6"/>
      <c r="C1759" s="6"/>
      <c r="D1759" s="15"/>
      <c r="E1759" s="22"/>
      <c r="F1759" s="22"/>
      <c r="G1759" s="22"/>
      <c r="I1759" s="5"/>
      <c r="J1759" s="5"/>
      <c r="K1759" s="22"/>
      <c r="L1759" s="22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19"/>
      <c r="AH1759" s="5"/>
      <c r="AI1759" s="5"/>
      <c r="AJ1759" s="5"/>
      <c r="AK1759" s="5"/>
    </row>
    <row r="1760" spans="1:37" x14ac:dyDescent="0.25">
      <c r="A1760" s="182"/>
      <c r="B1760" s="6"/>
      <c r="C1760" s="6"/>
      <c r="D1760" s="15"/>
      <c r="E1760" s="22"/>
      <c r="F1760" s="22"/>
      <c r="G1760" s="22"/>
      <c r="I1760" s="5"/>
      <c r="J1760" s="5"/>
      <c r="K1760" s="22"/>
      <c r="L1760" s="22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19"/>
      <c r="AH1760" s="5"/>
      <c r="AI1760" s="5"/>
      <c r="AJ1760" s="5"/>
      <c r="AK1760" s="5"/>
    </row>
    <row r="1761" spans="1:37" x14ac:dyDescent="0.25">
      <c r="A1761" s="182"/>
      <c r="B1761" s="6"/>
      <c r="C1761" s="6"/>
      <c r="D1761" s="15"/>
      <c r="E1761" s="22"/>
      <c r="F1761" s="22"/>
      <c r="G1761" s="22"/>
      <c r="I1761" s="5"/>
      <c r="J1761" s="5"/>
      <c r="K1761" s="22"/>
      <c r="L1761" s="22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19"/>
      <c r="AH1761" s="5"/>
      <c r="AI1761" s="5"/>
      <c r="AJ1761" s="5"/>
      <c r="AK1761" s="5"/>
    </row>
    <row r="1762" spans="1:37" x14ac:dyDescent="0.25">
      <c r="A1762" s="182"/>
      <c r="B1762" s="6"/>
      <c r="C1762" s="6"/>
      <c r="D1762" s="15"/>
      <c r="E1762" s="22"/>
      <c r="F1762" s="22"/>
      <c r="G1762" s="22"/>
      <c r="I1762" s="5"/>
      <c r="J1762" s="5"/>
      <c r="K1762" s="22"/>
      <c r="L1762" s="22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19"/>
      <c r="AH1762" s="5"/>
      <c r="AI1762" s="5"/>
      <c r="AJ1762" s="5"/>
      <c r="AK1762" s="5"/>
    </row>
    <row r="1763" spans="1:37" x14ac:dyDescent="0.25">
      <c r="A1763" s="182"/>
      <c r="B1763" s="6"/>
      <c r="C1763" s="6"/>
      <c r="D1763" s="15"/>
      <c r="E1763" s="22"/>
      <c r="F1763" s="22"/>
      <c r="G1763" s="22"/>
      <c r="I1763" s="5"/>
      <c r="J1763" s="5"/>
      <c r="K1763" s="22"/>
      <c r="L1763" s="22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19"/>
      <c r="AH1763" s="5"/>
      <c r="AI1763" s="5"/>
      <c r="AJ1763" s="5"/>
      <c r="AK1763" s="5"/>
    </row>
    <row r="1764" spans="1:37" x14ac:dyDescent="0.25">
      <c r="A1764" s="182"/>
      <c r="B1764" s="6"/>
      <c r="C1764" s="6"/>
      <c r="D1764" s="15"/>
      <c r="E1764" s="22"/>
      <c r="F1764" s="22"/>
      <c r="G1764" s="22"/>
      <c r="I1764" s="5"/>
      <c r="J1764" s="5"/>
      <c r="K1764" s="22"/>
      <c r="L1764" s="22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19"/>
      <c r="AH1764" s="5"/>
      <c r="AI1764" s="5"/>
      <c r="AJ1764" s="5"/>
      <c r="AK1764" s="5"/>
    </row>
    <row r="1765" spans="1:37" x14ac:dyDescent="0.25">
      <c r="A1765" s="182"/>
      <c r="B1765" s="6"/>
      <c r="C1765" s="6"/>
      <c r="D1765" s="15"/>
      <c r="E1765" s="22"/>
      <c r="F1765" s="22"/>
      <c r="G1765" s="22"/>
      <c r="I1765" s="5"/>
      <c r="J1765" s="5"/>
      <c r="K1765" s="22"/>
      <c r="L1765" s="22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19"/>
      <c r="AH1765" s="5"/>
      <c r="AI1765" s="5"/>
      <c r="AJ1765" s="5"/>
      <c r="AK1765" s="5"/>
    </row>
    <row r="1766" spans="1:37" x14ac:dyDescent="0.25">
      <c r="A1766" s="182"/>
      <c r="B1766" s="6"/>
      <c r="C1766" s="6"/>
      <c r="D1766" s="15"/>
      <c r="E1766" s="22"/>
      <c r="F1766" s="22"/>
      <c r="G1766" s="22"/>
      <c r="I1766" s="5"/>
      <c r="J1766" s="5"/>
      <c r="K1766" s="22"/>
      <c r="L1766" s="22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19"/>
      <c r="AH1766" s="5"/>
      <c r="AI1766" s="5"/>
      <c r="AJ1766" s="5"/>
      <c r="AK1766" s="5"/>
    </row>
    <row r="1767" spans="1:37" x14ac:dyDescent="0.25">
      <c r="A1767" s="182"/>
      <c r="B1767" s="6"/>
      <c r="C1767" s="6"/>
      <c r="D1767" s="15"/>
      <c r="E1767" s="22"/>
      <c r="F1767" s="22"/>
      <c r="G1767" s="22"/>
      <c r="I1767" s="5"/>
      <c r="J1767" s="5"/>
      <c r="K1767" s="22"/>
      <c r="L1767" s="22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19"/>
      <c r="AH1767" s="5"/>
      <c r="AI1767" s="5"/>
      <c r="AJ1767" s="5"/>
      <c r="AK1767" s="5"/>
    </row>
    <row r="1768" spans="1:37" x14ac:dyDescent="0.25">
      <c r="A1768" s="182"/>
      <c r="B1768" s="6"/>
      <c r="C1768" s="6"/>
      <c r="D1768" s="15"/>
      <c r="E1768" s="22"/>
      <c r="F1768" s="22"/>
      <c r="G1768" s="22"/>
      <c r="I1768" s="5"/>
      <c r="J1768" s="5"/>
      <c r="K1768" s="22"/>
      <c r="L1768" s="22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19"/>
      <c r="AH1768" s="5"/>
      <c r="AI1768" s="5"/>
      <c r="AJ1768" s="5"/>
      <c r="AK1768" s="5"/>
    </row>
    <row r="1769" spans="1:37" x14ac:dyDescent="0.25">
      <c r="A1769" s="182"/>
      <c r="B1769" s="6"/>
      <c r="C1769" s="6"/>
      <c r="D1769" s="15"/>
      <c r="E1769" s="22"/>
      <c r="F1769" s="22"/>
      <c r="G1769" s="22"/>
      <c r="I1769" s="5"/>
      <c r="J1769" s="5"/>
      <c r="K1769" s="22"/>
      <c r="L1769" s="22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19"/>
      <c r="AH1769" s="5"/>
      <c r="AI1769" s="5"/>
      <c r="AJ1769" s="5"/>
      <c r="AK1769" s="5"/>
    </row>
    <row r="1770" spans="1:37" x14ac:dyDescent="0.25">
      <c r="A1770" s="182"/>
      <c r="B1770" s="6"/>
      <c r="C1770" s="6"/>
      <c r="D1770" s="15"/>
      <c r="E1770" s="22"/>
      <c r="F1770" s="22"/>
      <c r="G1770" s="22"/>
      <c r="I1770" s="5"/>
      <c r="J1770" s="5"/>
      <c r="K1770" s="22"/>
      <c r="L1770" s="22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19"/>
      <c r="AH1770" s="5"/>
      <c r="AI1770" s="5"/>
      <c r="AJ1770" s="5"/>
      <c r="AK1770" s="5"/>
    </row>
    <row r="1771" spans="1:37" x14ac:dyDescent="0.25">
      <c r="A1771" s="182"/>
      <c r="B1771" s="6"/>
      <c r="C1771" s="6"/>
      <c r="D1771" s="15"/>
      <c r="E1771" s="22"/>
      <c r="F1771" s="22"/>
      <c r="G1771" s="22"/>
      <c r="I1771" s="5"/>
      <c r="J1771" s="5"/>
      <c r="K1771" s="22"/>
      <c r="L1771" s="22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19"/>
      <c r="AH1771" s="5"/>
      <c r="AI1771" s="5"/>
      <c r="AJ1771" s="5"/>
      <c r="AK1771" s="5"/>
    </row>
    <row r="1772" spans="1:37" x14ac:dyDescent="0.25">
      <c r="A1772" s="182"/>
      <c r="B1772" s="6"/>
      <c r="C1772" s="6"/>
      <c r="D1772" s="15"/>
      <c r="E1772" s="22"/>
      <c r="F1772" s="22"/>
      <c r="G1772" s="22"/>
      <c r="I1772" s="5"/>
      <c r="J1772" s="5"/>
      <c r="K1772" s="22"/>
      <c r="L1772" s="22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19"/>
      <c r="AH1772" s="5"/>
      <c r="AI1772" s="5"/>
      <c r="AJ1772" s="5"/>
      <c r="AK1772" s="5"/>
    </row>
    <row r="1773" spans="1:37" x14ac:dyDescent="0.25">
      <c r="A1773" s="182"/>
      <c r="B1773" s="6"/>
      <c r="C1773" s="6"/>
      <c r="D1773" s="15"/>
      <c r="E1773" s="22"/>
      <c r="F1773" s="22"/>
      <c r="G1773" s="22"/>
      <c r="I1773" s="5"/>
      <c r="J1773" s="5"/>
      <c r="K1773" s="22"/>
      <c r="L1773" s="22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19"/>
      <c r="AH1773" s="5"/>
      <c r="AI1773" s="5"/>
      <c r="AJ1773" s="5"/>
      <c r="AK1773" s="5"/>
    </row>
    <row r="1774" spans="1:37" x14ac:dyDescent="0.25">
      <c r="A1774" s="182"/>
      <c r="B1774" s="6"/>
      <c r="C1774" s="6"/>
      <c r="D1774" s="15"/>
      <c r="E1774" s="22"/>
      <c r="F1774" s="22"/>
      <c r="G1774" s="22"/>
      <c r="I1774" s="5"/>
      <c r="J1774" s="5"/>
      <c r="K1774" s="22"/>
      <c r="L1774" s="22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19"/>
      <c r="AH1774" s="5"/>
      <c r="AI1774" s="5"/>
      <c r="AJ1774" s="5"/>
      <c r="AK1774" s="5"/>
    </row>
    <row r="1775" spans="1:37" x14ac:dyDescent="0.25">
      <c r="A1775" s="182"/>
      <c r="B1775" s="6"/>
      <c r="C1775" s="6"/>
      <c r="D1775" s="15"/>
      <c r="E1775" s="22"/>
      <c r="F1775" s="22"/>
      <c r="G1775" s="22"/>
      <c r="I1775" s="5"/>
      <c r="J1775" s="5"/>
      <c r="K1775" s="22"/>
      <c r="L1775" s="22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19"/>
      <c r="AH1775" s="5"/>
      <c r="AI1775" s="5"/>
      <c r="AJ1775" s="5"/>
      <c r="AK1775" s="5"/>
    </row>
    <row r="1776" spans="1:37" x14ac:dyDescent="0.25">
      <c r="A1776" s="182"/>
      <c r="B1776" s="6"/>
      <c r="C1776" s="6"/>
      <c r="D1776" s="15"/>
      <c r="E1776" s="22"/>
      <c r="F1776" s="22"/>
      <c r="G1776" s="22"/>
      <c r="I1776" s="5"/>
      <c r="J1776" s="5"/>
      <c r="K1776" s="22"/>
      <c r="L1776" s="22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19"/>
      <c r="AH1776" s="5"/>
      <c r="AI1776" s="5"/>
      <c r="AJ1776" s="5"/>
      <c r="AK1776" s="5"/>
    </row>
    <row r="1777" spans="1:37" x14ac:dyDescent="0.25">
      <c r="A1777" s="182"/>
      <c r="B1777" s="6"/>
      <c r="C1777" s="6"/>
      <c r="D1777" s="15"/>
      <c r="E1777" s="22"/>
      <c r="F1777" s="22"/>
      <c r="G1777" s="22"/>
      <c r="I1777" s="5"/>
      <c r="J1777" s="5"/>
      <c r="K1777" s="22"/>
      <c r="L1777" s="22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19"/>
      <c r="AH1777" s="5"/>
      <c r="AI1777" s="5"/>
      <c r="AJ1777" s="5"/>
      <c r="AK1777" s="5"/>
    </row>
    <row r="1778" spans="1:37" x14ac:dyDescent="0.25">
      <c r="A1778" s="182"/>
      <c r="B1778" s="6"/>
      <c r="C1778" s="6"/>
      <c r="D1778" s="15"/>
      <c r="E1778" s="22"/>
      <c r="F1778" s="22"/>
      <c r="G1778" s="22"/>
      <c r="I1778" s="5"/>
      <c r="J1778" s="5"/>
      <c r="K1778" s="22"/>
      <c r="L1778" s="22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19"/>
      <c r="AH1778" s="5"/>
      <c r="AI1778" s="5"/>
      <c r="AJ1778" s="5"/>
      <c r="AK1778" s="5"/>
    </row>
    <row r="1779" spans="1:37" x14ac:dyDescent="0.25">
      <c r="A1779" s="182"/>
      <c r="B1779" s="6"/>
      <c r="C1779" s="6"/>
      <c r="D1779" s="15"/>
      <c r="E1779" s="22"/>
      <c r="F1779" s="22"/>
      <c r="G1779" s="22"/>
      <c r="I1779" s="5"/>
      <c r="J1779" s="5"/>
      <c r="K1779" s="22"/>
      <c r="L1779" s="22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19"/>
      <c r="AH1779" s="5"/>
      <c r="AI1779" s="5"/>
      <c r="AJ1779" s="5"/>
      <c r="AK1779" s="5"/>
    </row>
    <row r="1780" spans="1:37" x14ac:dyDescent="0.25">
      <c r="A1780" s="182"/>
      <c r="B1780" s="6"/>
      <c r="C1780" s="6"/>
      <c r="D1780" s="15"/>
      <c r="E1780" s="22"/>
      <c r="F1780" s="22"/>
      <c r="G1780" s="22"/>
      <c r="I1780" s="5"/>
      <c r="J1780" s="5"/>
      <c r="K1780" s="22"/>
      <c r="L1780" s="22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19"/>
      <c r="AH1780" s="5"/>
      <c r="AI1780" s="5"/>
      <c r="AJ1780" s="5"/>
      <c r="AK1780" s="5"/>
    </row>
    <row r="1781" spans="1:37" x14ac:dyDescent="0.25">
      <c r="A1781" s="182"/>
      <c r="B1781" s="6"/>
      <c r="C1781" s="6"/>
      <c r="D1781" s="15"/>
      <c r="E1781" s="22"/>
      <c r="F1781" s="22"/>
      <c r="G1781" s="22"/>
      <c r="I1781" s="5"/>
      <c r="J1781" s="5"/>
      <c r="K1781" s="22"/>
      <c r="L1781" s="22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19"/>
      <c r="AH1781" s="5"/>
      <c r="AI1781" s="5"/>
      <c r="AJ1781" s="5"/>
      <c r="AK1781" s="5"/>
    </row>
    <row r="1782" spans="1:37" x14ac:dyDescent="0.25">
      <c r="A1782" s="182"/>
      <c r="B1782" s="6"/>
      <c r="C1782" s="6"/>
      <c r="D1782" s="15"/>
      <c r="E1782" s="22"/>
      <c r="F1782" s="22"/>
      <c r="G1782" s="22"/>
      <c r="I1782" s="5"/>
      <c r="J1782" s="5"/>
      <c r="K1782" s="22"/>
      <c r="L1782" s="22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19"/>
      <c r="AH1782" s="5"/>
      <c r="AI1782" s="5"/>
      <c r="AJ1782" s="5"/>
      <c r="AK1782" s="5"/>
    </row>
    <row r="1783" spans="1:37" x14ac:dyDescent="0.25">
      <c r="A1783" s="182"/>
      <c r="B1783" s="6"/>
      <c r="C1783" s="6"/>
      <c r="D1783" s="15"/>
      <c r="E1783" s="22"/>
      <c r="F1783" s="22"/>
      <c r="G1783" s="22"/>
      <c r="I1783" s="5"/>
      <c r="J1783" s="5"/>
      <c r="K1783" s="22"/>
      <c r="L1783" s="22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19"/>
      <c r="AH1783" s="5"/>
      <c r="AI1783" s="5"/>
      <c r="AJ1783" s="5"/>
      <c r="AK1783" s="5"/>
    </row>
    <row r="1784" spans="1:37" x14ac:dyDescent="0.25">
      <c r="A1784" s="182"/>
      <c r="B1784" s="6"/>
      <c r="C1784" s="6"/>
      <c r="D1784" s="15"/>
      <c r="E1784" s="22"/>
      <c r="F1784" s="22"/>
      <c r="G1784" s="22"/>
      <c r="I1784" s="5"/>
      <c r="J1784" s="5"/>
      <c r="K1784" s="22"/>
      <c r="L1784" s="22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19"/>
      <c r="AH1784" s="5"/>
      <c r="AI1784" s="5"/>
      <c r="AJ1784" s="5"/>
      <c r="AK1784" s="5"/>
    </row>
    <row r="1785" spans="1:37" x14ac:dyDescent="0.25">
      <c r="A1785" s="182"/>
      <c r="B1785" s="6"/>
      <c r="C1785" s="6"/>
      <c r="D1785" s="15"/>
      <c r="E1785" s="22"/>
      <c r="F1785" s="22"/>
      <c r="G1785" s="22"/>
      <c r="I1785" s="5"/>
      <c r="J1785" s="5"/>
      <c r="K1785" s="22"/>
      <c r="L1785" s="22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19"/>
      <c r="AH1785" s="5"/>
      <c r="AI1785" s="5"/>
      <c r="AJ1785" s="5"/>
      <c r="AK1785" s="5"/>
    </row>
    <row r="1786" spans="1:37" x14ac:dyDescent="0.25">
      <c r="A1786" s="182"/>
      <c r="B1786" s="6"/>
      <c r="C1786" s="6"/>
      <c r="D1786" s="15"/>
      <c r="E1786" s="22"/>
      <c r="F1786" s="22"/>
      <c r="G1786" s="22"/>
      <c r="I1786" s="5"/>
      <c r="J1786" s="5"/>
      <c r="K1786" s="22"/>
      <c r="L1786" s="22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19"/>
      <c r="AH1786" s="5"/>
      <c r="AI1786" s="5"/>
      <c r="AJ1786" s="5"/>
      <c r="AK1786" s="5"/>
    </row>
    <row r="1787" spans="1:37" x14ac:dyDescent="0.25">
      <c r="A1787" s="182"/>
      <c r="B1787" s="6"/>
      <c r="C1787" s="6"/>
      <c r="D1787" s="15"/>
      <c r="E1787" s="22"/>
      <c r="F1787" s="22"/>
      <c r="G1787" s="22"/>
      <c r="I1787" s="5"/>
      <c r="J1787" s="5"/>
      <c r="K1787" s="22"/>
      <c r="L1787" s="22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19"/>
      <c r="AH1787" s="5"/>
      <c r="AI1787" s="5"/>
      <c r="AJ1787" s="5"/>
      <c r="AK1787" s="5"/>
    </row>
    <row r="1788" spans="1:37" x14ac:dyDescent="0.25">
      <c r="A1788" s="182"/>
      <c r="B1788" s="6"/>
      <c r="C1788" s="6"/>
      <c r="D1788" s="15"/>
      <c r="E1788" s="22"/>
      <c r="F1788" s="22"/>
      <c r="G1788" s="22"/>
      <c r="I1788" s="5"/>
      <c r="J1788" s="5"/>
      <c r="K1788" s="22"/>
      <c r="L1788" s="22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19"/>
      <c r="AH1788" s="5"/>
      <c r="AI1788" s="5"/>
      <c r="AJ1788" s="5"/>
      <c r="AK1788" s="5"/>
    </row>
    <row r="1789" spans="1:37" x14ac:dyDescent="0.25">
      <c r="A1789" s="182"/>
      <c r="B1789" s="6"/>
      <c r="C1789" s="6"/>
      <c r="D1789" s="15"/>
      <c r="E1789" s="22"/>
      <c r="F1789" s="22"/>
      <c r="G1789" s="22"/>
      <c r="I1789" s="5"/>
      <c r="J1789" s="5"/>
      <c r="K1789" s="22"/>
      <c r="L1789" s="22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19"/>
      <c r="AH1789" s="5"/>
      <c r="AI1789" s="5"/>
      <c r="AJ1789" s="5"/>
      <c r="AK1789" s="5"/>
    </row>
    <row r="1790" spans="1:37" x14ac:dyDescent="0.25">
      <c r="A1790" s="182"/>
      <c r="B1790" s="6"/>
      <c r="C1790" s="6"/>
      <c r="D1790" s="15"/>
      <c r="E1790" s="22"/>
      <c r="F1790" s="22"/>
      <c r="G1790" s="22"/>
      <c r="I1790" s="5"/>
      <c r="J1790" s="5"/>
      <c r="K1790" s="22"/>
      <c r="L1790" s="22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19"/>
      <c r="AH1790" s="5"/>
      <c r="AI1790" s="5"/>
      <c r="AJ1790" s="5"/>
      <c r="AK1790" s="5"/>
    </row>
    <row r="1791" spans="1:37" x14ac:dyDescent="0.25">
      <c r="A1791" s="182"/>
      <c r="B1791" s="6"/>
      <c r="C1791" s="6"/>
      <c r="D1791" s="15"/>
      <c r="E1791" s="22"/>
      <c r="F1791" s="22"/>
      <c r="G1791" s="22"/>
      <c r="I1791" s="5"/>
      <c r="J1791" s="5"/>
      <c r="K1791" s="22"/>
      <c r="L1791" s="22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19"/>
      <c r="AH1791" s="5"/>
      <c r="AI1791" s="5"/>
      <c r="AJ1791" s="5"/>
      <c r="AK1791" s="5"/>
    </row>
    <row r="1792" spans="1:37" x14ac:dyDescent="0.25">
      <c r="A1792" s="182"/>
      <c r="B1792" s="6"/>
      <c r="C1792" s="6"/>
      <c r="D1792" s="15"/>
      <c r="E1792" s="22"/>
      <c r="F1792" s="22"/>
      <c r="G1792" s="22"/>
      <c r="I1792" s="5"/>
      <c r="J1792" s="5"/>
      <c r="K1792" s="22"/>
      <c r="L1792" s="22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19"/>
      <c r="AH1792" s="5"/>
      <c r="AI1792" s="5"/>
      <c r="AJ1792" s="5"/>
      <c r="AK1792" s="5"/>
    </row>
    <row r="1793" spans="1:37" x14ac:dyDescent="0.25">
      <c r="A1793" s="182"/>
      <c r="B1793" s="6"/>
      <c r="C1793" s="6"/>
      <c r="D1793" s="15"/>
      <c r="E1793" s="22"/>
      <c r="F1793" s="22"/>
      <c r="G1793" s="22"/>
      <c r="I1793" s="5"/>
      <c r="J1793" s="5"/>
      <c r="K1793" s="22"/>
      <c r="L1793" s="22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19"/>
      <c r="AH1793" s="5"/>
      <c r="AI1793" s="5"/>
      <c r="AJ1793" s="5"/>
      <c r="AK1793" s="5"/>
    </row>
    <row r="1794" spans="1:37" x14ac:dyDescent="0.25">
      <c r="A1794" s="182"/>
      <c r="B1794" s="6"/>
      <c r="C1794" s="6"/>
      <c r="D1794" s="15"/>
      <c r="E1794" s="22"/>
      <c r="F1794" s="22"/>
      <c r="G1794" s="22"/>
      <c r="I1794" s="5"/>
      <c r="J1794" s="5"/>
      <c r="K1794" s="22"/>
      <c r="L1794" s="22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19"/>
      <c r="AH1794" s="5"/>
      <c r="AI1794" s="5"/>
      <c r="AJ1794" s="5"/>
      <c r="AK1794" s="5"/>
    </row>
    <row r="1795" spans="1:37" x14ac:dyDescent="0.25">
      <c r="A1795" s="182"/>
      <c r="B1795" s="6"/>
      <c r="C1795" s="6"/>
      <c r="D1795" s="15"/>
      <c r="E1795" s="22"/>
      <c r="F1795" s="22"/>
      <c r="G1795" s="22"/>
      <c r="I1795" s="5"/>
      <c r="J1795" s="5"/>
      <c r="K1795" s="22"/>
      <c r="L1795" s="22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19"/>
      <c r="AH1795" s="5"/>
      <c r="AI1795" s="5"/>
      <c r="AJ1795" s="5"/>
      <c r="AK1795" s="5"/>
    </row>
    <row r="1796" spans="1:37" x14ac:dyDescent="0.25">
      <c r="A1796" s="182"/>
      <c r="B1796" s="6"/>
      <c r="C1796" s="6"/>
      <c r="D1796" s="15"/>
      <c r="E1796" s="22"/>
      <c r="F1796" s="22"/>
      <c r="G1796" s="22"/>
      <c r="I1796" s="5"/>
      <c r="J1796" s="5"/>
      <c r="K1796" s="22"/>
      <c r="L1796" s="22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19"/>
      <c r="AH1796" s="5"/>
      <c r="AI1796" s="5"/>
      <c r="AJ1796" s="5"/>
      <c r="AK1796" s="5"/>
    </row>
    <row r="1797" spans="1:37" x14ac:dyDescent="0.25">
      <c r="A1797" s="182"/>
      <c r="B1797" s="6"/>
      <c r="C1797" s="6"/>
      <c r="D1797" s="15"/>
      <c r="E1797" s="22"/>
      <c r="F1797" s="22"/>
      <c r="G1797" s="22"/>
      <c r="I1797" s="5"/>
      <c r="J1797" s="5"/>
      <c r="K1797" s="22"/>
      <c r="L1797" s="22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19"/>
      <c r="AH1797" s="5"/>
      <c r="AI1797" s="5"/>
      <c r="AJ1797" s="5"/>
      <c r="AK1797" s="5"/>
    </row>
    <row r="1798" spans="1:37" x14ac:dyDescent="0.25">
      <c r="A1798" s="182"/>
      <c r="B1798" s="6"/>
      <c r="C1798" s="6"/>
      <c r="D1798" s="15"/>
      <c r="E1798" s="22"/>
      <c r="F1798" s="22"/>
      <c r="G1798" s="22"/>
      <c r="I1798" s="5"/>
      <c r="J1798" s="5"/>
      <c r="K1798" s="22"/>
      <c r="L1798" s="22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19"/>
      <c r="AH1798" s="5"/>
      <c r="AI1798" s="5"/>
      <c r="AJ1798" s="5"/>
      <c r="AK1798" s="5"/>
    </row>
    <row r="1799" spans="1:37" x14ac:dyDescent="0.25">
      <c r="A1799" s="182"/>
      <c r="B1799" s="6"/>
      <c r="C1799" s="6"/>
      <c r="D1799" s="15"/>
      <c r="E1799" s="22"/>
      <c r="F1799" s="22"/>
      <c r="G1799" s="22"/>
      <c r="I1799" s="5"/>
      <c r="J1799" s="5"/>
      <c r="K1799" s="22"/>
      <c r="L1799" s="22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19"/>
      <c r="AH1799" s="5"/>
      <c r="AI1799" s="5"/>
      <c r="AJ1799" s="5"/>
      <c r="AK1799" s="5"/>
    </row>
    <row r="1800" spans="1:37" x14ac:dyDescent="0.25">
      <c r="A1800" s="182"/>
      <c r="B1800" s="6"/>
      <c r="C1800" s="6"/>
      <c r="D1800" s="15"/>
      <c r="E1800" s="22"/>
      <c r="F1800" s="22"/>
      <c r="G1800" s="22"/>
      <c r="I1800" s="5"/>
      <c r="J1800" s="5"/>
      <c r="K1800" s="22"/>
      <c r="L1800" s="22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19"/>
      <c r="AH1800" s="5"/>
      <c r="AI1800" s="5"/>
      <c r="AJ1800" s="5"/>
      <c r="AK1800" s="5"/>
    </row>
    <row r="1801" spans="1:37" x14ac:dyDescent="0.25">
      <c r="A1801" s="182"/>
      <c r="B1801" s="6"/>
      <c r="C1801" s="6"/>
      <c r="D1801" s="15"/>
      <c r="E1801" s="22"/>
      <c r="F1801" s="22"/>
      <c r="G1801" s="22"/>
      <c r="I1801" s="5"/>
      <c r="J1801" s="5"/>
      <c r="K1801" s="22"/>
      <c r="L1801" s="22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19"/>
      <c r="AH1801" s="5"/>
      <c r="AI1801" s="5"/>
      <c r="AJ1801" s="5"/>
      <c r="AK1801" s="5"/>
    </row>
    <row r="1802" spans="1:37" x14ac:dyDescent="0.25">
      <c r="A1802" s="182"/>
      <c r="B1802" s="6"/>
      <c r="C1802" s="6"/>
      <c r="D1802" s="15"/>
      <c r="E1802" s="22"/>
      <c r="F1802" s="22"/>
      <c r="G1802" s="22"/>
      <c r="I1802" s="5"/>
      <c r="J1802" s="5"/>
      <c r="K1802" s="22"/>
      <c r="L1802" s="22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19"/>
      <c r="AH1802" s="5"/>
      <c r="AI1802" s="5"/>
      <c r="AJ1802" s="5"/>
      <c r="AK1802" s="5"/>
    </row>
    <row r="1803" spans="1:37" x14ac:dyDescent="0.25">
      <c r="A1803" s="182"/>
      <c r="B1803" s="6"/>
      <c r="C1803" s="6"/>
      <c r="D1803" s="15"/>
      <c r="E1803" s="22"/>
      <c r="F1803" s="22"/>
      <c r="G1803" s="22"/>
      <c r="I1803" s="5"/>
      <c r="J1803" s="5"/>
      <c r="K1803" s="22"/>
      <c r="L1803" s="22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19"/>
      <c r="AH1803" s="5"/>
      <c r="AI1803" s="5"/>
      <c r="AJ1803" s="5"/>
      <c r="AK1803" s="5"/>
    </row>
    <row r="1804" spans="1:37" x14ac:dyDescent="0.25">
      <c r="A1804" s="182"/>
      <c r="B1804" s="6"/>
      <c r="C1804" s="6"/>
      <c r="D1804" s="15"/>
      <c r="E1804" s="22"/>
      <c r="F1804" s="22"/>
      <c r="G1804" s="22"/>
      <c r="I1804" s="5"/>
      <c r="J1804" s="5"/>
      <c r="K1804" s="22"/>
      <c r="L1804" s="22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19"/>
      <c r="AH1804" s="5"/>
      <c r="AI1804" s="5"/>
      <c r="AJ1804" s="5"/>
      <c r="AK1804" s="5"/>
    </row>
    <row r="1805" spans="1:37" x14ac:dyDescent="0.25">
      <c r="A1805" s="182"/>
      <c r="B1805" s="6"/>
      <c r="C1805" s="6"/>
      <c r="D1805" s="15"/>
      <c r="E1805" s="22"/>
      <c r="F1805" s="22"/>
      <c r="G1805" s="22"/>
      <c r="I1805" s="5"/>
      <c r="J1805" s="5"/>
      <c r="K1805" s="22"/>
      <c r="L1805" s="22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19"/>
      <c r="AH1805" s="5"/>
      <c r="AI1805" s="5"/>
      <c r="AJ1805" s="5"/>
      <c r="AK1805" s="5"/>
    </row>
    <row r="1806" spans="1:37" x14ac:dyDescent="0.25">
      <c r="A1806" s="182"/>
      <c r="B1806" s="6"/>
      <c r="C1806" s="6"/>
      <c r="D1806" s="15"/>
      <c r="E1806" s="22"/>
      <c r="F1806" s="22"/>
      <c r="G1806" s="22"/>
      <c r="I1806" s="5"/>
      <c r="J1806" s="5"/>
      <c r="K1806" s="22"/>
      <c r="L1806" s="22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19"/>
      <c r="AH1806" s="5"/>
      <c r="AI1806" s="5"/>
      <c r="AJ1806" s="5"/>
      <c r="AK1806" s="5"/>
    </row>
    <row r="1807" spans="1:37" x14ac:dyDescent="0.25">
      <c r="A1807" s="182"/>
      <c r="B1807" s="6"/>
      <c r="C1807" s="6"/>
      <c r="D1807" s="15"/>
      <c r="E1807" s="22"/>
      <c r="F1807" s="22"/>
      <c r="G1807" s="22"/>
      <c r="I1807" s="5"/>
      <c r="J1807" s="5"/>
      <c r="K1807" s="22"/>
      <c r="L1807" s="22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19"/>
      <c r="AH1807" s="5"/>
      <c r="AI1807" s="5"/>
      <c r="AJ1807" s="5"/>
      <c r="AK1807" s="5"/>
    </row>
    <row r="1808" spans="1:37" x14ac:dyDescent="0.25">
      <c r="A1808" s="182"/>
      <c r="B1808" s="6"/>
      <c r="C1808" s="6"/>
      <c r="D1808" s="15"/>
      <c r="E1808" s="22"/>
      <c r="F1808" s="22"/>
      <c r="G1808" s="22"/>
      <c r="I1808" s="5"/>
      <c r="J1808" s="5"/>
      <c r="K1808" s="22"/>
      <c r="L1808" s="22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19"/>
      <c r="AH1808" s="5"/>
      <c r="AI1808" s="5"/>
      <c r="AJ1808" s="5"/>
      <c r="AK1808" s="5"/>
    </row>
    <row r="1809" spans="1:37" x14ac:dyDescent="0.25">
      <c r="A1809" s="182"/>
      <c r="B1809" s="6"/>
      <c r="C1809" s="6"/>
      <c r="D1809" s="15"/>
      <c r="E1809" s="22"/>
      <c r="F1809" s="22"/>
      <c r="G1809" s="22"/>
      <c r="I1809" s="5"/>
      <c r="J1809" s="5"/>
      <c r="K1809" s="22"/>
      <c r="L1809" s="22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19"/>
      <c r="AH1809" s="5"/>
      <c r="AI1809" s="5"/>
      <c r="AJ1809" s="5"/>
      <c r="AK1809" s="5"/>
    </row>
    <row r="1810" spans="1:37" x14ac:dyDescent="0.25">
      <c r="A1810" s="182"/>
      <c r="B1810" s="6"/>
      <c r="C1810" s="6"/>
      <c r="D1810" s="15"/>
      <c r="E1810" s="22"/>
      <c r="F1810" s="22"/>
      <c r="G1810" s="22"/>
      <c r="I1810" s="5"/>
      <c r="J1810" s="5"/>
      <c r="K1810" s="22"/>
      <c r="L1810" s="22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19"/>
      <c r="AH1810" s="5"/>
      <c r="AI1810" s="5"/>
      <c r="AJ1810" s="5"/>
      <c r="AK1810" s="5"/>
    </row>
    <row r="1811" spans="1:37" x14ac:dyDescent="0.25">
      <c r="A1811" s="182"/>
      <c r="B1811" s="6"/>
      <c r="C1811" s="6"/>
      <c r="D1811" s="15"/>
      <c r="E1811" s="22"/>
      <c r="F1811" s="22"/>
      <c r="G1811" s="22"/>
      <c r="I1811" s="5"/>
      <c r="J1811" s="5"/>
      <c r="K1811" s="22"/>
      <c r="L1811" s="22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19"/>
      <c r="AH1811" s="5"/>
      <c r="AI1811" s="5"/>
      <c r="AJ1811" s="5"/>
      <c r="AK1811" s="5"/>
    </row>
    <row r="1812" spans="1:37" x14ac:dyDescent="0.25">
      <c r="A1812" s="182"/>
      <c r="B1812" s="6"/>
      <c r="C1812" s="6"/>
      <c r="D1812" s="15"/>
      <c r="E1812" s="22"/>
      <c r="F1812" s="22"/>
      <c r="G1812" s="22"/>
      <c r="I1812" s="5"/>
      <c r="J1812" s="5"/>
      <c r="K1812" s="22"/>
      <c r="L1812" s="22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19"/>
      <c r="AH1812" s="5"/>
      <c r="AI1812" s="5"/>
      <c r="AJ1812" s="5"/>
      <c r="AK1812" s="5"/>
    </row>
    <row r="1813" spans="1:37" x14ac:dyDescent="0.25">
      <c r="A1813" s="182"/>
      <c r="B1813" s="6"/>
      <c r="C1813" s="6"/>
      <c r="D1813" s="15"/>
      <c r="E1813" s="22"/>
      <c r="F1813" s="22"/>
      <c r="G1813" s="22"/>
      <c r="I1813" s="5"/>
      <c r="J1813" s="5"/>
      <c r="K1813" s="22"/>
      <c r="L1813" s="22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19"/>
      <c r="AH1813" s="5"/>
      <c r="AI1813" s="5"/>
      <c r="AJ1813" s="5"/>
      <c r="AK1813" s="5"/>
    </row>
    <row r="1814" spans="1:37" x14ac:dyDescent="0.25">
      <c r="A1814" s="182"/>
      <c r="B1814" s="6"/>
      <c r="C1814" s="6"/>
      <c r="D1814" s="15"/>
      <c r="E1814" s="22"/>
      <c r="F1814" s="22"/>
      <c r="G1814" s="22"/>
      <c r="I1814" s="5"/>
      <c r="J1814" s="5"/>
      <c r="K1814" s="22"/>
      <c r="L1814" s="22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19"/>
      <c r="AH1814" s="5"/>
      <c r="AI1814" s="5"/>
      <c r="AJ1814" s="5"/>
      <c r="AK1814" s="5"/>
    </row>
    <row r="1815" spans="1:37" x14ac:dyDescent="0.25">
      <c r="A1815" s="182"/>
      <c r="B1815" s="6"/>
      <c r="C1815" s="6"/>
      <c r="D1815" s="15"/>
      <c r="E1815" s="22"/>
      <c r="F1815" s="22"/>
      <c r="G1815" s="22"/>
      <c r="I1815" s="5"/>
      <c r="J1815" s="5"/>
      <c r="K1815" s="22"/>
      <c r="L1815" s="22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19"/>
      <c r="AH1815" s="5"/>
      <c r="AI1815" s="5"/>
      <c r="AJ1815" s="5"/>
      <c r="AK1815" s="5"/>
    </row>
    <row r="1816" spans="1:37" x14ac:dyDescent="0.25">
      <c r="A1816" s="182"/>
      <c r="B1816" s="6"/>
      <c r="C1816" s="6"/>
      <c r="D1816" s="15"/>
      <c r="E1816" s="22"/>
      <c r="F1816" s="22"/>
      <c r="G1816" s="22"/>
      <c r="I1816" s="5"/>
      <c r="J1816" s="5"/>
      <c r="K1816" s="22"/>
      <c r="L1816" s="22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19"/>
      <c r="AH1816" s="5"/>
      <c r="AI1816" s="5"/>
      <c r="AJ1816" s="5"/>
      <c r="AK1816" s="5"/>
    </row>
    <row r="1817" spans="1:37" x14ac:dyDescent="0.25">
      <c r="A1817" s="182"/>
      <c r="B1817" s="6"/>
      <c r="C1817" s="6"/>
      <c r="D1817" s="15"/>
      <c r="E1817" s="22"/>
      <c r="F1817" s="22"/>
      <c r="G1817" s="22"/>
      <c r="I1817" s="5"/>
      <c r="J1817" s="5"/>
      <c r="K1817" s="22"/>
      <c r="L1817" s="22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19"/>
      <c r="AH1817" s="5"/>
      <c r="AI1817" s="5"/>
      <c r="AJ1817" s="5"/>
      <c r="AK1817" s="5"/>
    </row>
    <row r="1818" spans="1:37" x14ac:dyDescent="0.25">
      <c r="A1818" s="182"/>
      <c r="B1818" s="6"/>
      <c r="C1818" s="6"/>
      <c r="D1818" s="15"/>
      <c r="E1818" s="22"/>
      <c r="F1818" s="22"/>
      <c r="G1818" s="22"/>
      <c r="I1818" s="5"/>
      <c r="J1818" s="5"/>
      <c r="K1818" s="22"/>
      <c r="L1818" s="22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19"/>
      <c r="AH1818" s="5"/>
      <c r="AI1818" s="5"/>
      <c r="AJ1818" s="5"/>
      <c r="AK1818" s="5"/>
    </row>
    <row r="1819" spans="1:37" x14ac:dyDescent="0.25">
      <c r="A1819" s="182"/>
      <c r="B1819" s="6"/>
      <c r="C1819" s="6"/>
      <c r="D1819" s="15"/>
      <c r="E1819" s="22"/>
      <c r="F1819" s="22"/>
      <c r="G1819" s="22"/>
      <c r="I1819" s="5"/>
      <c r="J1819" s="5"/>
      <c r="K1819" s="22"/>
      <c r="L1819" s="22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19"/>
      <c r="AH1819" s="5"/>
      <c r="AI1819" s="5"/>
      <c r="AJ1819" s="5"/>
      <c r="AK1819" s="5"/>
    </row>
    <row r="1820" spans="1:37" x14ac:dyDescent="0.25">
      <c r="A1820" s="182"/>
      <c r="B1820" s="6"/>
      <c r="C1820" s="6"/>
      <c r="D1820" s="15"/>
      <c r="E1820" s="22"/>
      <c r="F1820" s="22"/>
      <c r="G1820" s="22"/>
      <c r="I1820" s="5"/>
      <c r="J1820" s="5"/>
      <c r="K1820" s="22"/>
      <c r="L1820" s="22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19"/>
      <c r="AH1820" s="5"/>
      <c r="AI1820" s="5"/>
      <c r="AJ1820" s="5"/>
      <c r="AK1820" s="5"/>
    </row>
    <row r="1821" spans="1:37" x14ac:dyDescent="0.25">
      <c r="A1821" s="182"/>
      <c r="B1821" s="6"/>
      <c r="C1821" s="6"/>
      <c r="D1821" s="15"/>
      <c r="E1821" s="22"/>
      <c r="F1821" s="22"/>
      <c r="G1821" s="22"/>
      <c r="I1821" s="5"/>
      <c r="J1821" s="5"/>
      <c r="K1821" s="22"/>
      <c r="L1821" s="22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19"/>
      <c r="AH1821" s="5"/>
      <c r="AI1821" s="5"/>
      <c r="AJ1821" s="5"/>
      <c r="AK1821" s="5"/>
    </row>
    <row r="1822" spans="1:37" x14ac:dyDescent="0.25">
      <c r="A1822" s="182"/>
      <c r="B1822" s="6"/>
      <c r="C1822" s="6"/>
      <c r="D1822" s="15"/>
      <c r="E1822" s="22"/>
      <c r="F1822" s="22"/>
      <c r="G1822" s="22"/>
      <c r="I1822" s="5"/>
      <c r="J1822" s="5"/>
      <c r="K1822" s="22"/>
      <c r="L1822" s="22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19"/>
      <c r="AH1822" s="5"/>
      <c r="AI1822" s="5"/>
      <c r="AJ1822" s="5"/>
      <c r="AK1822" s="5"/>
    </row>
    <row r="1823" spans="1:37" x14ac:dyDescent="0.25">
      <c r="A1823" s="182"/>
      <c r="B1823" s="6"/>
      <c r="C1823" s="6"/>
      <c r="D1823" s="15"/>
      <c r="E1823" s="22"/>
      <c r="F1823" s="22"/>
      <c r="G1823" s="22"/>
      <c r="I1823" s="5"/>
      <c r="J1823" s="5"/>
      <c r="K1823" s="22"/>
      <c r="L1823" s="22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19"/>
      <c r="AH1823" s="5"/>
      <c r="AI1823" s="5"/>
      <c r="AJ1823" s="5"/>
      <c r="AK1823" s="5"/>
    </row>
    <row r="1824" spans="1:37" x14ac:dyDescent="0.25">
      <c r="A1824" s="182"/>
      <c r="B1824" s="6"/>
      <c r="C1824" s="6"/>
      <c r="D1824" s="15"/>
      <c r="E1824" s="22"/>
      <c r="F1824" s="22"/>
      <c r="G1824" s="22"/>
      <c r="I1824" s="5"/>
      <c r="J1824" s="5"/>
      <c r="K1824" s="22"/>
      <c r="L1824" s="22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19"/>
      <c r="AH1824" s="5"/>
      <c r="AI1824" s="5"/>
      <c r="AJ1824" s="5"/>
      <c r="AK1824" s="5"/>
    </row>
    <row r="1825" spans="1:37" x14ac:dyDescent="0.25">
      <c r="A1825" s="182"/>
      <c r="B1825" s="6"/>
      <c r="C1825" s="6"/>
      <c r="D1825" s="15"/>
      <c r="E1825" s="22"/>
      <c r="F1825" s="22"/>
      <c r="G1825" s="22"/>
      <c r="I1825" s="5"/>
      <c r="J1825" s="5"/>
      <c r="K1825" s="22"/>
      <c r="L1825" s="22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19"/>
      <c r="AH1825" s="5"/>
      <c r="AI1825" s="5"/>
      <c r="AJ1825" s="5"/>
      <c r="AK1825" s="5"/>
    </row>
    <row r="1826" spans="1:37" x14ac:dyDescent="0.25">
      <c r="A1826" s="182"/>
      <c r="B1826" s="6"/>
      <c r="C1826" s="6"/>
      <c r="D1826" s="15"/>
      <c r="E1826" s="22"/>
      <c r="F1826" s="22"/>
      <c r="G1826" s="22"/>
      <c r="I1826" s="5"/>
      <c r="J1826" s="5"/>
      <c r="K1826" s="22"/>
      <c r="L1826" s="22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19"/>
      <c r="AH1826" s="5"/>
      <c r="AI1826" s="5"/>
      <c r="AJ1826" s="5"/>
      <c r="AK1826" s="5"/>
    </row>
    <row r="1827" spans="1:37" x14ac:dyDescent="0.25">
      <c r="A1827" s="182"/>
      <c r="B1827" s="6"/>
      <c r="C1827" s="6"/>
      <c r="D1827" s="15"/>
      <c r="E1827" s="22"/>
      <c r="F1827" s="22"/>
      <c r="G1827" s="22"/>
      <c r="I1827" s="5"/>
      <c r="J1827" s="5"/>
      <c r="K1827" s="22"/>
      <c r="L1827" s="22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19"/>
      <c r="AH1827" s="5"/>
      <c r="AI1827" s="5"/>
      <c r="AJ1827" s="5"/>
      <c r="AK1827" s="5"/>
    </row>
    <row r="1828" spans="1:37" x14ac:dyDescent="0.25">
      <c r="A1828" s="182"/>
      <c r="B1828" s="6"/>
      <c r="C1828" s="6"/>
      <c r="D1828" s="15"/>
      <c r="E1828" s="22"/>
      <c r="F1828" s="22"/>
      <c r="G1828" s="22"/>
      <c r="I1828" s="5"/>
      <c r="J1828" s="5"/>
      <c r="K1828" s="22"/>
      <c r="L1828" s="22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19"/>
      <c r="AH1828" s="5"/>
      <c r="AI1828" s="5"/>
      <c r="AJ1828" s="5"/>
      <c r="AK1828" s="5"/>
    </row>
    <row r="1829" spans="1:37" x14ac:dyDescent="0.25">
      <c r="A1829" s="182"/>
      <c r="B1829" s="6"/>
      <c r="C1829" s="6"/>
      <c r="D1829" s="15"/>
      <c r="E1829" s="22"/>
      <c r="F1829" s="22"/>
      <c r="G1829" s="22"/>
      <c r="I1829" s="5"/>
      <c r="J1829" s="5"/>
      <c r="K1829" s="22"/>
      <c r="L1829" s="22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19"/>
      <c r="AH1829" s="5"/>
      <c r="AI1829" s="5"/>
      <c r="AJ1829" s="5"/>
      <c r="AK1829" s="5"/>
    </row>
    <row r="1830" spans="1:37" x14ac:dyDescent="0.25">
      <c r="A1830" s="182"/>
      <c r="B1830" s="6"/>
      <c r="C1830" s="6"/>
      <c r="D1830" s="15"/>
      <c r="E1830" s="22"/>
      <c r="F1830" s="22"/>
      <c r="G1830" s="22"/>
      <c r="I1830" s="5"/>
      <c r="J1830" s="5"/>
      <c r="K1830" s="22"/>
      <c r="L1830" s="22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19"/>
      <c r="AH1830" s="5"/>
      <c r="AI1830" s="5"/>
      <c r="AJ1830" s="5"/>
      <c r="AK1830" s="5"/>
    </row>
    <row r="1831" spans="1:37" x14ac:dyDescent="0.25">
      <c r="A1831" s="182"/>
      <c r="B1831" s="6"/>
      <c r="C1831" s="6"/>
      <c r="D1831" s="15"/>
      <c r="E1831" s="22"/>
      <c r="F1831" s="22"/>
      <c r="G1831" s="22"/>
      <c r="I1831" s="5"/>
      <c r="J1831" s="5"/>
      <c r="K1831" s="22"/>
      <c r="L1831" s="22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19"/>
      <c r="AH1831" s="5"/>
      <c r="AI1831" s="5"/>
      <c r="AJ1831" s="5"/>
      <c r="AK1831" s="5"/>
    </row>
    <row r="1832" spans="1:37" x14ac:dyDescent="0.25">
      <c r="A1832" s="182"/>
      <c r="B1832" s="6"/>
      <c r="C1832" s="6"/>
      <c r="D1832" s="15"/>
      <c r="E1832" s="22"/>
      <c r="F1832" s="22"/>
      <c r="G1832" s="22"/>
      <c r="I1832" s="5"/>
      <c r="J1832" s="5"/>
      <c r="K1832" s="22"/>
      <c r="L1832" s="22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19"/>
      <c r="AH1832" s="5"/>
      <c r="AI1832" s="5"/>
      <c r="AJ1832" s="5"/>
      <c r="AK1832" s="5"/>
    </row>
    <row r="1833" spans="1:37" x14ac:dyDescent="0.25">
      <c r="A1833" s="182"/>
      <c r="B1833" s="6"/>
      <c r="C1833" s="6"/>
      <c r="D1833" s="15"/>
      <c r="E1833" s="22"/>
      <c r="F1833" s="22"/>
      <c r="G1833" s="22"/>
      <c r="I1833" s="5"/>
      <c r="J1833" s="5"/>
      <c r="K1833" s="22"/>
      <c r="L1833" s="22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19"/>
      <c r="AH1833" s="5"/>
      <c r="AI1833" s="5"/>
      <c r="AJ1833" s="5"/>
      <c r="AK1833" s="5"/>
    </row>
    <row r="1834" spans="1:37" x14ac:dyDescent="0.25">
      <c r="A1834" s="182"/>
      <c r="B1834" s="6"/>
      <c r="C1834" s="6"/>
      <c r="D1834" s="15"/>
      <c r="E1834" s="22"/>
      <c r="F1834" s="22"/>
      <c r="G1834" s="22"/>
      <c r="I1834" s="5"/>
      <c r="J1834" s="5"/>
      <c r="K1834" s="22"/>
      <c r="L1834" s="22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19"/>
      <c r="AH1834" s="5"/>
      <c r="AI1834" s="5"/>
      <c r="AJ1834" s="5"/>
      <c r="AK1834" s="5"/>
    </row>
    <row r="1835" spans="1:37" x14ac:dyDescent="0.25">
      <c r="A1835" s="182"/>
      <c r="B1835" s="6"/>
      <c r="C1835" s="6"/>
      <c r="D1835" s="15"/>
      <c r="E1835" s="22"/>
      <c r="F1835" s="22"/>
      <c r="G1835" s="22"/>
      <c r="I1835" s="5"/>
      <c r="J1835" s="5"/>
      <c r="K1835" s="22"/>
      <c r="L1835" s="22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19"/>
      <c r="AH1835" s="5"/>
      <c r="AI1835" s="5"/>
      <c r="AJ1835" s="5"/>
      <c r="AK1835" s="5"/>
    </row>
    <row r="1836" spans="1:37" x14ac:dyDescent="0.25">
      <c r="A1836" s="182"/>
      <c r="B1836" s="6"/>
      <c r="C1836" s="6"/>
      <c r="D1836" s="15"/>
      <c r="E1836" s="22"/>
      <c r="F1836" s="22"/>
      <c r="G1836" s="22"/>
      <c r="I1836" s="5"/>
      <c r="J1836" s="5"/>
      <c r="K1836" s="22"/>
      <c r="L1836" s="22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19"/>
      <c r="AH1836" s="5"/>
      <c r="AI1836" s="5"/>
      <c r="AJ1836" s="5"/>
      <c r="AK1836" s="5"/>
    </row>
    <row r="1837" spans="1:37" x14ac:dyDescent="0.25">
      <c r="A1837" s="182"/>
      <c r="B1837" s="6"/>
      <c r="C1837" s="6"/>
      <c r="D1837" s="15"/>
      <c r="E1837" s="22"/>
      <c r="F1837" s="22"/>
      <c r="G1837" s="22"/>
      <c r="I1837" s="5"/>
      <c r="J1837" s="5"/>
      <c r="K1837" s="22"/>
      <c r="L1837" s="22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19"/>
      <c r="AH1837" s="5"/>
      <c r="AI1837" s="5"/>
      <c r="AJ1837" s="5"/>
      <c r="AK1837" s="5"/>
    </row>
    <row r="1838" spans="1:37" x14ac:dyDescent="0.25">
      <c r="A1838" s="182"/>
      <c r="B1838" s="6"/>
      <c r="C1838" s="6"/>
      <c r="D1838" s="15"/>
      <c r="E1838" s="22"/>
      <c r="F1838" s="22"/>
      <c r="G1838" s="22"/>
      <c r="I1838" s="5"/>
      <c r="J1838" s="5"/>
      <c r="K1838" s="22"/>
      <c r="L1838" s="22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19"/>
      <c r="AH1838" s="5"/>
      <c r="AI1838" s="5"/>
      <c r="AJ1838" s="5"/>
      <c r="AK1838" s="5"/>
    </row>
    <row r="1839" spans="1:37" x14ac:dyDescent="0.25">
      <c r="A1839" s="182"/>
      <c r="B1839" s="6"/>
      <c r="C1839" s="6"/>
      <c r="D1839" s="15"/>
      <c r="E1839" s="22"/>
      <c r="F1839" s="22"/>
      <c r="G1839" s="22"/>
      <c r="I1839" s="5"/>
      <c r="J1839" s="5"/>
      <c r="K1839" s="22"/>
      <c r="L1839" s="22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19"/>
      <c r="AH1839" s="5"/>
      <c r="AI1839" s="5"/>
      <c r="AJ1839" s="5"/>
      <c r="AK1839" s="5"/>
    </row>
    <row r="1840" spans="1:37" x14ac:dyDescent="0.25">
      <c r="A1840" s="182"/>
      <c r="B1840" s="6"/>
      <c r="C1840" s="6"/>
      <c r="D1840" s="15"/>
      <c r="E1840" s="22"/>
      <c r="F1840" s="22"/>
      <c r="G1840" s="22"/>
      <c r="I1840" s="5"/>
      <c r="J1840" s="5"/>
      <c r="K1840" s="22"/>
      <c r="L1840" s="22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19"/>
      <c r="AH1840" s="5"/>
      <c r="AI1840" s="5"/>
      <c r="AJ1840" s="5"/>
      <c r="AK1840" s="5"/>
    </row>
    <row r="1841" spans="1:37" x14ac:dyDescent="0.25">
      <c r="A1841" s="182"/>
      <c r="B1841" s="6"/>
      <c r="C1841" s="6"/>
      <c r="D1841" s="15"/>
      <c r="E1841" s="22"/>
      <c r="F1841" s="22"/>
      <c r="G1841" s="22"/>
      <c r="I1841" s="5"/>
      <c r="J1841" s="5"/>
      <c r="K1841" s="22"/>
      <c r="L1841" s="22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19"/>
      <c r="AH1841" s="5"/>
      <c r="AI1841" s="5"/>
      <c r="AJ1841" s="5"/>
      <c r="AK1841" s="5"/>
    </row>
    <row r="1842" spans="1:37" x14ac:dyDescent="0.25">
      <c r="A1842" s="182"/>
      <c r="B1842" s="6"/>
      <c r="C1842" s="6"/>
      <c r="D1842" s="15"/>
      <c r="E1842" s="22"/>
      <c r="F1842" s="22"/>
      <c r="G1842" s="22"/>
      <c r="I1842" s="5"/>
      <c r="J1842" s="5"/>
      <c r="K1842" s="22"/>
      <c r="L1842" s="22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19"/>
      <c r="AH1842" s="5"/>
      <c r="AI1842" s="5"/>
      <c r="AJ1842" s="5"/>
      <c r="AK1842" s="5"/>
    </row>
    <row r="1843" spans="1:37" x14ac:dyDescent="0.25">
      <c r="A1843" s="182"/>
      <c r="B1843" s="6"/>
      <c r="C1843" s="6"/>
      <c r="D1843" s="15"/>
      <c r="E1843" s="22"/>
      <c r="F1843" s="22"/>
      <c r="G1843" s="22"/>
      <c r="I1843" s="5"/>
      <c r="J1843" s="5"/>
      <c r="K1843" s="22"/>
      <c r="L1843" s="22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19"/>
      <c r="AH1843" s="5"/>
      <c r="AI1843" s="5"/>
      <c r="AJ1843" s="5"/>
      <c r="AK1843" s="5"/>
    </row>
    <row r="1844" spans="1:37" x14ac:dyDescent="0.25">
      <c r="A1844" s="182"/>
      <c r="B1844" s="6"/>
      <c r="C1844" s="6"/>
      <c r="D1844" s="15"/>
      <c r="E1844" s="22"/>
      <c r="F1844" s="22"/>
      <c r="G1844" s="22"/>
      <c r="I1844" s="5"/>
      <c r="J1844" s="5"/>
      <c r="K1844" s="22"/>
      <c r="L1844" s="22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19"/>
      <c r="AH1844" s="5"/>
      <c r="AI1844" s="5"/>
      <c r="AJ1844" s="5"/>
      <c r="AK1844" s="5"/>
    </row>
    <row r="1845" spans="1:37" x14ac:dyDescent="0.25">
      <c r="A1845" s="182"/>
      <c r="B1845" s="6"/>
      <c r="C1845" s="6"/>
      <c r="D1845" s="15"/>
      <c r="E1845" s="22"/>
      <c r="F1845" s="22"/>
      <c r="G1845" s="22"/>
      <c r="I1845" s="5"/>
      <c r="J1845" s="5"/>
      <c r="K1845" s="22"/>
      <c r="L1845" s="22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19"/>
      <c r="AH1845" s="5"/>
      <c r="AI1845" s="5"/>
      <c r="AJ1845" s="5"/>
      <c r="AK1845" s="5"/>
    </row>
    <row r="1846" spans="1:37" x14ac:dyDescent="0.25">
      <c r="A1846" s="182"/>
      <c r="B1846" s="6"/>
      <c r="C1846" s="6"/>
      <c r="D1846" s="15"/>
      <c r="E1846" s="22"/>
      <c r="F1846" s="22"/>
      <c r="G1846" s="22"/>
      <c r="I1846" s="5"/>
      <c r="J1846" s="5"/>
      <c r="K1846" s="22"/>
      <c r="L1846" s="22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19"/>
      <c r="AH1846" s="5"/>
      <c r="AI1846" s="5"/>
      <c r="AJ1846" s="5"/>
      <c r="AK1846" s="5"/>
    </row>
    <row r="1847" spans="1:37" x14ac:dyDescent="0.25">
      <c r="A1847" s="182"/>
      <c r="B1847" s="6"/>
      <c r="C1847" s="6"/>
      <c r="D1847" s="15"/>
      <c r="E1847" s="22"/>
      <c r="F1847" s="22"/>
      <c r="G1847" s="22"/>
      <c r="I1847" s="5"/>
      <c r="J1847" s="5"/>
      <c r="K1847" s="22"/>
      <c r="L1847" s="22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19"/>
      <c r="AH1847" s="5"/>
      <c r="AI1847" s="5"/>
      <c r="AJ1847" s="5"/>
      <c r="AK1847" s="5"/>
    </row>
    <row r="1848" spans="1:37" x14ac:dyDescent="0.25">
      <c r="A1848" s="182"/>
      <c r="B1848" s="6"/>
      <c r="C1848" s="6"/>
      <c r="D1848" s="15"/>
      <c r="E1848" s="22"/>
      <c r="F1848" s="22"/>
      <c r="G1848" s="22"/>
      <c r="I1848" s="5"/>
      <c r="J1848" s="5"/>
      <c r="K1848" s="22"/>
      <c r="L1848" s="22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19"/>
      <c r="AH1848" s="5"/>
      <c r="AI1848" s="5"/>
      <c r="AJ1848" s="5"/>
      <c r="AK1848" s="5"/>
    </row>
    <row r="1849" spans="1:37" x14ac:dyDescent="0.25">
      <c r="A1849" s="182"/>
      <c r="B1849" s="6"/>
      <c r="C1849" s="6"/>
      <c r="D1849" s="15"/>
      <c r="E1849" s="22"/>
      <c r="F1849" s="22"/>
      <c r="G1849" s="22"/>
      <c r="I1849" s="5"/>
      <c r="J1849" s="5"/>
      <c r="K1849" s="22"/>
      <c r="L1849" s="22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19"/>
      <c r="AH1849" s="5"/>
      <c r="AI1849" s="5"/>
      <c r="AJ1849" s="5"/>
      <c r="AK1849" s="5"/>
    </row>
    <row r="1850" spans="1:37" x14ac:dyDescent="0.25">
      <c r="A1850" s="182"/>
      <c r="B1850" s="6"/>
      <c r="C1850" s="6"/>
      <c r="D1850" s="15"/>
      <c r="E1850" s="22"/>
      <c r="F1850" s="22"/>
      <c r="G1850" s="22"/>
      <c r="I1850" s="5"/>
      <c r="J1850" s="5"/>
      <c r="K1850" s="22"/>
      <c r="L1850" s="22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19"/>
      <c r="AH1850" s="5"/>
      <c r="AI1850" s="5"/>
      <c r="AJ1850" s="5"/>
      <c r="AK1850" s="5"/>
    </row>
    <row r="1851" spans="1:37" x14ac:dyDescent="0.25">
      <c r="A1851" s="182"/>
      <c r="B1851" s="6"/>
      <c r="C1851" s="6"/>
      <c r="D1851" s="15"/>
      <c r="E1851" s="22"/>
      <c r="F1851" s="22"/>
      <c r="G1851" s="22"/>
      <c r="I1851" s="5"/>
      <c r="J1851" s="5"/>
      <c r="K1851" s="22"/>
      <c r="L1851" s="22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19"/>
      <c r="AH1851" s="5"/>
      <c r="AI1851" s="5"/>
      <c r="AJ1851" s="5"/>
      <c r="AK1851" s="5"/>
    </row>
    <row r="1852" spans="1:37" x14ac:dyDescent="0.25">
      <c r="A1852" s="182"/>
      <c r="B1852" s="6"/>
      <c r="C1852" s="6"/>
      <c r="D1852" s="15"/>
      <c r="E1852" s="22"/>
      <c r="F1852" s="22"/>
      <c r="G1852" s="22"/>
      <c r="I1852" s="5"/>
      <c r="J1852" s="5"/>
      <c r="K1852" s="22"/>
      <c r="L1852" s="22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19"/>
      <c r="AH1852" s="5"/>
      <c r="AI1852" s="5"/>
      <c r="AJ1852" s="5"/>
      <c r="AK1852" s="5"/>
    </row>
    <row r="1853" spans="1:37" x14ac:dyDescent="0.25">
      <c r="A1853" s="182"/>
      <c r="B1853" s="6"/>
      <c r="C1853" s="6"/>
      <c r="D1853" s="15"/>
      <c r="E1853" s="22"/>
      <c r="F1853" s="22"/>
      <c r="G1853" s="22"/>
      <c r="I1853" s="5"/>
      <c r="J1853" s="5"/>
      <c r="K1853" s="22"/>
      <c r="L1853" s="22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19"/>
      <c r="AH1853" s="5"/>
      <c r="AI1853" s="5"/>
      <c r="AJ1853" s="5"/>
      <c r="AK1853" s="5"/>
    </row>
    <row r="1854" spans="1:37" x14ac:dyDescent="0.25">
      <c r="A1854" s="182"/>
      <c r="B1854" s="6"/>
      <c r="C1854" s="6"/>
      <c r="D1854" s="15"/>
      <c r="E1854" s="22"/>
      <c r="F1854" s="22"/>
      <c r="G1854" s="22"/>
      <c r="I1854" s="5"/>
      <c r="J1854" s="5"/>
      <c r="K1854" s="22"/>
      <c r="L1854" s="22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19"/>
      <c r="AH1854" s="5"/>
      <c r="AI1854" s="5"/>
      <c r="AJ1854" s="5"/>
      <c r="AK1854" s="5"/>
    </row>
    <row r="1855" spans="1:37" x14ac:dyDescent="0.25">
      <c r="A1855" s="182"/>
      <c r="B1855" s="6"/>
      <c r="C1855" s="6"/>
      <c r="D1855" s="15"/>
      <c r="E1855" s="22"/>
      <c r="F1855" s="22"/>
      <c r="G1855" s="22"/>
      <c r="I1855" s="5"/>
      <c r="J1855" s="5"/>
      <c r="K1855" s="22"/>
      <c r="L1855" s="22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19"/>
      <c r="AH1855" s="5"/>
      <c r="AI1855" s="5"/>
      <c r="AJ1855" s="5"/>
      <c r="AK1855" s="5"/>
    </row>
    <row r="1856" spans="1:37" x14ac:dyDescent="0.25">
      <c r="A1856" s="182"/>
      <c r="B1856" s="6"/>
      <c r="C1856" s="6"/>
      <c r="D1856" s="15"/>
      <c r="E1856" s="22"/>
      <c r="F1856" s="22"/>
      <c r="G1856" s="22"/>
      <c r="I1856" s="5"/>
      <c r="J1856" s="5"/>
      <c r="K1856" s="22"/>
      <c r="L1856" s="22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19"/>
      <c r="AH1856" s="5"/>
      <c r="AI1856" s="5"/>
      <c r="AJ1856" s="5"/>
      <c r="AK1856" s="5"/>
    </row>
    <row r="1857" spans="1:37" x14ac:dyDescent="0.25">
      <c r="A1857" s="182"/>
      <c r="B1857" s="6"/>
      <c r="C1857" s="6"/>
      <c r="D1857" s="15"/>
      <c r="E1857" s="22"/>
      <c r="F1857" s="22"/>
      <c r="G1857" s="22"/>
      <c r="I1857" s="5"/>
      <c r="J1857" s="5"/>
      <c r="K1857" s="22"/>
      <c r="L1857" s="22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19"/>
      <c r="AH1857" s="5"/>
      <c r="AI1857" s="5"/>
      <c r="AJ1857" s="5"/>
      <c r="AK1857" s="5"/>
    </row>
    <row r="1858" spans="1:37" x14ac:dyDescent="0.25">
      <c r="A1858" s="182"/>
      <c r="B1858" s="6"/>
      <c r="C1858" s="6"/>
      <c r="D1858" s="15"/>
      <c r="E1858" s="22"/>
      <c r="F1858" s="22"/>
      <c r="G1858" s="22"/>
      <c r="I1858" s="5"/>
      <c r="J1858" s="5"/>
      <c r="K1858" s="22"/>
      <c r="L1858" s="22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19"/>
      <c r="AH1858" s="5"/>
      <c r="AI1858" s="5"/>
      <c r="AJ1858" s="5"/>
      <c r="AK1858" s="5"/>
    </row>
    <row r="1859" spans="1:37" x14ac:dyDescent="0.25">
      <c r="A1859" s="182"/>
      <c r="B1859" s="6"/>
      <c r="C1859" s="6"/>
      <c r="D1859" s="15"/>
      <c r="E1859" s="22"/>
      <c r="F1859" s="22"/>
      <c r="G1859" s="22"/>
      <c r="I1859" s="5"/>
      <c r="J1859" s="5"/>
      <c r="K1859" s="22"/>
      <c r="L1859" s="22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19"/>
      <c r="AH1859" s="5"/>
      <c r="AI1859" s="5"/>
      <c r="AJ1859" s="5"/>
      <c r="AK1859" s="5"/>
    </row>
    <row r="1860" spans="1:37" x14ac:dyDescent="0.25">
      <c r="A1860" s="182"/>
      <c r="B1860" s="6"/>
      <c r="C1860" s="6"/>
      <c r="D1860" s="15"/>
      <c r="E1860" s="22"/>
      <c r="F1860" s="22"/>
      <c r="G1860" s="22"/>
      <c r="I1860" s="5"/>
      <c r="J1860" s="5"/>
      <c r="K1860" s="22"/>
      <c r="L1860" s="22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19"/>
      <c r="AH1860" s="5"/>
      <c r="AI1860" s="5"/>
      <c r="AJ1860" s="5"/>
      <c r="AK1860" s="5"/>
    </row>
    <row r="1861" spans="1:37" x14ac:dyDescent="0.25">
      <c r="A1861" s="182"/>
      <c r="B1861" s="6"/>
      <c r="C1861" s="6"/>
      <c r="D1861" s="15"/>
      <c r="E1861" s="22"/>
      <c r="F1861" s="22"/>
      <c r="G1861" s="22"/>
      <c r="I1861" s="5"/>
      <c r="J1861" s="5"/>
      <c r="K1861" s="22"/>
      <c r="L1861" s="22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19"/>
      <c r="AH1861" s="5"/>
      <c r="AI1861" s="5"/>
      <c r="AJ1861" s="5"/>
      <c r="AK1861" s="5"/>
    </row>
    <row r="1862" spans="1:37" x14ac:dyDescent="0.25">
      <c r="A1862" s="182"/>
      <c r="B1862" s="6"/>
      <c r="C1862" s="6"/>
      <c r="D1862" s="15"/>
      <c r="E1862" s="22"/>
      <c r="F1862" s="22"/>
      <c r="G1862" s="22"/>
      <c r="I1862" s="5"/>
      <c r="J1862" s="5"/>
      <c r="K1862" s="22"/>
      <c r="L1862" s="22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19"/>
      <c r="AH1862" s="5"/>
      <c r="AI1862" s="5"/>
      <c r="AJ1862" s="5"/>
      <c r="AK1862" s="5"/>
    </row>
    <row r="1863" spans="1:37" x14ac:dyDescent="0.25">
      <c r="A1863" s="182"/>
      <c r="B1863" s="6"/>
      <c r="C1863" s="6"/>
      <c r="D1863" s="15"/>
      <c r="E1863" s="22"/>
      <c r="F1863" s="22"/>
      <c r="G1863" s="22"/>
      <c r="I1863" s="5"/>
      <c r="J1863" s="5"/>
      <c r="K1863" s="22"/>
      <c r="L1863" s="22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19"/>
      <c r="AH1863" s="5"/>
      <c r="AI1863" s="5"/>
      <c r="AJ1863" s="5"/>
      <c r="AK1863" s="5"/>
    </row>
    <row r="1864" spans="1:37" x14ac:dyDescent="0.25">
      <c r="A1864" s="182"/>
      <c r="B1864" s="6"/>
      <c r="C1864" s="6"/>
      <c r="D1864" s="15"/>
      <c r="E1864" s="22"/>
      <c r="F1864" s="22"/>
      <c r="G1864" s="22"/>
      <c r="I1864" s="5"/>
      <c r="J1864" s="5"/>
      <c r="K1864" s="22"/>
      <c r="L1864" s="22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19"/>
      <c r="AH1864" s="5"/>
      <c r="AI1864" s="5"/>
      <c r="AJ1864" s="5"/>
      <c r="AK1864" s="5"/>
    </row>
    <row r="1865" spans="1:37" x14ac:dyDescent="0.25">
      <c r="A1865" s="182"/>
      <c r="B1865" s="6"/>
      <c r="C1865" s="6"/>
      <c r="D1865" s="15"/>
      <c r="E1865" s="22"/>
      <c r="F1865" s="22"/>
      <c r="G1865" s="22"/>
      <c r="I1865" s="5"/>
      <c r="J1865" s="5"/>
      <c r="K1865" s="22"/>
      <c r="L1865" s="22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19"/>
      <c r="AH1865" s="5"/>
      <c r="AI1865" s="5"/>
      <c r="AJ1865" s="5"/>
      <c r="AK1865" s="5"/>
    </row>
    <row r="1866" spans="1:37" x14ac:dyDescent="0.25">
      <c r="A1866" s="182"/>
      <c r="B1866" s="6"/>
      <c r="C1866" s="6"/>
      <c r="D1866" s="15"/>
      <c r="E1866" s="22"/>
      <c r="F1866" s="22"/>
      <c r="G1866" s="22"/>
      <c r="I1866" s="5"/>
      <c r="J1866" s="5"/>
      <c r="K1866" s="22"/>
      <c r="L1866" s="22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19"/>
      <c r="AH1866" s="5"/>
      <c r="AI1866" s="5"/>
      <c r="AJ1866" s="5"/>
      <c r="AK1866" s="5"/>
    </row>
    <row r="1867" spans="1:37" x14ac:dyDescent="0.25">
      <c r="A1867" s="182"/>
      <c r="B1867" s="6"/>
      <c r="C1867" s="6"/>
      <c r="D1867" s="15"/>
      <c r="E1867" s="22"/>
      <c r="F1867" s="22"/>
      <c r="G1867" s="22"/>
      <c r="I1867" s="5"/>
      <c r="J1867" s="5"/>
      <c r="K1867" s="22"/>
      <c r="L1867" s="22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19"/>
      <c r="AH1867" s="5"/>
      <c r="AI1867" s="5"/>
      <c r="AJ1867" s="5"/>
      <c r="AK1867" s="5"/>
    </row>
    <row r="1868" spans="1:37" x14ac:dyDescent="0.25">
      <c r="A1868" s="182"/>
      <c r="B1868" s="6"/>
      <c r="C1868" s="6"/>
      <c r="D1868" s="15"/>
      <c r="E1868" s="22"/>
      <c r="F1868" s="22"/>
      <c r="G1868" s="22"/>
      <c r="I1868" s="5"/>
      <c r="J1868" s="5"/>
      <c r="K1868" s="22"/>
      <c r="L1868" s="22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19"/>
      <c r="AH1868" s="5"/>
      <c r="AI1868" s="5"/>
      <c r="AJ1868" s="5"/>
      <c r="AK1868" s="5"/>
    </row>
    <row r="1869" spans="1:37" x14ac:dyDescent="0.25">
      <c r="A1869" s="182"/>
      <c r="B1869" s="6"/>
      <c r="C1869" s="6"/>
      <c r="D1869" s="15"/>
      <c r="E1869" s="22"/>
      <c r="F1869" s="22"/>
      <c r="G1869" s="22"/>
      <c r="I1869" s="5"/>
      <c r="J1869" s="5"/>
      <c r="K1869" s="22"/>
      <c r="L1869" s="22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19"/>
      <c r="AH1869" s="5"/>
      <c r="AI1869" s="5"/>
      <c r="AJ1869" s="5"/>
      <c r="AK1869" s="5"/>
    </row>
    <row r="1870" spans="1:37" x14ac:dyDescent="0.25">
      <c r="A1870" s="182"/>
      <c r="B1870" s="6"/>
      <c r="C1870" s="6"/>
      <c r="D1870" s="15"/>
      <c r="E1870" s="22"/>
      <c r="F1870" s="22"/>
      <c r="G1870" s="22"/>
      <c r="I1870" s="5"/>
      <c r="J1870" s="5"/>
      <c r="K1870" s="22"/>
      <c r="L1870" s="22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19"/>
      <c r="AH1870" s="5"/>
      <c r="AI1870" s="5"/>
      <c r="AJ1870" s="5"/>
      <c r="AK1870" s="5"/>
    </row>
    <row r="1871" spans="1:37" x14ac:dyDescent="0.25">
      <c r="A1871" s="182"/>
      <c r="B1871" s="6"/>
      <c r="C1871" s="6"/>
      <c r="D1871" s="15"/>
      <c r="E1871" s="22"/>
      <c r="F1871" s="22"/>
      <c r="G1871" s="22"/>
      <c r="I1871" s="5"/>
      <c r="J1871" s="5"/>
      <c r="K1871" s="22"/>
      <c r="L1871" s="22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19"/>
      <c r="AH1871" s="5"/>
      <c r="AI1871" s="5"/>
      <c r="AJ1871" s="5"/>
      <c r="AK1871" s="5"/>
    </row>
    <row r="1872" spans="1:37" x14ac:dyDescent="0.25">
      <c r="A1872" s="182"/>
      <c r="B1872" s="6"/>
      <c r="C1872" s="6"/>
      <c r="D1872" s="15"/>
      <c r="E1872" s="22"/>
      <c r="F1872" s="22"/>
      <c r="G1872" s="22"/>
      <c r="I1872" s="5"/>
      <c r="J1872" s="5"/>
      <c r="K1872" s="22"/>
      <c r="L1872" s="22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19"/>
      <c r="AH1872" s="5"/>
      <c r="AI1872" s="5"/>
      <c r="AJ1872" s="5"/>
      <c r="AK1872" s="5"/>
    </row>
    <row r="1873" spans="1:37" x14ac:dyDescent="0.25">
      <c r="A1873" s="182"/>
      <c r="B1873" s="6"/>
      <c r="C1873" s="6"/>
      <c r="D1873" s="15"/>
      <c r="E1873" s="22"/>
      <c r="F1873" s="22"/>
      <c r="G1873" s="22"/>
      <c r="I1873" s="5"/>
      <c r="J1873" s="5"/>
      <c r="K1873" s="22"/>
      <c r="L1873" s="22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19"/>
      <c r="AH1873" s="5"/>
      <c r="AI1873" s="5"/>
      <c r="AJ1873" s="5"/>
      <c r="AK1873" s="5"/>
    </row>
    <row r="1874" spans="1:37" x14ac:dyDescent="0.25">
      <c r="A1874" s="182"/>
      <c r="B1874" s="6"/>
      <c r="C1874" s="6"/>
      <c r="D1874" s="15"/>
      <c r="E1874" s="22"/>
      <c r="F1874" s="22"/>
      <c r="G1874" s="22"/>
      <c r="I1874" s="5"/>
      <c r="J1874" s="5"/>
      <c r="K1874" s="22"/>
      <c r="L1874" s="22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19"/>
      <c r="AH1874" s="5"/>
      <c r="AI1874" s="5"/>
      <c r="AJ1874" s="5"/>
      <c r="AK1874" s="5"/>
    </row>
    <row r="1875" spans="1:37" x14ac:dyDescent="0.25">
      <c r="A1875" s="182"/>
      <c r="B1875" s="6"/>
      <c r="C1875" s="6"/>
      <c r="D1875" s="15"/>
      <c r="E1875" s="22"/>
      <c r="F1875" s="22"/>
      <c r="G1875" s="22"/>
      <c r="I1875" s="5"/>
      <c r="J1875" s="5"/>
      <c r="K1875" s="22"/>
      <c r="L1875" s="22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19"/>
      <c r="AH1875" s="5"/>
      <c r="AI1875" s="5"/>
      <c r="AJ1875" s="5"/>
      <c r="AK1875" s="5"/>
    </row>
    <row r="1876" spans="1:37" x14ac:dyDescent="0.25">
      <c r="A1876" s="182"/>
      <c r="B1876" s="6"/>
      <c r="C1876" s="6"/>
      <c r="D1876" s="15"/>
      <c r="E1876" s="22"/>
      <c r="F1876" s="22"/>
      <c r="G1876" s="22"/>
      <c r="I1876" s="5"/>
      <c r="J1876" s="5"/>
      <c r="K1876" s="22"/>
      <c r="L1876" s="22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19"/>
      <c r="AH1876" s="5"/>
      <c r="AI1876" s="5"/>
      <c r="AJ1876" s="5"/>
      <c r="AK1876" s="5"/>
    </row>
    <row r="1877" spans="1:37" x14ac:dyDescent="0.25">
      <c r="A1877" s="182"/>
      <c r="B1877" s="6"/>
      <c r="C1877" s="6"/>
      <c r="D1877" s="15"/>
      <c r="E1877" s="22"/>
      <c r="F1877" s="22"/>
      <c r="G1877" s="22"/>
      <c r="I1877" s="5"/>
      <c r="J1877" s="5"/>
      <c r="K1877" s="22"/>
      <c r="L1877" s="22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19"/>
      <c r="AH1877" s="5"/>
      <c r="AI1877" s="5"/>
      <c r="AJ1877" s="5"/>
      <c r="AK1877" s="5"/>
    </row>
    <row r="1878" spans="1:37" x14ac:dyDescent="0.25">
      <c r="A1878" s="182"/>
      <c r="B1878" s="6"/>
      <c r="C1878" s="6"/>
      <c r="D1878" s="15"/>
      <c r="E1878" s="22"/>
      <c r="F1878" s="22"/>
      <c r="G1878" s="22"/>
      <c r="I1878" s="5"/>
      <c r="J1878" s="5"/>
      <c r="K1878" s="22"/>
      <c r="L1878" s="22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19"/>
      <c r="AH1878" s="5"/>
      <c r="AI1878" s="5"/>
      <c r="AJ1878" s="5"/>
      <c r="AK1878" s="5"/>
    </row>
    <row r="1879" spans="1:37" x14ac:dyDescent="0.25">
      <c r="A1879" s="182"/>
      <c r="B1879" s="6"/>
      <c r="C1879" s="6"/>
      <c r="D1879" s="15"/>
      <c r="E1879" s="22"/>
      <c r="F1879" s="22"/>
      <c r="G1879" s="22"/>
      <c r="I1879" s="5"/>
      <c r="J1879" s="5"/>
      <c r="K1879" s="22"/>
      <c r="L1879" s="22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19"/>
      <c r="AH1879" s="5"/>
      <c r="AI1879" s="5"/>
      <c r="AJ1879" s="5"/>
      <c r="AK1879" s="5"/>
    </row>
    <row r="1880" spans="1:37" x14ac:dyDescent="0.25">
      <c r="A1880" s="182"/>
      <c r="B1880" s="6"/>
      <c r="C1880" s="6"/>
      <c r="D1880" s="15"/>
      <c r="E1880" s="22"/>
      <c r="F1880" s="22"/>
      <c r="G1880" s="22"/>
      <c r="I1880" s="5"/>
      <c r="J1880" s="5"/>
      <c r="K1880" s="22"/>
      <c r="L1880" s="22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19"/>
      <c r="AH1880" s="5"/>
      <c r="AI1880" s="5"/>
      <c r="AJ1880" s="5"/>
      <c r="AK1880" s="5"/>
    </row>
    <row r="1881" spans="1:37" x14ac:dyDescent="0.25">
      <c r="A1881" s="182"/>
      <c r="B1881" s="6"/>
      <c r="C1881" s="6"/>
      <c r="D1881" s="15"/>
      <c r="E1881" s="22"/>
      <c r="F1881" s="22"/>
      <c r="G1881" s="22"/>
      <c r="I1881" s="5"/>
      <c r="J1881" s="5"/>
      <c r="K1881" s="22"/>
      <c r="L1881" s="22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19"/>
      <c r="AH1881" s="5"/>
      <c r="AI1881" s="5"/>
      <c r="AJ1881" s="5"/>
      <c r="AK1881" s="5"/>
    </row>
    <row r="1882" spans="1:37" x14ac:dyDescent="0.25">
      <c r="A1882" s="182"/>
      <c r="B1882" s="6"/>
      <c r="C1882" s="6"/>
      <c r="D1882" s="15"/>
      <c r="E1882" s="22"/>
      <c r="F1882" s="22"/>
      <c r="G1882" s="22"/>
      <c r="I1882" s="5"/>
      <c r="J1882" s="5"/>
      <c r="K1882" s="22"/>
      <c r="L1882" s="22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19"/>
      <c r="AH1882" s="5"/>
      <c r="AI1882" s="5"/>
      <c r="AJ1882" s="5"/>
      <c r="AK1882" s="5"/>
    </row>
    <row r="1883" spans="1:37" x14ac:dyDescent="0.25">
      <c r="A1883" s="182"/>
      <c r="B1883" s="6"/>
      <c r="C1883" s="6"/>
      <c r="D1883" s="15"/>
      <c r="E1883" s="22"/>
      <c r="F1883" s="22"/>
      <c r="G1883" s="22"/>
      <c r="I1883" s="5"/>
      <c r="J1883" s="5"/>
      <c r="K1883" s="22"/>
      <c r="L1883" s="22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19"/>
      <c r="AH1883" s="5"/>
      <c r="AI1883" s="5"/>
      <c r="AJ1883" s="5"/>
      <c r="AK1883" s="5"/>
    </row>
    <row r="1884" spans="1:37" x14ac:dyDescent="0.25">
      <c r="A1884" s="182"/>
      <c r="B1884" s="6"/>
      <c r="C1884" s="6"/>
      <c r="D1884" s="15"/>
      <c r="E1884" s="22"/>
      <c r="F1884" s="22"/>
      <c r="G1884" s="22"/>
      <c r="I1884" s="5"/>
      <c r="J1884" s="5"/>
      <c r="K1884" s="22"/>
      <c r="L1884" s="22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19"/>
      <c r="AH1884" s="5"/>
      <c r="AI1884" s="5"/>
      <c r="AJ1884" s="5"/>
      <c r="AK1884" s="5"/>
    </row>
    <row r="1885" spans="1:37" x14ac:dyDescent="0.25">
      <c r="A1885" s="182"/>
      <c r="B1885" s="6"/>
      <c r="C1885" s="6"/>
      <c r="D1885" s="15"/>
      <c r="E1885" s="22"/>
      <c r="F1885" s="22"/>
      <c r="G1885" s="22"/>
      <c r="I1885" s="5"/>
      <c r="J1885" s="5"/>
      <c r="K1885" s="22"/>
      <c r="L1885" s="22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19"/>
      <c r="AH1885" s="5"/>
      <c r="AI1885" s="5"/>
      <c r="AJ1885" s="5"/>
      <c r="AK1885" s="5"/>
    </row>
    <row r="1886" spans="1:37" x14ac:dyDescent="0.25">
      <c r="A1886" s="182"/>
      <c r="B1886" s="6"/>
      <c r="C1886" s="6"/>
      <c r="D1886" s="15"/>
      <c r="E1886" s="22"/>
      <c r="F1886" s="22"/>
      <c r="G1886" s="22"/>
      <c r="I1886" s="5"/>
      <c r="J1886" s="5"/>
      <c r="K1886" s="22"/>
      <c r="L1886" s="22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19"/>
      <c r="AH1886" s="5"/>
      <c r="AI1886" s="5"/>
      <c r="AJ1886" s="5"/>
      <c r="AK1886" s="5"/>
    </row>
    <row r="1887" spans="1:37" x14ac:dyDescent="0.25">
      <c r="A1887" s="182"/>
      <c r="B1887" s="6"/>
      <c r="C1887" s="6"/>
      <c r="D1887" s="15"/>
      <c r="E1887" s="22"/>
      <c r="F1887" s="22"/>
      <c r="G1887" s="22"/>
      <c r="I1887" s="5"/>
      <c r="J1887" s="5"/>
      <c r="K1887" s="22"/>
      <c r="L1887" s="22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19"/>
      <c r="AH1887" s="5"/>
      <c r="AI1887" s="5"/>
      <c r="AJ1887" s="5"/>
      <c r="AK1887" s="5"/>
    </row>
    <row r="1888" spans="1:37" x14ac:dyDescent="0.25">
      <c r="A1888" s="182"/>
      <c r="B1888" s="6"/>
      <c r="C1888" s="6"/>
      <c r="D1888" s="15"/>
      <c r="E1888" s="22"/>
      <c r="F1888" s="22"/>
      <c r="G1888" s="22"/>
      <c r="I1888" s="5"/>
      <c r="J1888" s="5"/>
      <c r="K1888" s="22"/>
      <c r="L1888" s="22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19"/>
      <c r="AH1888" s="5"/>
      <c r="AI1888" s="5"/>
      <c r="AJ1888" s="5"/>
      <c r="AK1888" s="5"/>
    </row>
    <row r="1889" spans="1:37" x14ac:dyDescent="0.25">
      <c r="A1889" s="182"/>
      <c r="B1889" s="6"/>
      <c r="C1889" s="6"/>
      <c r="D1889" s="15"/>
      <c r="E1889" s="22"/>
      <c r="F1889" s="22"/>
      <c r="G1889" s="22"/>
      <c r="I1889" s="5"/>
      <c r="J1889" s="5"/>
      <c r="K1889" s="22"/>
      <c r="L1889" s="22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19"/>
      <c r="AH1889" s="5"/>
      <c r="AI1889" s="5"/>
      <c r="AJ1889" s="5"/>
      <c r="AK1889" s="5"/>
    </row>
    <row r="1890" spans="1:37" x14ac:dyDescent="0.25">
      <c r="A1890" s="182"/>
      <c r="B1890" s="6"/>
      <c r="C1890" s="6"/>
      <c r="D1890" s="15"/>
      <c r="E1890" s="22"/>
      <c r="F1890" s="22"/>
      <c r="G1890" s="22"/>
      <c r="I1890" s="5"/>
      <c r="J1890" s="5"/>
      <c r="K1890" s="22"/>
      <c r="L1890" s="22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19"/>
      <c r="AH1890" s="5"/>
      <c r="AI1890" s="5"/>
      <c r="AJ1890" s="5"/>
      <c r="AK1890" s="5"/>
    </row>
    <row r="1891" spans="1:37" x14ac:dyDescent="0.25">
      <c r="A1891" s="182"/>
      <c r="B1891" s="6"/>
      <c r="C1891" s="6"/>
      <c r="D1891" s="15"/>
      <c r="E1891" s="22"/>
      <c r="F1891" s="22"/>
      <c r="G1891" s="22"/>
      <c r="I1891" s="5"/>
      <c r="J1891" s="5"/>
      <c r="K1891" s="22"/>
      <c r="L1891" s="22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19"/>
      <c r="AH1891" s="5"/>
      <c r="AI1891" s="5"/>
      <c r="AJ1891" s="5"/>
      <c r="AK1891" s="5"/>
    </row>
    <row r="1892" spans="1:37" x14ac:dyDescent="0.25">
      <c r="A1892" s="182"/>
      <c r="B1892" s="6"/>
      <c r="C1892" s="6"/>
      <c r="D1892" s="15"/>
      <c r="E1892" s="22"/>
      <c r="F1892" s="22"/>
      <c r="G1892" s="22"/>
      <c r="I1892" s="5"/>
      <c r="J1892" s="5"/>
      <c r="K1892" s="22"/>
      <c r="L1892" s="22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19"/>
      <c r="AH1892" s="5"/>
      <c r="AI1892" s="5"/>
      <c r="AJ1892" s="5"/>
      <c r="AK1892" s="5"/>
    </row>
    <row r="1893" spans="1:37" x14ac:dyDescent="0.25">
      <c r="A1893" s="182"/>
      <c r="B1893" s="6"/>
      <c r="C1893" s="6"/>
      <c r="D1893" s="15"/>
      <c r="E1893" s="22"/>
      <c r="F1893" s="22"/>
      <c r="G1893" s="22"/>
      <c r="I1893" s="5"/>
      <c r="J1893" s="5"/>
      <c r="K1893" s="22"/>
      <c r="L1893" s="22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19"/>
      <c r="AH1893" s="5"/>
      <c r="AI1893" s="5"/>
      <c r="AJ1893" s="5"/>
      <c r="AK1893" s="5"/>
    </row>
    <row r="1894" spans="1:37" x14ac:dyDescent="0.25">
      <c r="A1894" s="182"/>
      <c r="B1894" s="6"/>
      <c r="C1894" s="6"/>
      <c r="D1894" s="15"/>
      <c r="E1894" s="22"/>
      <c r="F1894" s="22"/>
      <c r="G1894" s="22"/>
      <c r="I1894" s="5"/>
      <c r="J1894" s="5"/>
      <c r="K1894" s="22"/>
      <c r="L1894" s="22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19"/>
      <c r="AH1894" s="5"/>
      <c r="AI1894" s="5"/>
      <c r="AJ1894" s="5"/>
      <c r="AK1894" s="5"/>
    </row>
    <row r="1895" spans="1:37" x14ac:dyDescent="0.25">
      <c r="A1895" s="182"/>
      <c r="B1895" s="6"/>
      <c r="C1895" s="6"/>
      <c r="D1895" s="15"/>
      <c r="E1895" s="22"/>
      <c r="F1895" s="22"/>
      <c r="G1895" s="22"/>
      <c r="I1895" s="5"/>
      <c r="J1895" s="5"/>
      <c r="K1895" s="22"/>
      <c r="L1895" s="22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19"/>
      <c r="AH1895" s="5"/>
      <c r="AI1895" s="5"/>
      <c r="AJ1895" s="5"/>
      <c r="AK1895" s="5"/>
    </row>
    <row r="1896" spans="1:37" x14ac:dyDescent="0.25">
      <c r="A1896" s="182"/>
      <c r="B1896" s="6"/>
      <c r="C1896" s="6"/>
      <c r="D1896" s="15"/>
      <c r="E1896" s="22"/>
      <c r="F1896" s="22"/>
      <c r="G1896" s="22"/>
      <c r="I1896" s="5"/>
      <c r="J1896" s="5"/>
      <c r="K1896" s="22"/>
      <c r="L1896" s="22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19"/>
      <c r="AH1896" s="5"/>
      <c r="AI1896" s="5"/>
      <c r="AJ1896" s="5"/>
      <c r="AK1896" s="5"/>
    </row>
    <row r="1897" spans="1:37" x14ac:dyDescent="0.25">
      <c r="A1897" s="182"/>
      <c r="B1897" s="6"/>
      <c r="C1897" s="6"/>
      <c r="D1897" s="15"/>
      <c r="E1897" s="22"/>
      <c r="F1897" s="22"/>
      <c r="G1897" s="22"/>
      <c r="I1897" s="5"/>
      <c r="J1897" s="5"/>
      <c r="K1897" s="22"/>
      <c r="L1897" s="22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19"/>
      <c r="AH1897" s="5"/>
      <c r="AI1897" s="5"/>
      <c r="AJ1897" s="5"/>
      <c r="AK1897" s="5"/>
    </row>
    <row r="1898" spans="1:37" x14ac:dyDescent="0.25">
      <c r="A1898" s="182"/>
      <c r="B1898" s="6"/>
      <c r="C1898" s="6"/>
      <c r="D1898" s="15"/>
      <c r="E1898" s="22"/>
      <c r="F1898" s="22"/>
      <c r="G1898" s="22"/>
      <c r="I1898" s="5"/>
      <c r="J1898" s="5"/>
      <c r="K1898" s="22"/>
      <c r="L1898" s="22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19"/>
      <c r="AH1898" s="5"/>
      <c r="AI1898" s="5"/>
      <c r="AJ1898" s="5"/>
      <c r="AK1898" s="5"/>
    </row>
    <row r="1899" spans="1:37" x14ac:dyDescent="0.25">
      <c r="A1899" s="182"/>
      <c r="B1899" s="6"/>
      <c r="C1899" s="6"/>
      <c r="D1899" s="15"/>
      <c r="E1899" s="22"/>
      <c r="F1899" s="22"/>
      <c r="G1899" s="22"/>
      <c r="I1899" s="5"/>
      <c r="J1899" s="5"/>
      <c r="K1899" s="22"/>
      <c r="L1899" s="22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19"/>
      <c r="AH1899" s="5"/>
      <c r="AI1899" s="5"/>
      <c r="AJ1899" s="5"/>
      <c r="AK1899" s="5"/>
    </row>
    <row r="1900" spans="1:37" x14ac:dyDescent="0.25">
      <c r="A1900" s="182"/>
      <c r="B1900" s="6"/>
      <c r="C1900" s="6"/>
      <c r="D1900" s="15"/>
      <c r="E1900" s="22"/>
      <c r="F1900" s="22"/>
      <c r="G1900" s="22"/>
      <c r="I1900" s="5"/>
      <c r="J1900" s="5"/>
      <c r="K1900" s="22"/>
      <c r="L1900" s="22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19"/>
      <c r="AH1900" s="5"/>
      <c r="AI1900" s="5"/>
      <c r="AJ1900" s="5"/>
      <c r="AK1900" s="5"/>
    </row>
    <row r="1901" spans="1:37" x14ac:dyDescent="0.25">
      <c r="A1901" s="182"/>
      <c r="B1901" s="6"/>
      <c r="C1901" s="6"/>
      <c r="D1901" s="15"/>
      <c r="E1901" s="22"/>
      <c r="F1901" s="22"/>
      <c r="G1901" s="22"/>
      <c r="I1901" s="5"/>
      <c r="J1901" s="5"/>
      <c r="K1901" s="22"/>
      <c r="L1901" s="22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19"/>
      <c r="AH1901" s="5"/>
      <c r="AI1901" s="5"/>
      <c r="AJ1901" s="5"/>
      <c r="AK1901" s="5"/>
    </row>
    <row r="1902" spans="1:37" x14ac:dyDescent="0.25">
      <c r="A1902" s="182"/>
      <c r="B1902" s="6"/>
      <c r="C1902" s="6"/>
      <c r="D1902" s="15"/>
      <c r="E1902" s="22"/>
      <c r="F1902" s="22"/>
      <c r="G1902" s="22"/>
      <c r="I1902" s="5"/>
      <c r="J1902" s="5"/>
      <c r="K1902" s="22"/>
      <c r="L1902" s="22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19"/>
      <c r="AH1902" s="5"/>
      <c r="AI1902" s="5"/>
      <c r="AJ1902" s="5"/>
      <c r="AK1902" s="5"/>
    </row>
    <row r="1903" spans="1:37" x14ac:dyDescent="0.25">
      <c r="A1903" s="182"/>
      <c r="B1903" s="6"/>
      <c r="C1903" s="6"/>
      <c r="D1903" s="15"/>
      <c r="E1903" s="22"/>
      <c r="F1903" s="22"/>
      <c r="G1903" s="22"/>
      <c r="I1903" s="5"/>
      <c r="J1903" s="5"/>
      <c r="K1903" s="22"/>
      <c r="L1903" s="22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19"/>
      <c r="AH1903" s="5"/>
      <c r="AI1903" s="5"/>
      <c r="AJ1903" s="5"/>
      <c r="AK1903" s="5"/>
    </row>
    <row r="1904" spans="1:37" x14ac:dyDescent="0.25">
      <c r="A1904" s="182"/>
      <c r="B1904" s="6"/>
      <c r="C1904" s="6"/>
      <c r="D1904" s="15"/>
      <c r="E1904" s="22"/>
      <c r="F1904" s="22"/>
      <c r="G1904" s="22"/>
      <c r="I1904" s="5"/>
      <c r="J1904" s="5"/>
      <c r="K1904" s="22"/>
      <c r="L1904" s="22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19"/>
      <c r="AH1904" s="5"/>
      <c r="AI1904" s="5"/>
      <c r="AJ1904" s="5"/>
      <c r="AK1904" s="5"/>
    </row>
    <row r="1905" spans="1:37" x14ac:dyDescent="0.25">
      <c r="A1905" s="182"/>
      <c r="B1905" s="6"/>
      <c r="C1905" s="6"/>
      <c r="D1905" s="15"/>
      <c r="E1905" s="22"/>
      <c r="F1905" s="22"/>
      <c r="G1905" s="22"/>
      <c r="I1905" s="5"/>
      <c r="J1905" s="5"/>
      <c r="K1905" s="22"/>
      <c r="L1905" s="22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19"/>
      <c r="AH1905" s="5"/>
      <c r="AI1905" s="5"/>
      <c r="AJ1905" s="5"/>
      <c r="AK1905" s="5"/>
    </row>
    <row r="1906" spans="1:37" x14ac:dyDescent="0.25">
      <c r="A1906" s="182"/>
      <c r="B1906" s="6"/>
      <c r="C1906" s="6"/>
      <c r="D1906" s="15"/>
      <c r="E1906" s="22"/>
      <c r="F1906" s="22"/>
      <c r="G1906" s="22"/>
      <c r="I1906" s="5"/>
      <c r="J1906" s="5"/>
      <c r="K1906" s="22"/>
      <c r="L1906" s="22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19"/>
      <c r="AH1906" s="5"/>
      <c r="AI1906" s="5"/>
      <c r="AJ1906" s="5"/>
      <c r="AK1906" s="5"/>
    </row>
    <row r="1907" spans="1:37" x14ac:dyDescent="0.25">
      <c r="A1907" s="182"/>
      <c r="B1907" s="6"/>
      <c r="C1907" s="6"/>
      <c r="D1907" s="15"/>
      <c r="E1907" s="22"/>
      <c r="F1907" s="22"/>
      <c r="G1907" s="22"/>
      <c r="I1907" s="5"/>
      <c r="J1907" s="5"/>
      <c r="K1907" s="22"/>
      <c r="L1907" s="22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19"/>
      <c r="AH1907" s="5"/>
      <c r="AI1907" s="5"/>
      <c r="AJ1907" s="5"/>
      <c r="AK1907" s="5"/>
    </row>
    <row r="1908" spans="1:37" x14ac:dyDescent="0.25">
      <c r="A1908" s="182"/>
      <c r="B1908" s="6"/>
      <c r="C1908" s="6"/>
      <c r="D1908" s="15"/>
      <c r="E1908" s="22"/>
      <c r="F1908" s="22"/>
      <c r="G1908" s="22"/>
      <c r="I1908" s="5"/>
      <c r="J1908" s="5"/>
      <c r="K1908" s="22"/>
      <c r="L1908" s="22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19"/>
      <c r="AH1908" s="5"/>
      <c r="AI1908" s="5"/>
      <c r="AJ1908" s="5"/>
      <c r="AK1908" s="5"/>
    </row>
    <row r="1909" spans="1:37" x14ac:dyDescent="0.25">
      <c r="A1909" s="182"/>
      <c r="B1909" s="6"/>
      <c r="C1909" s="6"/>
      <c r="D1909" s="15"/>
      <c r="E1909" s="22"/>
      <c r="F1909" s="22"/>
      <c r="G1909" s="22"/>
      <c r="I1909" s="5"/>
      <c r="J1909" s="5"/>
      <c r="K1909" s="22"/>
      <c r="L1909" s="22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19"/>
      <c r="AH1909" s="5"/>
      <c r="AI1909" s="5"/>
      <c r="AJ1909" s="5"/>
      <c r="AK1909" s="5"/>
    </row>
    <row r="1910" spans="1:37" x14ac:dyDescent="0.25">
      <c r="A1910" s="182"/>
      <c r="B1910" s="6"/>
      <c r="C1910" s="6"/>
      <c r="D1910" s="15"/>
      <c r="E1910" s="22"/>
      <c r="F1910" s="22"/>
      <c r="G1910" s="22"/>
      <c r="I1910" s="5"/>
      <c r="J1910" s="5"/>
      <c r="K1910" s="22"/>
      <c r="L1910" s="22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19"/>
      <c r="AH1910" s="5"/>
      <c r="AI1910" s="5"/>
      <c r="AJ1910" s="5"/>
      <c r="AK1910" s="5"/>
    </row>
    <row r="1911" spans="1:37" x14ac:dyDescent="0.25">
      <c r="A1911" s="182"/>
      <c r="B1911" s="6"/>
      <c r="C1911" s="6"/>
      <c r="D1911" s="15"/>
      <c r="E1911" s="22"/>
      <c r="F1911" s="22"/>
      <c r="G1911" s="22"/>
      <c r="I1911" s="5"/>
      <c r="J1911" s="5"/>
      <c r="K1911" s="22"/>
      <c r="L1911" s="22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19"/>
      <c r="AH1911" s="5"/>
      <c r="AI1911" s="5"/>
      <c r="AJ1911" s="5"/>
      <c r="AK1911" s="5"/>
    </row>
    <row r="1912" spans="1:37" x14ac:dyDescent="0.25">
      <c r="A1912" s="182"/>
      <c r="B1912" s="6"/>
      <c r="C1912" s="6"/>
      <c r="D1912" s="15"/>
      <c r="E1912" s="22"/>
      <c r="F1912" s="22"/>
      <c r="G1912" s="22"/>
      <c r="I1912" s="5"/>
      <c r="J1912" s="5"/>
      <c r="K1912" s="22"/>
      <c r="L1912" s="22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19"/>
      <c r="AH1912" s="5"/>
      <c r="AI1912" s="5"/>
      <c r="AJ1912" s="5"/>
      <c r="AK1912" s="5"/>
    </row>
    <row r="1913" spans="1:37" x14ac:dyDescent="0.25">
      <c r="A1913" s="182"/>
      <c r="B1913" s="6"/>
      <c r="C1913" s="6"/>
      <c r="D1913" s="15"/>
      <c r="E1913" s="22"/>
      <c r="F1913" s="22"/>
      <c r="G1913" s="22"/>
      <c r="I1913" s="5"/>
      <c r="J1913" s="5"/>
      <c r="K1913" s="22"/>
      <c r="L1913" s="22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19"/>
      <c r="AH1913" s="5"/>
      <c r="AI1913" s="5"/>
      <c r="AJ1913" s="5"/>
      <c r="AK1913" s="5"/>
    </row>
    <row r="1914" spans="1:37" x14ac:dyDescent="0.25">
      <c r="A1914" s="182"/>
      <c r="B1914" s="6"/>
      <c r="C1914" s="6"/>
      <c r="D1914" s="15"/>
      <c r="E1914" s="22"/>
      <c r="F1914" s="22"/>
      <c r="G1914" s="22"/>
      <c r="I1914" s="5"/>
      <c r="J1914" s="5"/>
      <c r="K1914" s="22"/>
      <c r="L1914" s="22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19"/>
      <c r="AH1914" s="5"/>
      <c r="AI1914" s="5"/>
      <c r="AJ1914" s="5"/>
      <c r="AK1914" s="5"/>
    </row>
    <row r="1915" spans="1:37" x14ac:dyDescent="0.25">
      <c r="A1915" s="182"/>
      <c r="B1915" s="6"/>
      <c r="C1915" s="6"/>
      <c r="D1915" s="15"/>
      <c r="E1915" s="22"/>
      <c r="F1915" s="22"/>
      <c r="G1915" s="22"/>
      <c r="I1915" s="5"/>
      <c r="J1915" s="5"/>
      <c r="K1915" s="22"/>
      <c r="L1915" s="22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19"/>
      <c r="AH1915" s="5"/>
      <c r="AI1915" s="5"/>
      <c r="AJ1915" s="5"/>
      <c r="AK1915" s="5"/>
    </row>
    <row r="1916" spans="1:37" x14ac:dyDescent="0.25">
      <c r="A1916" s="182"/>
      <c r="B1916" s="6"/>
      <c r="C1916" s="6"/>
      <c r="D1916" s="15"/>
      <c r="E1916" s="22"/>
      <c r="F1916" s="22"/>
      <c r="G1916" s="22"/>
      <c r="I1916" s="5"/>
      <c r="J1916" s="5"/>
      <c r="K1916" s="22"/>
      <c r="L1916" s="22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19"/>
      <c r="AH1916" s="5"/>
      <c r="AI1916" s="5"/>
      <c r="AJ1916" s="5"/>
      <c r="AK1916" s="5"/>
    </row>
    <row r="1917" spans="1:37" x14ac:dyDescent="0.25">
      <c r="A1917" s="182"/>
      <c r="B1917" s="6"/>
      <c r="C1917" s="6"/>
      <c r="D1917" s="15"/>
      <c r="E1917" s="22"/>
      <c r="F1917" s="22"/>
      <c r="G1917" s="22"/>
      <c r="I1917" s="5"/>
      <c r="J1917" s="5"/>
      <c r="K1917" s="22"/>
      <c r="L1917" s="22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19"/>
      <c r="AH1917" s="5"/>
      <c r="AI1917" s="5"/>
      <c r="AJ1917" s="5"/>
      <c r="AK1917" s="5"/>
    </row>
    <row r="1918" spans="1:37" x14ac:dyDescent="0.25">
      <c r="A1918" s="182"/>
      <c r="B1918" s="6"/>
      <c r="C1918" s="6"/>
      <c r="D1918" s="15"/>
      <c r="E1918" s="22"/>
      <c r="F1918" s="22"/>
      <c r="G1918" s="22"/>
      <c r="I1918" s="5"/>
      <c r="J1918" s="5"/>
      <c r="K1918" s="22"/>
      <c r="L1918" s="22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19"/>
      <c r="AH1918" s="5"/>
      <c r="AI1918" s="5"/>
      <c r="AJ1918" s="5"/>
      <c r="AK1918" s="5"/>
    </row>
    <row r="1919" spans="1:37" x14ac:dyDescent="0.25">
      <c r="A1919" s="182"/>
      <c r="B1919" s="6"/>
      <c r="C1919" s="6"/>
      <c r="D1919" s="15"/>
      <c r="E1919" s="22"/>
      <c r="F1919" s="22"/>
      <c r="G1919" s="22"/>
      <c r="I1919" s="5"/>
      <c r="J1919" s="5"/>
      <c r="K1919" s="22"/>
      <c r="L1919" s="22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19"/>
      <c r="AH1919" s="5"/>
      <c r="AI1919" s="5"/>
      <c r="AJ1919" s="5"/>
      <c r="AK1919" s="5"/>
    </row>
    <row r="1920" spans="1:37" x14ac:dyDescent="0.25">
      <c r="A1920" s="182"/>
      <c r="B1920" s="6"/>
      <c r="C1920" s="6"/>
      <c r="D1920" s="15"/>
      <c r="E1920" s="22"/>
      <c r="F1920" s="22"/>
      <c r="G1920" s="22"/>
      <c r="I1920" s="5"/>
      <c r="J1920" s="5"/>
      <c r="K1920" s="22"/>
      <c r="L1920" s="22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19"/>
      <c r="AH1920" s="5"/>
      <c r="AI1920" s="5"/>
      <c r="AJ1920" s="5"/>
      <c r="AK1920" s="5"/>
    </row>
    <row r="1921" spans="1:37" x14ac:dyDescent="0.25">
      <c r="A1921" s="182"/>
      <c r="B1921" s="6"/>
      <c r="C1921" s="6"/>
      <c r="D1921" s="15"/>
      <c r="E1921" s="22"/>
      <c r="F1921" s="22"/>
      <c r="G1921" s="22"/>
      <c r="I1921" s="5"/>
      <c r="J1921" s="5"/>
      <c r="K1921" s="22"/>
      <c r="L1921" s="22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19"/>
      <c r="AH1921" s="5"/>
      <c r="AI1921" s="5"/>
      <c r="AJ1921" s="5"/>
      <c r="AK1921" s="5"/>
    </row>
    <row r="1922" spans="1:37" x14ac:dyDescent="0.25">
      <c r="A1922" s="182"/>
      <c r="B1922" s="6"/>
      <c r="C1922" s="6"/>
      <c r="D1922" s="15"/>
      <c r="E1922" s="22"/>
      <c r="F1922" s="22"/>
      <c r="G1922" s="22"/>
      <c r="I1922" s="5"/>
      <c r="J1922" s="5"/>
      <c r="K1922" s="22"/>
      <c r="L1922" s="22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19"/>
      <c r="AH1922" s="5"/>
      <c r="AI1922" s="5"/>
      <c r="AJ1922" s="5"/>
      <c r="AK1922" s="5"/>
    </row>
    <row r="1923" spans="1:37" x14ac:dyDescent="0.25">
      <c r="A1923" s="182"/>
      <c r="B1923" s="6"/>
      <c r="C1923" s="6"/>
      <c r="D1923" s="15"/>
      <c r="E1923" s="22"/>
      <c r="F1923" s="22"/>
      <c r="G1923" s="22"/>
      <c r="I1923" s="5"/>
      <c r="J1923" s="5"/>
      <c r="K1923" s="22"/>
      <c r="L1923" s="22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19"/>
      <c r="AH1923" s="5"/>
      <c r="AI1923" s="5"/>
      <c r="AJ1923" s="5"/>
      <c r="AK1923" s="5"/>
    </row>
    <row r="1924" spans="1:37" x14ac:dyDescent="0.25">
      <c r="A1924" s="182"/>
      <c r="B1924" s="6"/>
      <c r="C1924" s="6"/>
      <c r="D1924" s="15"/>
      <c r="E1924" s="22"/>
      <c r="F1924" s="22"/>
      <c r="G1924" s="22"/>
      <c r="I1924" s="5"/>
      <c r="J1924" s="5"/>
      <c r="K1924" s="22"/>
      <c r="L1924" s="22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19"/>
      <c r="AH1924" s="5"/>
      <c r="AI1924" s="5"/>
      <c r="AJ1924" s="5"/>
      <c r="AK1924" s="5"/>
    </row>
    <row r="1925" spans="1:37" x14ac:dyDescent="0.25">
      <c r="A1925" s="182"/>
      <c r="B1925" s="6"/>
      <c r="C1925" s="6"/>
      <c r="D1925" s="15"/>
      <c r="E1925" s="22"/>
      <c r="F1925" s="22"/>
      <c r="G1925" s="22"/>
      <c r="I1925" s="5"/>
      <c r="J1925" s="5"/>
      <c r="K1925" s="22"/>
      <c r="L1925" s="22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19"/>
      <c r="AH1925" s="5"/>
      <c r="AI1925" s="5"/>
      <c r="AJ1925" s="5"/>
      <c r="AK1925" s="5"/>
    </row>
    <row r="1926" spans="1:37" x14ac:dyDescent="0.25">
      <c r="A1926" s="182"/>
      <c r="B1926" s="6"/>
      <c r="C1926" s="6"/>
      <c r="D1926" s="15"/>
      <c r="E1926" s="22"/>
      <c r="F1926" s="22"/>
      <c r="G1926" s="22"/>
      <c r="I1926" s="5"/>
      <c r="J1926" s="5"/>
      <c r="K1926" s="22"/>
      <c r="L1926" s="22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19"/>
      <c r="AH1926" s="5"/>
      <c r="AI1926" s="5"/>
      <c r="AJ1926" s="5"/>
      <c r="AK1926" s="5"/>
    </row>
    <row r="1927" spans="1:37" x14ac:dyDescent="0.25">
      <c r="A1927" s="182"/>
      <c r="B1927" s="6"/>
      <c r="C1927" s="6"/>
      <c r="D1927" s="15"/>
      <c r="E1927" s="22"/>
      <c r="F1927" s="22"/>
      <c r="G1927" s="22"/>
      <c r="I1927" s="5"/>
      <c r="J1927" s="5"/>
      <c r="K1927" s="22"/>
      <c r="L1927" s="22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19"/>
      <c r="AH1927" s="5"/>
      <c r="AI1927" s="5"/>
      <c r="AJ1927" s="5"/>
      <c r="AK1927" s="5"/>
    </row>
    <row r="1928" spans="1:37" x14ac:dyDescent="0.25">
      <c r="A1928" s="182"/>
      <c r="B1928" s="6"/>
      <c r="C1928" s="6"/>
      <c r="D1928" s="15"/>
      <c r="E1928" s="22"/>
      <c r="F1928" s="22"/>
      <c r="G1928" s="22"/>
      <c r="I1928" s="5"/>
      <c r="J1928" s="5"/>
      <c r="K1928" s="22"/>
      <c r="L1928" s="22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19"/>
      <c r="AH1928" s="5"/>
      <c r="AI1928" s="5"/>
      <c r="AJ1928" s="5"/>
      <c r="AK1928" s="5"/>
    </row>
    <row r="1929" spans="1:37" x14ac:dyDescent="0.25">
      <c r="A1929" s="182"/>
      <c r="B1929" s="6"/>
      <c r="C1929" s="6"/>
      <c r="D1929" s="15"/>
      <c r="E1929" s="22"/>
      <c r="F1929" s="22"/>
      <c r="G1929" s="22"/>
      <c r="I1929" s="5"/>
      <c r="J1929" s="5"/>
      <c r="K1929" s="22"/>
      <c r="L1929" s="22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19"/>
      <c r="AH1929" s="5"/>
      <c r="AI1929" s="5"/>
      <c r="AJ1929" s="5"/>
      <c r="AK1929" s="5"/>
    </row>
    <row r="1930" spans="1:37" x14ac:dyDescent="0.25">
      <c r="A1930" s="182"/>
      <c r="B1930" s="6"/>
      <c r="C1930" s="6"/>
      <c r="D1930" s="15"/>
      <c r="E1930" s="22"/>
      <c r="F1930" s="22"/>
      <c r="G1930" s="22"/>
      <c r="I1930" s="5"/>
      <c r="J1930" s="5"/>
      <c r="K1930" s="22"/>
      <c r="L1930" s="22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19"/>
      <c r="AH1930" s="5"/>
      <c r="AI1930" s="5"/>
      <c r="AJ1930" s="5"/>
      <c r="AK1930" s="5"/>
    </row>
    <row r="1931" spans="1:37" x14ac:dyDescent="0.25">
      <c r="A1931" s="182"/>
      <c r="B1931" s="6"/>
      <c r="C1931" s="6"/>
      <c r="D1931" s="15"/>
      <c r="E1931" s="22"/>
      <c r="F1931" s="22"/>
      <c r="G1931" s="22"/>
      <c r="I1931" s="5"/>
      <c r="J1931" s="5"/>
      <c r="K1931" s="22"/>
      <c r="L1931" s="22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19"/>
      <c r="AH1931" s="5"/>
      <c r="AI1931" s="5"/>
      <c r="AJ1931" s="5"/>
      <c r="AK1931" s="5"/>
    </row>
    <row r="1932" spans="1:37" x14ac:dyDescent="0.25">
      <c r="A1932" s="182"/>
      <c r="B1932" s="6"/>
      <c r="C1932" s="6"/>
      <c r="D1932" s="15"/>
      <c r="E1932" s="22"/>
      <c r="F1932" s="22"/>
      <c r="G1932" s="22"/>
      <c r="I1932" s="5"/>
      <c r="J1932" s="5"/>
      <c r="K1932" s="22"/>
      <c r="L1932" s="22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19"/>
      <c r="AH1932" s="5"/>
      <c r="AI1932" s="5"/>
      <c r="AJ1932" s="5"/>
      <c r="AK1932" s="5"/>
    </row>
    <row r="1933" spans="1:37" x14ac:dyDescent="0.25">
      <c r="A1933" s="182"/>
      <c r="B1933" s="6"/>
      <c r="C1933" s="6"/>
      <c r="D1933" s="15"/>
      <c r="E1933" s="22"/>
      <c r="F1933" s="22"/>
      <c r="G1933" s="22"/>
      <c r="I1933" s="5"/>
      <c r="J1933" s="5"/>
      <c r="K1933" s="22"/>
      <c r="L1933" s="22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19"/>
      <c r="AH1933" s="5"/>
      <c r="AI1933" s="5"/>
      <c r="AJ1933" s="5"/>
      <c r="AK1933" s="5"/>
    </row>
    <row r="1934" spans="1:37" x14ac:dyDescent="0.25">
      <c r="A1934" s="182"/>
      <c r="B1934" s="6"/>
      <c r="C1934" s="6"/>
      <c r="D1934" s="15"/>
      <c r="E1934" s="22"/>
      <c r="F1934" s="22"/>
      <c r="G1934" s="22"/>
      <c r="I1934" s="5"/>
      <c r="J1934" s="5"/>
      <c r="K1934" s="22"/>
      <c r="L1934" s="22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19"/>
      <c r="AH1934" s="5"/>
      <c r="AI1934" s="5"/>
      <c r="AJ1934" s="5"/>
      <c r="AK1934" s="5"/>
    </row>
    <row r="1935" spans="1:37" x14ac:dyDescent="0.25">
      <c r="A1935" s="182"/>
      <c r="B1935" s="6"/>
      <c r="C1935" s="6"/>
      <c r="D1935" s="15"/>
      <c r="E1935" s="22"/>
      <c r="F1935" s="22"/>
      <c r="G1935" s="22"/>
      <c r="I1935" s="5"/>
      <c r="J1935" s="5"/>
      <c r="K1935" s="22"/>
      <c r="L1935" s="22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19"/>
      <c r="AH1935" s="5"/>
      <c r="AI1935" s="5"/>
      <c r="AJ1935" s="5"/>
      <c r="AK1935" s="5"/>
    </row>
    <row r="1936" spans="1:37" x14ac:dyDescent="0.25">
      <c r="A1936" s="182"/>
      <c r="B1936" s="6"/>
      <c r="C1936" s="6"/>
      <c r="D1936" s="15"/>
      <c r="E1936" s="22"/>
      <c r="F1936" s="22"/>
      <c r="G1936" s="22"/>
      <c r="I1936" s="5"/>
      <c r="J1936" s="5"/>
      <c r="K1936" s="22"/>
      <c r="L1936" s="22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19"/>
      <c r="AH1936" s="5"/>
      <c r="AI1936" s="5"/>
      <c r="AJ1936" s="5"/>
      <c r="AK1936" s="5"/>
    </row>
    <row r="1937" spans="1:37" x14ac:dyDescent="0.25">
      <c r="A1937" s="182"/>
      <c r="B1937" s="6"/>
      <c r="C1937" s="6"/>
      <c r="D1937" s="15"/>
      <c r="E1937" s="22"/>
      <c r="F1937" s="22"/>
      <c r="G1937" s="22"/>
      <c r="I1937" s="5"/>
      <c r="J1937" s="5"/>
      <c r="K1937" s="22"/>
      <c r="L1937" s="22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19"/>
      <c r="AH1937" s="5"/>
      <c r="AI1937" s="5"/>
      <c r="AJ1937" s="5"/>
      <c r="AK1937" s="5"/>
    </row>
    <row r="1938" spans="1:37" x14ac:dyDescent="0.25">
      <c r="A1938" s="182"/>
      <c r="B1938" s="6"/>
      <c r="C1938" s="6"/>
      <c r="D1938" s="15"/>
      <c r="E1938" s="22"/>
      <c r="F1938" s="22"/>
      <c r="G1938" s="22"/>
      <c r="I1938" s="5"/>
      <c r="J1938" s="5"/>
      <c r="K1938" s="22"/>
      <c r="L1938" s="22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19"/>
      <c r="AH1938" s="5"/>
      <c r="AI1938" s="5"/>
      <c r="AJ1938" s="5"/>
      <c r="AK1938" s="5"/>
    </row>
    <row r="1939" spans="1:37" x14ac:dyDescent="0.25">
      <c r="A1939" s="182"/>
      <c r="B1939" s="6"/>
      <c r="C1939" s="6"/>
      <c r="D1939" s="15"/>
      <c r="E1939" s="22"/>
      <c r="F1939" s="22"/>
      <c r="G1939" s="22"/>
      <c r="I1939" s="5"/>
      <c r="J1939" s="5"/>
      <c r="K1939" s="22"/>
      <c r="L1939" s="22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19"/>
      <c r="AH1939" s="5"/>
      <c r="AI1939" s="5"/>
      <c r="AJ1939" s="5"/>
      <c r="AK1939" s="5"/>
    </row>
    <row r="1940" spans="1:37" x14ac:dyDescent="0.25">
      <c r="A1940" s="182"/>
      <c r="B1940" s="6"/>
      <c r="C1940" s="6"/>
      <c r="D1940" s="15"/>
      <c r="E1940" s="22"/>
      <c r="F1940" s="22"/>
      <c r="G1940" s="22"/>
      <c r="I1940" s="5"/>
      <c r="J1940" s="5"/>
      <c r="K1940" s="22"/>
      <c r="L1940" s="22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19"/>
      <c r="AH1940" s="5"/>
      <c r="AI1940" s="5"/>
      <c r="AJ1940" s="5"/>
      <c r="AK1940" s="5"/>
    </row>
    <row r="1941" spans="1:37" x14ac:dyDescent="0.25">
      <c r="A1941" s="182"/>
      <c r="B1941" s="6"/>
      <c r="C1941" s="6"/>
      <c r="D1941" s="15"/>
      <c r="E1941" s="22"/>
      <c r="F1941" s="22"/>
      <c r="G1941" s="22"/>
      <c r="I1941" s="5"/>
      <c r="J1941" s="5"/>
      <c r="K1941" s="22"/>
      <c r="L1941" s="22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19"/>
      <c r="AH1941" s="5"/>
      <c r="AI1941" s="5"/>
      <c r="AJ1941" s="5"/>
      <c r="AK1941" s="5"/>
    </row>
    <row r="1942" spans="1:37" x14ac:dyDescent="0.25">
      <c r="A1942" s="182"/>
      <c r="B1942" s="6"/>
      <c r="C1942" s="6"/>
      <c r="D1942" s="15"/>
      <c r="E1942" s="22"/>
      <c r="F1942" s="22"/>
      <c r="G1942" s="22"/>
      <c r="I1942" s="5"/>
      <c r="J1942" s="5"/>
      <c r="K1942" s="22"/>
      <c r="L1942" s="22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19"/>
      <c r="AH1942" s="5"/>
      <c r="AI1942" s="5"/>
      <c r="AJ1942" s="5"/>
      <c r="AK1942" s="5"/>
    </row>
    <row r="1943" spans="1:37" x14ac:dyDescent="0.25">
      <c r="A1943" s="182"/>
      <c r="B1943" s="6"/>
      <c r="C1943" s="6"/>
      <c r="D1943" s="15"/>
      <c r="E1943" s="22"/>
      <c r="F1943" s="22"/>
      <c r="G1943" s="22"/>
      <c r="I1943" s="5"/>
      <c r="J1943" s="5"/>
      <c r="K1943" s="22"/>
      <c r="L1943" s="22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19"/>
      <c r="AH1943" s="5"/>
      <c r="AI1943" s="5"/>
      <c r="AJ1943" s="5"/>
      <c r="AK1943" s="5"/>
    </row>
    <row r="1944" spans="1:37" x14ac:dyDescent="0.25">
      <c r="A1944" s="182"/>
      <c r="B1944" s="6"/>
      <c r="C1944" s="6"/>
      <c r="D1944" s="15"/>
      <c r="E1944" s="22"/>
      <c r="F1944" s="22"/>
      <c r="G1944" s="22"/>
      <c r="I1944" s="5"/>
      <c r="J1944" s="5"/>
      <c r="K1944" s="22"/>
      <c r="L1944" s="22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19"/>
      <c r="AH1944" s="5"/>
      <c r="AI1944" s="5"/>
      <c r="AJ1944" s="5"/>
      <c r="AK1944" s="5"/>
    </row>
    <row r="1945" spans="1:37" x14ac:dyDescent="0.25">
      <c r="A1945" s="182"/>
      <c r="B1945" s="6"/>
      <c r="C1945" s="6"/>
      <c r="D1945" s="15"/>
      <c r="E1945" s="22"/>
      <c r="F1945" s="22"/>
      <c r="G1945" s="22"/>
      <c r="I1945" s="5"/>
      <c r="J1945" s="5"/>
      <c r="K1945" s="22"/>
      <c r="L1945" s="22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19"/>
      <c r="AH1945" s="5"/>
      <c r="AI1945" s="5"/>
      <c r="AJ1945" s="5"/>
      <c r="AK1945" s="5"/>
    </row>
    <row r="1946" spans="1:37" x14ac:dyDescent="0.25">
      <c r="A1946" s="182"/>
      <c r="B1946" s="6"/>
      <c r="C1946" s="6"/>
      <c r="D1946" s="15"/>
      <c r="E1946" s="22"/>
      <c r="F1946" s="22"/>
      <c r="G1946" s="22"/>
      <c r="I1946" s="5"/>
      <c r="J1946" s="5"/>
      <c r="K1946" s="22"/>
      <c r="L1946" s="22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19"/>
      <c r="AH1946" s="5"/>
      <c r="AI1946" s="5"/>
      <c r="AJ1946" s="5"/>
      <c r="AK1946" s="5"/>
    </row>
    <row r="1947" spans="1:37" x14ac:dyDescent="0.25">
      <c r="A1947" s="182"/>
      <c r="B1947" s="6"/>
      <c r="C1947" s="6"/>
      <c r="D1947" s="15"/>
      <c r="E1947" s="22"/>
      <c r="F1947" s="22"/>
      <c r="G1947" s="22"/>
      <c r="I1947" s="5"/>
      <c r="J1947" s="5"/>
      <c r="K1947" s="22"/>
      <c r="L1947" s="22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19"/>
      <c r="AH1947" s="5"/>
      <c r="AI1947" s="5"/>
      <c r="AJ1947" s="5"/>
      <c r="AK1947" s="5"/>
    </row>
    <row r="1948" spans="1:37" x14ac:dyDescent="0.25">
      <c r="A1948" s="182"/>
      <c r="B1948" s="6"/>
      <c r="C1948" s="6"/>
      <c r="D1948" s="15"/>
      <c r="E1948" s="22"/>
      <c r="F1948" s="22"/>
      <c r="G1948" s="22"/>
      <c r="I1948" s="5"/>
      <c r="J1948" s="5"/>
      <c r="K1948" s="22"/>
      <c r="L1948" s="22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19"/>
      <c r="AH1948" s="5"/>
      <c r="AI1948" s="5"/>
      <c r="AJ1948" s="5"/>
      <c r="AK1948" s="5"/>
    </row>
    <row r="1949" spans="1:37" x14ac:dyDescent="0.25">
      <c r="A1949" s="182"/>
      <c r="B1949" s="6"/>
      <c r="C1949" s="6"/>
      <c r="D1949" s="15"/>
      <c r="E1949" s="22"/>
      <c r="F1949" s="22"/>
      <c r="G1949" s="22"/>
      <c r="I1949" s="5"/>
      <c r="J1949" s="5"/>
      <c r="K1949" s="22"/>
      <c r="L1949" s="22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19"/>
      <c r="AH1949" s="5"/>
      <c r="AI1949" s="5"/>
      <c r="AJ1949" s="5"/>
      <c r="AK1949" s="5"/>
    </row>
    <row r="1950" spans="1:37" x14ac:dyDescent="0.25">
      <c r="A1950" s="182"/>
      <c r="B1950" s="6"/>
      <c r="C1950" s="6"/>
      <c r="D1950" s="15"/>
      <c r="E1950" s="22"/>
      <c r="F1950" s="22"/>
      <c r="G1950" s="22"/>
      <c r="I1950" s="5"/>
      <c r="J1950" s="5"/>
      <c r="K1950" s="22"/>
      <c r="L1950" s="22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19"/>
      <c r="AH1950" s="5"/>
      <c r="AI1950" s="5"/>
      <c r="AJ1950" s="5"/>
      <c r="AK1950" s="5"/>
    </row>
    <row r="1951" spans="1:37" x14ac:dyDescent="0.25">
      <c r="A1951" s="182"/>
      <c r="B1951" s="6"/>
      <c r="C1951" s="6"/>
      <c r="D1951" s="15"/>
      <c r="E1951" s="22"/>
      <c r="F1951" s="22"/>
      <c r="G1951" s="22"/>
      <c r="I1951" s="5"/>
      <c r="J1951" s="5"/>
      <c r="K1951" s="22"/>
      <c r="L1951" s="22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19"/>
      <c r="AH1951" s="5"/>
      <c r="AI1951" s="5"/>
      <c r="AJ1951" s="5"/>
      <c r="AK1951" s="5"/>
    </row>
    <row r="1952" spans="1:37" x14ac:dyDescent="0.25">
      <c r="A1952" s="182"/>
      <c r="B1952" s="6"/>
      <c r="C1952" s="6"/>
      <c r="D1952" s="15"/>
      <c r="E1952" s="22"/>
      <c r="F1952" s="22"/>
      <c r="G1952" s="22"/>
      <c r="I1952" s="5"/>
      <c r="J1952" s="5"/>
      <c r="K1952" s="22"/>
      <c r="L1952" s="22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19"/>
      <c r="AH1952" s="5"/>
      <c r="AI1952" s="5"/>
      <c r="AJ1952" s="5"/>
      <c r="AK1952" s="5"/>
    </row>
    <row r="1953" spans="1:37" x14ac:dyDescent="0.25">
      <c r="A1953" s="182"/>
      <c r="B1953" s="6"/>
      <c r="C1953" s="6"/>
      <c r="D1953" s="15"/>
      <c r="E1953" s="22"/>
      <c r="F1953" s="22"/>
      <c r="G1953" s="22"/>
      <c r="I1953" s="5"/>
      <c r="J1953" s="5"/>
      <c r="K1953" s="22"/>
      <c r="L1953" s="22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19"/>
      <c r="AH1953" s="5"/>
      <c r="AI1953" s="5"/>
      <c r="AJ1953" s="5"/>
      <c r="AK1953" s="5"/>
    </row>
    <row r="1954" spans="1:37" x14ac:dyDescent="0.25">
      <c r="A1954" s="182"/>
      <c r="B1954" s="6"/>
      <c r="C1954" s="6"/>
      <c r="D1954" s="15"/>
      <c r="E1954" s="22"/>
      <c r="F1954" s="22"/>
      <c r="G1954" s="22"/>
      <c r="I1954" s="5"/>
      <c r="J1954" s="5"/>
      <c r="K1954" s="22"/>
      <c r="L1954" s="22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19"/>
      <c r="AH1954" s="5"/>
      <c r="AI1954" s="5"/>
      <c r="AJ1954" s="5"/>
      <c r="AK1954" s="5"/>
    </row>
    <row r="1955" spans="1:37" x14ac:dyDescent="0.25">
      <c r="A1955" s="182"/>
      <c r="B1955" s="6"/>
      <c r="C1955" s="6"/>
      <c r="D1955" s="15"/>
      <c r="E1955" s="22"/>
      <c r="F1955" s="22"/>
      <c r="G1955" s="22"/>
      <c r="I1955" s="5"/>
      <c r="J1955" s="5"/>
      <c r="K1955" s="22"/>
      <c r="L1955" s="22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19"/>
      <c r="AH1955" s="5"/>
      <c r="AI1955" s="5"/>
      <c r="AJ1955" s="5"/>
      <c r="AK1955" s="5"/>
    </row>
    <row r="1956" spans="1:37" x14ac:dyDescent="0.25">
      <c r="A1956" s="182"/>
      <c r="B1956" s="6"/>
      <c r="C1956" s="6"/>
      <c r="D1956" s="15"/>
      <c r="E1956" s="22"/>
      <c r="F1956" s="22"/>
      <c r="G1956" s="22"/>
      <c r="I1956" s="5"/>
      <c r="J1956" s="5"/>
      <c r="K1956" s="22"/>
      <c r="L1956" s="22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19"/>
      <c r="AH1956" s="5"/>
      <c r="AI1956" s="5"/>
      <c r="AJ1956" s="5"/>
      <c r="AK1956" s="5"/>
    </row>
    <row r="1957" spans="1:37" x14ac:dyDescent="0.25">
      <c r="A1957" s="182"/>
      <c r="B1957" s="6"/>
      <c r="C1957" s="6"/>
      <c r="D1957" s="15"/>
      <c r="E1957" s="22"/>
      <c r="F1957" s="22"/>
      <c r="G1957" s="22"/>
      <c r="I1957" s="5"/>
      <c r="J1957" s="5"/>
      <c r="K1957" s="22"/>
      <c r="L1957" s="22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19"/>
      <c r="AH1957" s="5"/>
      <c r="AI1957" s="5"/>
      <c r="AJ1957" s="5"/>
      <c r="AK1957" s="5"/>
    </row>
    <row r="1958" spans="1:37" x14ac:dyDescent="0.25">
      <c r="A1958" s="182"/>
      <c r="B1958" s="6"/>
      <c r="C1958" s="6"/>
      <c r="D1958" s="15"/>
      <c r="E1958" s="22"/>
      <c r="F1958" s="22"/>
      <c r="G1958" s="22"/>
      <c r="I1958" s="5"/>
      <c r="J1958" s="5"/>
      <c r="K1958" s="22"/>
      <c r="L1958" s="22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19"/>
      <c r="AH1958" s="5"/>
      <c r="AI1958" s="5"/>
      <c r="AJ1958" s="5"/>
      <c r="AK1958" s="5"/>
    </row>
    <row r="1959" spans="1:37" x14ac:dyDescent="0.25">
      <c r="A1959" s="182"/>
      <c r="B1959" s="6"/>
      <c r="C1959" s="6"/>
      <c r="D1959" s="15"/>
      <c r="E1959" s="22"/>
      <c r="F1959" s="22"/>
      <c r="G1959" s="22"/>
      <c r="I1959" s="5"/>
      <c r="J1959" s="5"/>
      <c r="K1959" s="22"/>
      <c r="L1959" s="22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19"/>
      <c r="AH1959" s="5"/>
      <c r="AI1959" s="5"/>
      <c r="AJ1959" s="5"/>
      <c r="AK1959" s="5"/>
    </row>
    <row r="1960" spans="1:37" x14ac:dyDescent="0.25">
      <c r="A1960" s="182"/>
      <c r="B1960" s="6"/>
      <c r="C1960" s="6"/>
      <c r="D1960" s="15"/>
      <c r="E1960" s="22"/>
      <c r="F1960" s="22"/>
      <c r="G1960" s="22"/>
      <c r="I1960" s="5"/>
      <c r="J1960" s="5"/>
      <c r="K1960" s="22"/>
      <c r="L1960" s="22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19"/>
      <c r="AH1960" s="5"/>
      <c r="AI1960" s="5"/>
      <c r="AJ1960" s="5"/>
      <c r="AK1960" s="5"/>
    </row>
    <row r="1961" spans="1:37" x14ac:dyDescent="0.25">
      <c r="A1961" s="182"/>
      <c r="B1961" s="6"/>
      <c r="C1961" s="6"/>
      <c r="D1961" s="15"/>
      <c r="E1961" s="22"/>
      <c r="F1961" s="22"/>
      <c r="G1961" s="22"/>
      <c r="I1961" s="5"/>
      <c r="J1961" s="5"/>
      <c r="K1961" s="22"/>
      <c r="L1961" s="22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19"/>
      <c r="AH1961" s="5"/>
      <c r="AI1961" s="5"/>
      <c r="AJ1961" s="5"/>
      <c r="AK1961" s="5"/>
    </row>
    <row r="1962" spans="1:37" x14ac:dyDescent="0.25">
      <c r="A1962" s="182"/>
      <c r="B1962" s="6"/>
      <c r="C1962" s="6"/>
      <c r="D1962" s="15"/>
      <c r="E1962" s="22"/>
      <c r="F1962" s="22"/>
      <c r="G1962" s="22"/>
      <c r="I1962" s="5"/>
      <c r="J1962" s="5"/>
      <c r="K1962" s="22"/>
      <c r="L1962" s="22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19"/>
      <c r="AH1962" s="5"/>
      <c r="AI1962" s="5"/>
      <c r="AJ1962" s="5"/>
      <c r="AK1962" s="5"/>
    </row>
    <row r="1963" spans="1:37" x14ac:dyDescent="0.25">
      <c r="A1963" s="182"/>
      <c r="B1963" s="6"/>
      <c r="C1963" s="6"/>
      <c r="D1963" s="15"/>
      <c r="E1963" s="22"/>
      <c r="F1963" s="22"/>
      <c r="G1963" s="22"/>
      <c r="I1963" s="5"/>
      <c r="J1963" s="5"/>
      <c r="K1963" s="22"/>
      <c r="L1963" s="22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19"/>
      <c r="AH1963" s="5"/>
      <c r="AI1963" s="5"/>
      <c r="AJ1963" s="5"/>
      <c r="AK1963" s="5"/>
    </row>
    <row r="1964" spans="1:37" x14ac:dyDescent="0.25">
      <c r="A1964" s="182"/>
      <c r="B1964" s="6"/>
      <c r="C1964" s="6"/>
      <c r="D1964" s="15"/>
      <c r="E1964" s="22"/>
      <c r="F1964" s="22"/>
      <c r="G1964" s="22"/>
      <c r="I1964" s="5"/>
      <c r="J1964" s="5"/>
      <c r="K1964" s="22"/>
      <c r="L1964" s="22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19"/>
      <c r="AH1964" s="5"/>
      <c r="AI1964" s="5"/>
      <c r="AJ1964" s="5"/>
      <c r="AK1964" s="5"/>
    </row>
    <row r="1965" spans="1:37" x14ac:dyDescent="0.25">
      <c r="A1965" s="182"/>
      <c r="B1965" s="6"/>
      <c r="C1965" s="6"/>
      <c r="D1965" s="15"/>
      <c r="E1965" s="22"/>
      <c r="F1965" s="22"/>
      <c r="G1965" s="22"/>
      <c r="I1965" s="5"/>
      <c r="J1965" s="5"/>
      <c r="K1965" s="22"/>
      <c r="L1965" s="22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19"/>
      <c r="AH1965" s="5"/>
      <c r="AI1965" s="5"/>
      <c r="AJ1965" s="5"/>
      <c r="AK1965" s="5"/>
    </row>
    <row r="1966" spans="1:37" x14ac:dyDescent="0.25">
      <c r="A1966" s="182"/>
      <c r="B1966" s="6"/>
      <c r="C1966" s="6"/>
      <c r="D1966" s="15"/>
      <c r="E1966" s="22"/>
      <c r="F1966" s="22"/>
      <c r="G1966" s="22"/>
      <c r="I1966" s="5"/>
      <c r="J1966" s="5"/>
      <c r="K1966" s="22"/>
      <c r="L1966" s="22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19"/>
      <c r="AH1966" s="5"/>
      <c r="AI1966" s="5"/>
      <c r="AJ1966" s="5"/>
      <c r="AK1966" s="5"/>
    </row>
    <row r="1967" spans="1:37" x14ac:dyDescent="0.25">
      <c r="A1967" s="182"/>
      <c r="B1967" s="6"/>
      <c r="C1967" s="6"/>
      <c r="D1967" s="15"/>
      <c r="E1967" s="22"/>
      <c r="F1967" s="22"/>
      <c r="G1967" s="22"/>
      <c r="I1967" s="5"/>
      <c r="J1967" s="5"/>
      <c r="K1967" s="22"/>
      <c r="L1967" s="22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19"/>
      <c r="AH1967" s="5"/>
      <c r="AI1967" s="5"/>
      <c r="AJ1967" s="5"/>
      <c r="AK1967" s="5"/>
    </row>
    <row r="1968" spans="1:37" x14ac:dyDescent="0.25">
      <c r="A1968" s="182"/>
      <c r="B1968" s="6"/>
      <c r="C1968" s="6"/>
      <c r="D1968" s="15"/>
      <c r="E1968" s="22"/>
      <c r="F1968" s="22"/>
      <c r="G1968" s="22"/>
      <c r="I1968" s="5"/>
      <c r="J1968" s="5"/>
      <c r="K1968" s="22"/>
      <c r="L1968" s="22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19"/>
      <c r="AH1968" s="5"/>
      <c r="AI1968" s="5"/>
      <c r="AJ1968" s="5"/>
      <c r="AK1968" s="5"/>
    </row>
    <row r="1969" spans="1:37" x14ac:dyDescent="0.25">
      <c r="A1969" s="182"/>
      <c r="B1969" s="6"/>
      <c r="C1969" s="6"/>
      <c r="D1969" s="15"/>
      <c r="E1969" s="22"/>
      <c r="F1969" s="22"/>
      <c r="G1969" s="22"/>
      <c r="I1969" s="5"/>
      <c r="J1969" s="5"/>
      <c r="K1969" s="22"/>
      <c r="L1969" s="22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19"/>
      <c r="AH1969" s="5"/>
      <c r="AI1969" s="5"/>
      <c r="AJ1969" s="5"/>
      <c r="AK1969" s="5"/>
    </row>
    <row r="1970" spans="1:37" x14ac:dyDescent="0.25">
      <c r="A1970" s="182"/>
      <c r="B1970" s="6"/>
      <c r="C1970" s="6"/>
      <c r="D1970" s="15"/>
      <c r="E1970" s="22"/>
      <c r="F1970" s="22"/>
      <c r="G1970" s="22"/>
      <c r="I1970" s="5"/>
      <c r="J1970" s="5"/>
      <c r="K1970" s="22"/>
      <c r="L1970" s="22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19"/>
      <c r="AH1970" s="5"/>
      <c r="AI1970" s="5"/>
      <c r="AJ1970" s="5"/>
      <c r="AK1970" s="5"/>
    </row>
    <row r="1971" spans="1:37" x14ac:dyDescent="0.25">
      <c r="A1971" s="182"/>
      <c r="B1971" s="6"/>
      <c r="C1971" s="6"/>
      <c r="D1971" s="15"/>
      <c r="E1971" s="22"/>
      <c r="F1971" s="22"/>
      <c r="G1971" s="22"/>
      <c r="I1971" s="5"/>
      <c r="J1971" s="5"/>
      <c r="K1971" s="22"/>
      <c r="L1971" s="22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19"/>
      <c r="AH1971" s="5"/>
      <c r="AI1971" s="5"/>
      <c r="AJ1971" s="5"/>
      <c r="AK1971" s="5"/>
    </row>
    <row r="1972" spans="1:37" x14ac:dyDescent="0.25">
      <c r="A1972" s="182"/>
      <c r="B1972" s="6"/>
      <c r="C1972" s="6"/>
      <c r="D1972" s="15"/>
      <c r="E1972" s="22"/>
      <c r="F1972" s="22"/>
      <c r="G1972" s="22"/>
      <c r="I1972" s="5"/>
      <c r="J1972" s="5"/>
      <c r="K1972" s="22"/>
      <c r="L1972" s="22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19"/>
      <c r="AH1972" s="5"/>
      <c r="AI1972" s="5"/>
      <c r="AJ1972" s="5"/>
      <c r="AK1972" s="5"/>
    </row>
    <row r="1973" spans="1:37" x14ac:dyDescent="0.25">
      <c r="A1973" s="182"/>
      <c r="B1973" s="6"/>
      <c r="C1973" s="6"/>
      <c r="D1973" s="15"/>
      <c r="E1973" s="22"/>
      <c r="F1973" s="22"/>
      <c r="G1973" s="22"/>
      <c r="I1973" s="5"/>
      <c r="J1973" s="5"/>
      <c r="K1973" s="22"/>
      <c r="L1973" s="22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19"/>
      <c r="AH1973" s="5"/>
      <c r="AI1973" s="5"/>
      <c r="AJ1973" s="5"/>
      <c r="AK1973" s="5"/>
    </row>
    <row r="1974" spans="1:37" x14ac:dyDescent="0.25">
      <c r="A1974" s="182"/>
      <c r="B1974" s="6"/>
      <c r="C1974" s="6"/>
      <c r="D1974" s="15"/>
      <c r="E1974" s="22"/>
      <c r="F1974" s="22"/>
      <c r="G1974" s="22"/>
      <c r="I1974" s="5"/>
      <c r="J1974" s="5"/>
      <c r="K1974" s="22"/>
      <c r="L1974" s="22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19"/>
      <c r="AH1974" s="5"/>
      <c r="AI1974" s="5"/>
      <c r="AJ1974" s="5"/>
      <c r="AK1974" s="5"/>
    </row>
    <row r="1975" spans="1:37" x14ac:dyDescent="0.25">
      <c r="A1975" s="182"/>
      <c r="B1975" s="6"/>
      <c r="C1975" s="6"/>
      <c r="D1975" s="15"/>
      <c r="E1975" s="22"/>
      <c r="F1975" s="22"/>
      <c r="G1975" s="22"/>
      <c r="I1975" s="5"/>
      <c r="J1975" s="5"/>
      <c r="K1975" s="22"/>
      <c r="L1975" s="22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19"/>
      <c r="AH1975" s="5"/>
      <c r="AI1975" s="5"/>
      <c r="AJ1975" s="5"/>
      <c r="AK1975" s="5"/>
    </row>
    <row r="1976" spans="1:37" x14ac:dyDescent="0.25">
      <c r="A1976" s="182"/>
      <c r="B1976" s="6"/>
      <c r="C1976" s="6"/>
      <c r="D1976" s="15"/>
      <c r="E1976" s="22"/>
      <c r="F1976" s="22"/>
      <c r="G1976" s="22"/>
      <c r="I1976" s="5"/>
      <c r="J1976" s="5"/>
      <c r="K1976" s="22"/>
      <c r="L1976" s="22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19"/>
      <c r="AH1976" s="5"/>
      <c r="AI1976" s="5"/>
      <c r="AJ1976" s="5"/>
      <c r="AK1976" s="5"/>
    </row>
    <row r="1977" spans="1:37" x14ac:dyDescent="0.25">
      <c r="A1977" s="182"/>
      <c r="B1977" s="6"/>
      <c r="C1977" s="6"/>
      <c r="D1977" s="15"/>
      <c r="E1977" s="22"/>
      <c r="F1977" s="22"/>
      <c r="G1977" s="22"/>
      <c r="I1977" s="5"/>
      <c r="J1977" s="5"/>
      <c r="K1977" s="22"/>
      <c r="L1977" s="22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19"/>
      <c r="AH1977" s="5"/>
      <c r="AI1977" s="5"/>
      <c r="AJ1977" s="5"/>
      <c r="AK1977" s="5"/>
    </row>
    <row r="1978" spans="1:37" x14ac:dyDescent="0.25">
      <c r="A1978" s="182"/>
      <c r="B1978" s="6"/>
      <c r="C1978" s="6"/>
      <c r="D1978" s="15"/>
      <c r="E1978" s="22"/>
      <c r="F1978" s="22"/>
      <c r="G1978" s="22"/>
      <c r="I1978" s="5"/>
      <c r="J1978" s="5"/>
      <c r="K1978" s="22"/>
      <c r="L1978" s="22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19"/>
      <c r="AH1978" s="5"/>
      <c r="AI1978" s="5"/>
      <c r="AJ1978" s="5"/>
      <c r="AK1978" s="5"/>
    </row>
    <row r="1979" spans="1:37" x14ac:dyDescent="0.25">
      <c r="A1979" s="182"/>
      <c r="B1979" s="6"/>
      <c r="C1979" s="6"/>
      <c r="D1979" s="15"/>
      <c r="E1979" s="22"/>
      <c r="F1979" s="22"/>
      <c r="G1979" s="22"/>
      <c r="I1979" s="5"/>
      <c r="J1979" s="5"/>
      <c r="K1979" s="22"/>
      <c r="L1979" s="22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19"/>
      <c r="AH1979" s="5"/>
      <c r="AI1979" s="5"/>
      <c r="AJ1979" s="5"/>
      <c r="AK1979" s="5"/>
    </row>
    <row r="1980" spans="1:37" x14ac:dyDescent="0.25">
      <c r="A1980" s="182"/>
      <c r="B1980" s="6"/>
      <c r="C1980" s="6"/>
      <c r="D1980" s="15"/>
      <c r="E1980" s="22"/>
      <c r="F1980" s="22"/>
      <c r="G1980" s="22"/>
      <c r="I1980" s="5"/>
      <c r="J1980" s="5"/>
      <c r="K1980" s="22"/>
      <c r="L1980" s="22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19"/>
      <c r="AH1980" s="5"/>
      <c r="AI1980" s="5"/>
      <c r="AJ1980" s="5"/>
      <c r="AK1980" s="5"/>
    </row>
    <row r="1981" spans="1:37" x14ac:dyDescent="0.25">
      <c r="A1981" s="182"/>
      <c r="B1981" s="6"/>
      <c r="C1981" s="6"/>
      <c r="D1981" s="15"/>
      <c r="E1981" s="22"/>
      <c r="F1981" s="22"/>
      <c r="G1981" s="22"/>
      <c r="I1981" s="5"/>
      <c r="J1981" s="5"/>
      <c r="K1981" s="22"/>
      <c r="L1981" s="22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19"/>
      <c r="AH1981" s="5"/>
      <c r="AI1981" s="5"/>
      <c r="AJ1981" s="5"/>
      <c r="AK1981" s="5"/>
    </row>
    <row r="1982" spans="1:37" x14ac:dyDescent="0.25">
      <c r="A1982" s="182"/>
      <c r="B1982" s="6"/>
      <c r="C1982" s="6"/>
      <c r="D1982" s="15"/>
      <c r="E1982" s="22"/>
      <c r="F1982" s="22"/>
      <c r="G1982" s="22"/>
      <c r="I1982" s="5"/>
      <c r="J1982" s="5"/>
      <c r="K1982" s="22"/>
      <c r="L1982" s="22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19"/>
      <c r="AH1982" s="5"/>
      <c r="AI1982" s="5"/>
      <c r="AJ1982" s="5"/>
      <c r="AK1982" s="5"/>
    </row>
    <row r="1983" spans="1:37" x14ac:dyDescent="0.25">
      <c r="A1983" s="182"/>
      <c r="B1983" s="6"/>
      <c r="C1983" s="6"/>
      <c r="D1983" s="15"/>
      <c r="E1983" s="22"/>
      <c r="F1983" s="22"/>
      <c r="G1983" s="22"/>
      <c r="I1983" s="5"/>
      <c r="J1983" s="5"/>
      <c r="K1983" s="22"/>
      <c r="L1983" s="22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19"/>
      <c r="AH1983" s="5"/>
      <c r="AI1983" s="5"/>
      <c r="AJ1983" s="5"/>
      <c r="AK1983" s="5"/>
    </row>
    <row r="1984" spans="1:37" x14ac:dyDescent="0.25">
      <c r="A1984" s="182"/>
      <c r="B1984" s="6"/>
      <c r="C1984" s="6"/>
      <c r="D1984" s="15"/>
      <c r="E1984" s="22"/>
      <c r="F1984" s="22"/>
      <c r="G1984" s="22"/>
      <c r="I1984" s="5"/>
      <c r="J1984" s="5"/>
      <c r="K1984" s="22"/>
      <c r="L1984" s="22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19"/>
      <c r="AH1984" s="5"/>
      <c r="AI1984" s="5"/>
      <c r="AJ1984" s="5"/>
      <c r="AK1984" s="5"/>
    </row>
    <row r="1985" spans="1:37" x14ac:dyDescent="0.25">
      <c r="A1985" s="182"/>
      <c r="B1985" s="6"/>
      <c r="C1985" s="6"/>
      <c r="D1985" s="15"/>
      <c r="E1985" s="22"/>
      <c r="F1985" s="22"/>
      <c r="G1985" s="22"/>
      <c r="I1985" s="5"/>
      <c r="J1985" s="5"/>
      <c r="K1985" s="22"/>
      <c r="L1985" s="22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19"/>
      <c r="AH1985" s="5"/>
      <c r="AI1985" s="5"/>
      <c r="AJ1985" s="5"/>
      <c r="AK1985" s="5"/>
    </row>
    <row r="1986" spans="1:37" x14ac:dyDescent="0.25">
      <c r="A1986" s="182"/>
      <c r="B1986" s="6"/>
      <c r="C1986" s="6"/>
      <c r="D1986" s="15"/>
      <c r="E1986" s="22"/>
      <c r="F1986" s="22"/>
      <c r="G1986" s="22"/>
      <c r="I1986" s="5"/>
      <c r="J1986" s="5"/>
      <c r="K1986" s="22"/>
      <c r="L1986" s="22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19"/>
      <c r="AH1986" s="5"/>
      <c r="AI1986" s="5"/>
      <c r="AJ1986" s="5"/>
      <c r="AK1986" s="5"/>
    </row>
    <row r="1987" spans="1:37" x14ac:dyDescent="0.25">
      <c r="A1987" s="182"/>
      <c r="B1987" s="6"/>
      <c r="C1987" s="6"/>
      <c r="D1987" s="15"/>
      <c r="E1987" s="22"/>
      <c r="F1987" s="22"/>
      <c r="G1987" s="22"/>
      <c r="I1987" s="5"/>
      <c r="J1987" s="5"/>
      <c r="K1987" s="22"/>
      <c r="L1987" s="22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19"/>
      <c r="AH1987" s="5"/>
      <c r="AI1987" s="5"/>
      <c r="AJ1987" s="5"/>
      <c r="AK1987" s="5"/>
    </row>
    <row r="1988" spans="1:37" x14ac:dyDescent="0.25">
      <c r="A1988" s="182"/>
      <c r="B1988" s="6"/>
      <c r="C1988" s="6"/>
      <c r="D1988" s="15"/>
      <c r="E1988" s="22"/>
      <c r="F1988" s="22"/>
      <c r="G1988" s="22"/>
      <c r="I1988" s="5"/>
      <c r="J1988" s="5"/>
      <c r="K1988" s="22"/>
      <c r="L1988" s="22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19"/>
      <c r="AH1988" s="5"/>
      <c r="AI1988" s="5"/>
      <c r="AJ1988" s="5"/>
      <c r="AK1988" s="5"/>
    </row>
    <row r="1989" spans="1:37" x14ac:dyDescent="0.25">
      <c r="A1989" s="182"/>
      <c r="B1989" s="6"/>
      <c r="C1989" s="6"/>
      <c r="D1989" s="15"/>
      <c r="E1989" s="22"/>
      <c r="F1989" s="22"/>
      <c r="G1989" s="22"/>
      <c r="I1989" s="5"/>
      <c r="J1989" s="5"/>
      <c r="K1989" s="22"/>
      <c r="L1989" s="22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19"/>
      <c r="AH1989" s="5"/>
      <c r="AI1989" s="5"/>
      <c r="AJ1989" s="5"/>
      <c r="AK1989" s="5"/>
    </row>
    <row r="1990" spans="1:37" x14ac:dyDescent="0.25">
      <c r="A1990" s="182"/>
      <c r="B1990" s="6"/>
      <c r="C1990" s="6"/>
      <c r="D1990" s="15"/>
      <c r="E1990" s="22"/>
      <c r="F1990" s="22"/>
      <c r="G1990" s="22"/>
      <c r="I1990" s="5"/>
      <c r="J1990" s="5"/>
      <c r="K1990" s="22"/>
      <c r="L1990" s="22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19"/>
      <c r="AH1990" s="5"/>
      <c r="AI1990" s="5"/>
      <c r="AJ1990" s="5"/>
      <c r="AK1990" s="5"/>
    </row>
    <row r="1991" spans="1:37" x14ac:dyDescent="0.25">
      <c r="A1991" s="182"/>
      <c r="B1991" s="6"/>
      <c r="C1991" s="6"/>
      <c r="D1991" s="15"/>
      <c r="E1991" s="22"/>
      <c r="F1991" s="22"/>
      <c r="G1991" s="22"/>
      <c r="I1991" s="5"/>
      <c r="J1991" s="5"/>
      <c r="K1991" s="22"/>
      <c r="L1991" s="22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19"/>
      <c r="AH1991" s="5"/>
      <c r="AI1991" s="5"/>
      <c r="AJ1991" s="5"/>
      <c r="AK1991" s="5"/>
    </row>
    <row r="1992" spans="1:37" x14ac:dyDescent="0.25">
      <c r="A1992" s="182"/>
      <c r="B1992" s="6"/>
      <c r="C1992" s="6"/>
      <c r="D1992" s="15"/>
      <c r="E1992" s="22"/>
      <c r="F1992" s="22"/>
      <c r="G1992" s="22"/>
      <c r="I1992" s="5"/>
      <c r="J1992" s="5"/>
      <c r="K1992" s="22"/>
      <c r="L1992" s="22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19"/>
      <c r="AH1992" s="5"/>
      <c r="AI1992" s="5"/>
      <c r="AJ1992" s="5"/>
      <c r="AK1992" s="5"/>
    </row>
    <row r="1993" spans="1:37" x14ac:dyDescent="0.25">
      <c r="A1993" s="182"/>
      <c r="B1993" s="6"/>
      <c r="C1993" s="6"/>
      <c r="D1993" s="15"/>
      <c r="E1993" s="22"/>
      <c r="F1993" s="22"/>
      <c r="G1993" s="22"/>
      <c r="I1993" s="5"/>
      <c r="J1993" s="5"/>
      <c r="K1993" s="22"/>
      <c r="L1993" s="22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19"/>
      <c r="AH1993" s="5"/>
      <c r="AI1993" s="5"/>
      <c r="AJ1993" s="5"/>
      <c r="AK1993" s="5"/>
    </row>
    <row r="1994" spans="1:37" x14ac:dyDescent="0.25">
      <c r="A1994" s="182"/>
      <c r="B1994" s="6"/>
      <c r="C1994" s="6"/>
      <c r="D1994" s="15"/>
      <c r="E1994" s="22"/>
      <c r="F1994" s="22"/>
      <c r="G1994" s="22"/>
      <c r="I1994" s="5"/>
      <c r="J1994" s="5"/>
      <c r="K1994" s="22"/>
      <c r="L1994" s="22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19"/>
      <c r="AH1994" s="5"/>
      <c r="AI1994" s="5"/>
      <c r="AJ1994" s="5"/>
      <c r="AK1994" s="5"/>
    </row>
    <row r="1995" spans="1:37" x14ac:dyDescent="0.25">
      <c r="A1995" s="182"/>
      <c r="B1995" s="6"/>
      <c r="C1995" s="6"/>
      <c r="D1995" s="15"/>
      <c r="E1995" s="22"/>
      <c r="F1995" s="22"/>
      <c r="G1995" s="22"/>
      <c r="I1995" s="5"/>
      <c r="J1995" s="5"/>
      <c r="K1995" s="22"/>
      <c r="L1995" s="22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19"/>
      <c r="AH1995" s="5"/>
      <c r="AI1995" s="5"/>
      <c r="AJ1995" s="5"/>
      <c r="AK1995" s="5"/>
    </row>
    <row r="1996" spans="1:37" x14ac:dyDescent="0.25">
      <c r="A1996" s="182"/>
      <c r="B1996" s="6"/>
      <c r="C1996" s="6"/>
      <c r="D1996" s="15"/>
      <c r="E1996" s="22"/>
      <c r="F1996" s="22"/>
      <c r="G1996" s="22"/>
      <c r="I1996" s="5"/>
      <c r="J1996" s="5"/>
      <c r="K1996" s="22"/>
      <c r="L1996" s="22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19"/>
      <c r="AH1996" s="5"/>
      <c r="AI1996" s="5"/>
      <c r="AJ1996" s="5"/>
      <c r="AK1996" s="5"/>
    </row>
    <row r="1997" spans="1:37" x14ac:dyDescent="0.25">
      <c r="A1997" s="182"/>
      <c r="B1997" s="6"/>
      <c r="C1997" s="6"/>
      <c r="D1997" s="15"/>
      <c r="E1997" s="22"/>
      <c r="F1997" s="22"/>
      <c r="G1997" s="22"/>
      <c r="I1997" s="5"/>
      <c r="J1997" s="5"/>
      <c r="K1997" s="22"/>
      <c r="L1997" s="22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19"/>
      <c r="AH1997" s="5"/>
      <c r="AI1997" s="5"/>
      <c r="AJ1997" s="5"/>
      <c r="AK1997" s="5"/>
    </row>
    <row r="1998" spans="1:37" x14ac:dyDescent="0.25">
      <c r="A1998" s="182"/>
      <c r="B1998" s="6"/>
      <c r="C1998" s="6"/>
      <c r="D1998" s="15"/>
      <c r="E1998" s="22"/>
      <c r="F1998" s="22"/>
      <c r="G1998" s="22"/>
      <c r="I1998" s="5"/>
      <c r="J1998" s="5"/>
      <c r="K1998" s="22"/>
      <c r="L1998" s="22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19"/>
      <c r="AH1998" s="5"/>
      <c r="AI1998" s="5"/>
      <c r="AJ1998" s="5"/>
      <c r="AK1998" s="5"/>
    </row>
    <row r="1999" spans="1:37" x14ac:dyDescent="0.25">
      <c r="A1999" s="182"/>
      <c r="B1999" s="6"/>
      <c r="C1999" s="6"/>
      <c r="D1999" s="15"/>
      <c r="E1999" s="22"/>
      <c r="F1999" s="22"/>
      <c r="G1999" s="22"/>
      <c r="I1999" s="5"/>
      <c r="J1999" s="5"/>
      <c r="K1999" s="22"/>
      <c r="L1999" s="22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19"/>
      <c r="AH1999" s="5"/>
      <c r="AI1999" s="5"/>
      <c r="AJ1999" s="5"/>
      <c r="AK1999" s="5"/>
    </row>
  </sheetData>
  <sheetProtection sheet="1" objects="1" scenarios="1" formatColumns="0" formatRows="0" autoFilter="0"/>
  <autoFilter ref="A5:AK5"/>
  <sortState ref="A6:AK2000">
    <sortCondition descending="1" ref="A6:A2000"/>
  </sortState>
  <mergeCells count="4">
    <mergeCell ref="M1:AF1"/>
    <mergeCell ref="AG1:AI1"/>
    <mergeCell ref="B1:C1"/>
    <mergeCell ref="I1:L1"/>
  </mergeCells>
  <conditionalFormatting sqref="D4:F5 D3 D6:G7 K6:L7 D10:G1048576 K10:L1048576">
    <cfRule type="cellIs" dxfId="22" priority="1274" operator="equal">
      <formula>"LOW"</formula>
    </cfRule>
    <cfRule type="cellIs" dxfId="21" priority="1275" operator="equal">
      <formula>"MED"</formula>
    </cfRule>
    <cfRule type="cellIs" dxfId="20" priority="1277" operator="equal">
      <formula>"High"</formula>
    </cfRule>
  </conditionalFormatting>
  <conditionalFormatting sqref="G4:G5">
    <cfRule type="cellIs" dxfId="19" priority="1136" operator="equal">
      <formula>"LOW"</formula>
    </cfRule>
    <cfRule type="cellIs" dxfId="18" priority="1137" operator="equal">
      <formula>"MED"</formula>
    </cfRule>
    <cfRule type="cellIs" dxfId="17" priority="1138" operator="equal">
      <formula>"High"</formula>
    </cfRule>
  </conditionalFormatting>
  <conditionalFormatting sqref="K4:K5">
    <cfRule type="cellIs" dxfId="16" priority="1130" operator="equal">
      <formula>"LOW"</formula>
    </cfRule>
    <cfRule type="cellIs" dxfId="15" priority="1131" operator="equal">
      <formula>"MED"</formula>
    </cfRule>
    <cfRule type="cellIs" dxfId="14" priority="1132" operator="equal">
      <formula>"High"</formula>
    </cfRule>
  </conditionalFormatting>
  <conditionalFormatting sqref="L4:L5">
    <cfRule type="cellIs" dxfId="13" priority="1124" operator="equal">
      <formula>"LOW"</formula>
    </cfRule>
    <cfRule type="cellIs" dxfId="12" priority="1125" operator="equal">
      <formula>"MED"</formula>
    </cfRule>
    <cfRule type="cellIs" dxfId="11" priority="1126" operator="equal">
      <formula>"High"</formula>
    </cfRule>
  </conditionalFormatting>
  <conditionalFormatting sqref="D2:E2">
    <cfRule type="cellIs" dxfId="10" priority="1118" operator="equal">
      <formula>"LOW"</formula>
    </cfRule>
    <cfRule type="cellIs" dxfId="9" priority="1119" operator="equal">
      <formula>"MED"</formula>
    </cfRule>
    <cfRule type="cellIs" dxfId="8" priority="1120" operator="equal">
      <formula>"High"</formula>
    </cfRule>
  </conditionalFormatting>
  <pageMargins left="0.7" right="0.7" top="0.75" bottom="0.75" header="0.3" footer="0.3"/>
  <pageSetup scale="72" fitToHeight="0" orientation="landscape" r:id="rId1"/>
  <headerFooter>
    <oddHeader>&amp;LINSERT JOB NAME AND SERIAL NUMBER
(USE PAGE LAYOUT VEIW TO EDIT)&amp;C&amp;18ISSUE TRACKER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NewIssue">
                <anchor>
                  <from>
                    <xdr:col>3</xdr:col>
                    <xdr:colOff>47625</xdr:colOff>
                    <xdr:row>0</xdr:row>
                    <xdr:rowOff>66675</xdr:rowOff>
                  </from>
                  <to>
                    <xdr:col>4</xdr:col>
                    <xdr:colOff>38100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updateSelectedIssue">
                <anchor>
                  <from>
                    <xdr:col>4</xdr:col>
                    <xdr:colOff>104775</xdr:colOff>
                    <xdr:row>0</xdr:row>
                    <xdr:rowOff>57150</xdr:rowOff>
                  </from>
                  <to>
                    <xdr:col>4</xdr:col>
                    <xdr:colOff>981075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ResolveSelected">
                <anchor>
                  <from>
                    <xdr:col>4</xdr:col>
                    <xdr:colOff>1047750</xdr:colOff>
                    <xdr:row>0</xdr:row>
                    <xdr:rowOff>47625</xdr:rowOff>
                  </from>
                  <to>
                    <xdr:col>7</xdr:col>
                    <xdr:colOff>514350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earchFor">
                <anchor>
                  <from>
                    <xdr:col>7</xdr:col>
                    <xdr:colOff>581025</xdr:colOff>
                    <xdr:row>0</xdr:row>
                    <xdr:rowOff>47625</xdr:rowOff>
                  </from>
                  <to>
                    <xdr:col>7</xdr:col>
                    <xdr:colOff>1457325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sortAscending">
                <anchor>
                  <from>
                    <xdr:col>7</xdr:col>
                    <xdr:colOff>1533525</xdr:colOff>
                    <xdr:row>0</xdr:row>
                    <xdr:rowOff>47625</xdr:rowOff>
                  </from>
                  <to>
                    <xdr:col>7</xdr:col>
                    <xdr:colOff>2952750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utton 21">
              <controlPr defaultSize="0" print="0" autoFill="0" autoPict="0" macro="[0]!sortDecending">
                <anchor>
                  <from>
                    <xdr:col>7</xdr:col>
                    <xdr:colOff>3019425</xdr:colOff>
                    <xdr:row>0</xdr:row>
                    <xdr:rowOff>47625</xdr:rowOff>
                  </from>
                  <to>
                    <xdr:col>7</xdr:col>
                    <xdr:colOff>4543425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Data!$D$1:$D$3</xm:f>
          </x14:formula1>
          <xm:sqref>D3</xm:sqref>
        </x14:dataValidation>
        <x14:dataValidation type="list" allowBlank="1" showInputMessage="1" showErrorMessage="1">
          <x14:formula1>
            <xm:f>Data!$C$1:$C$2</xm:f>
          </x14:formula1>
          <xm:sqref>M3:AF3 AJ3:AK3</xm:sqref>
        </x14:dataValidation>
        <x14:dataValidation type="list" allowBlank="1" showInputMessage="1">
          <x14:formula1>
            <xm:f>Data!$E$1:$E$7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63"/>
  <sheetViews>
    <sheetView view="pageBreakPreview" zoomScale="60" zoomScaleNormal="55" workbookViewId="0">
      <selection activeCell="D32" sqref="D32"/>
    </sheetView>
  </sheetViews>
  <sheetFormatPr defaultRowHeight="12.75" x14ac:dyDescent="0.2"/>
  <cols>
    <col min="1" max="11" width="14.85546875" style="66" customWidth="1"/>
    <col min="12" max="12" width="14.28515625" style="66" customWidth="1"/>
    <col min="13" max="13" width="9.140625" style="66"/>
    <col min="14" max="14" width="12" style="66" bestFit="1" customWidth="1"/>
    <col min="15" max="17" width="9.140625" style="66"/>
    <col min="18" max="19" width="3.85546875" style="66" customWidth="1"/>
    <col min="20" max="20" width="5.140625" style="66" customWidth="1"/>
    <col min="21" max="21" width="8.7109375" style="66" customWidth="1"/>
    <col min="22" max="22" width="6.140625" style="66" customWidth="1"/>
    <col min="23" max="23" width="9.140625" style="66"/>
    <col min="24" max="24" width="5.85546875" style="66" customWidth="1"/>
    <col min="25" max="16384" width="9.140625" style="66"/>
  </cols>
  <sheetData>
    <row r="1" spans="1:25" ht="15" x14ac:dyDescent="0.3">
      <c r="N1" s="144"/>
      <c r="O1" s="144"/>
      <c r="P1" s="144"/>
      <c r="Q1" s="144"/>
      <c r="R1" s="159"/>
      <c r="S1" s="159"/>
      <c r="T1" s="159"/>
      <c r="U1" s="144"/>
      <c r="V1" s="144"/>
      <c r="W1" s="144"/>
      <c r="X1" s="144"/>
    </row>
    <row r="2" spans="1:25" ht="15" x14ac:dyDescent="0.3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44"/>
      <c r="O2" s="144"/>
      <c r="P2" s="144"/>
      <c r="Q2" s="144"/>
      <c r="R2" s="159"/>
      <c r="S2" s="159"/>
      <c r="T2" s="159"/>
      <c r="U2" s="144"/>
      <c r="V2" s="144"/>
      <c r="W2" s="144"/>
      <c r="X2" s="144"/>
      <c r="Y2" s="163"/>
    </row>
    <row r="3" spans="1:25" ht="15" x14ac:dyDescent="0.3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44"/>
      <c r="O3" s="144"/>
      <c r="P3" s="144"/>
      <c r="Q3" s="144"/>
      <c r="R3" s="159"/>
      <c r="S3" s="159"/>
      <c r="T3" s="159"/>
      <c r="U3" s="144"/>
      <c r="V3" s="144"/>
      <c r="W3" s="144"/>
      <c r="X3" s="144"/>
      <c r="Y3" s="139"/>
    </row>
    <row r="4" spans="1:25" ht="22.5" x14ac:dyDescent="0.45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44"/>
      <c r="O4" s="162"/>
      <c r="P4" s="162"/>
      <c r="Q4" s="144"/>
      <c r="R4" s="159"/>
      <c r="S4" s="159"/>
      <c r="T4" s="159"/>
      <c r="U4" s="144"/>
      <c r="V4" s="144"/>
      <c r="W4" s="144"/>
      <c r="X4" s="144"/>
      <c r="Y4" s="139"/>
    </row>
    <row r="5" spans="1:25" ht="15" x14ac:dyDescent="0.3">
      <c r="A5" s="139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R5" s="161"/>
      <c r="S5" s="161"/>
      <c r="T5" s="161"/>
      <c r="Y5" s="139"/>
    </row>
    <row r="6" spans="1:25" ht="15" x14ac:dyDescent="0.3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R6" s="161"/>
      <c r="S6" s="161"/>
      <c r="T6" s="161"/>
      <c r="Y6" s="139"/>
    </row>
    <row r="7" spans="1:25" ht="19.5" customHeight="1" x14ac:dyDescent="0.3">
      <c r="A7" s="139"/>
      <c r="B7" s="139"/>
      <c r="C7" s="160"/>
      <c r="D7" s="160"/>
      <c r="E7" s="160"/>
      <c r="F7" s="160"/>
      <c r="G7" s="160"/>
      <c r="H7" s="160"/>
      <c r="I7" s="160"/>
      <c r="J7" s="160"/>
      <c r="K7" s="139"/>
      <c r="L7" s="139"/>
      <c r="M7" s="139"/>
      <c r="R7" s="161"/>
      <c r="S7" s="161"/>
      <c r="T7" s="161"/>
      <c r="Y7" s="139"/>
    </row>
    <row r="8" spans="1:25" ht="19.5" customHeight="1" x14ac:dyDescent="0.5">
      <c r="A8" s="139"/>
      <c r="B8" s="139"/>
      <c r="C8" s="160"/>
      <c r="D8" s="160"/>
      <c r="E8" s="160"/>
      <c r="F8" s="160"/>
      <c r="G8" s="160"/>
      <c r="H8" s="160"/>
      <c r="I8" s="160"/>
      <c r="J8" s="160"/>
      <c r="K8" s="139"/>
      <c r="L8" s="139"/>
      <c r="M8" s="139"/>
      <c r="N8" s="143"/>
      <c r="O8" s="143"/>
      <c r="P8" s="143"/>
      <c r="Q8" s="144"/>
      <c r="R8" s="159"/>
      <c r="S8" s="159"/>
      <c r="T8" s="159"/>
      <c r="U8" s="144"/>
      <c r="V8" s="144"/>
      <c r="W8" s="144"/>
      <c r="X8" s="144"/>
      <c r="Y8" s="139"/>
    </row>
    <row r="9" spans="1:25" ht="19.5" customHeight="1" x14ac:dyDescent="0.3">
      <c r="A9" s="139"/>
      <c r="B9" s="139"/>
      <c r="C9" s="158"/>
      <c r="D9" s="212" t="s">
        <v>126</v>
      </c>
      <c r="E9" s="212"/>
      <c r="F9" s="212"/>
      <c r="G9" s="212"/>
      <c r="H9" s="212"/>
      <c r="I9" s="212"/>
      <c r="J9" s="158"/>
      <c r="K9" s="139"/>
      <c r="L9" s="139"/>
      <c r="M9" s="139"/>
      <c r="N9" s="214" t="str">
        <f>D9</f>
        <v>Spec Book</v>
      </c>
      <c r="O9" s="215"/>
      <c r="P9" s="215"/>
      <c r="Q9" s="144"/>
      <c r="R9" s="216" t="str">
        <f>N9</f>
        <v>Spec Book</v>
      </c>
      <c r="S9" s="217"/>
      <c r="T9" s="217"/>
      <c r="U9" s="144"/>
      <c r="V9" s="218" t="str">
        <f>N9</f>
        <v>Spec Book</v>
      </c>
      <c r="W9" s="219"/>
      <c r="X9" s="219"/>
      <c r="Y9" s="139"/>
    </row>
    <row r="10" spans="1:25" ht="19.5" customHeight="1" x14ac:dyDescent="0.3">
      <c r="A10" s="139"/>
      <c r="B10" s="139"/>
      <c r="C10" s="158"/>
      <c r="D10" s="212"/>
      <c r="E10" s="212"/>
      <c r="F10" s="212"/>
      <c r="G10" s="212"/>
      <c r="H10" s="212"/>
      <c r="I10" s="212"/>
      <c r="J10" s="158"/>
      <c r="K10" s="139"/>
      <c r="L10" s="139"/>
      <c r="M10" s="139"/>
      <c r="N10" s="215"/>
      <c r="O10" s="215"/>
      <c r="P10" s="215"/>
      <c r="Q10" s="144"/>
      <c r="R10" s="217"/>
      <c r="S10" s="217"/>
      <c r="T10" s="217"/>
      <c r="U10" s="144"/>
      <c r="V10" s="219"/>
      <c r="W10" s="219"/>
      <c r="X10" s="219"/>
      <c r="Y10" s="139"/>
    </row>
    <row r="11" spans="1:25" ht="19.5" customHeight="1" x14ac:dyDescent="0.3">
      <c r="A11" s="139"/>
      <c r="B11" s="139"/>
      <c r="C11" s="158"/>
      <c r="D11" s="212"/>
      <c r="E11" s="212"/>
      <c r="F11" s="212"/>
      <c r="G11" s="212"/>
      <c r="H11" s="212"/>
      <c r="I11" s="212"/>
      <c r="J11" s="158"/>
      <c r="K11" s="139"/>
      <c r="L11" s="139"/>
      <c r="M11" s="139"/>
      <c r="N11" s="215"/>
      <c r="O11" s="215"/>
      <c r="P11" s="215"/>
      <c r="Q11" s="144"/>
      <c r="R11" s="217"/>
      <c r="S11" s="217"/>
      <c r="T11" s="217"/>
      <c r="U11" s="144"/>
      <c r="V11" s="219"/>
      <c r="W11" s="219"/>
      <c r="X11" s="219"/>
      <c r="Y11" s="139"/>
    </row>
    <row r="12" spans="1:25" ht="19.5" customHeight="1" x14ac:dyDescent="0.3">
      <c r="A12" s="139"/>
      <c r="B12" s="139"/>
      <c r="C12" s="158"/>
      <c r="D12" s="213" t="str">
        <f>"Specification Book for Order  "&amp;VLOOKUP("SUNDYNE SERIAL # :",_TAB01,2,)&amp;", "&amp;VLOOKUP("PROJECT NAME :",_TAB01,2,)</f>
        <v>Specification Book for Order  Enter Data on Input Sheet, Enter Data on Input Sheet</v>
      </c>
      <c r="E12" s="213"/>
      <c r="F12" s="213"/>
      <c r="G12" s="213"/>
      <c r="H12" s="213"/>
      <c r="I12" s="213"/>
      <c r="J12" s="158"/>
      <c r="K12" s="139"/>
      <c r="L12" s="139"/>
      <c r="M12" s="139"/>
      <c r="N12" s="156"/>
      <c r="O12" s="156"/>
      <c r="P12" s="156"/>
      <c r="Q12" s="144"/>
      <c r="R12" s="155"/>
      <c r="S12" s="155"/>
      <c r="T12" s="155"/>
      <c r="U12" s="144"/>
      <c r="V12" s="154"/>
      <c r="W12" s="154"/>
      <c r="X12" s="154"/>
      <c r="Y12" s="139"/>
    </row>
    <row r="13" spans="1:25" ht="19.5" customHeight="1" x14ac:dyDescent="0.3">
      <c r="A13" s="139"/>
      <c r="B13" s="139"/>
      <c r="C13" s="144"/>
      <c r="D13" s="213"/>
      <c r="E13" s="213"/>
      <c r="F13" s="213"/>
      <c r="G13" s="213"/>
      <c r="H13" s="213"/>
      <c r="I13" s="213"/>
      <c r="J13" s="144"/>
      <c r="K13" s="139"/>
      <c r="L13" s="139"/>
      <c r="M13" s="139"/>
      <c r="N13" s="156"/>
      <c r="O13" s="156"/>
      <c r="P13" s="156"/>
      <c r="Q13" s="144"/>
      <c r="R13" s="155"/>
      <c r="S13" s="155"/>
      <c r="T13" s="155"/>
      <c r="U13" s="144"/>
      <c r="V13" s="154"/>
      <c r="W13" s="154"/>
      <c r="X13" s="154"/>
      <c r="Y13" s="139"/>
    </row>
    <row r="14" spans="1:25" ht="19.5" customHeight="1" x14ac:dyDescent="0.3">
      <c r="A14" s="139"/>
      <c r="B14" s="139"/>
      <c r="C14" s="138"/>
      <c r="D14" s="213"/>
      <c r="E14" s="213"/>
      <c r="F14" s="213"/>
      <c r="G14" s="213"/>
      <c r="H14" s="213"/>
      <c r="I14" s="213"/>
      <c r="J14" s="153"/>
      <c r="K14" s="139"/>
      <c r="L14" s="139"/>
      <c r="M14" s="139"/>
      <c r="N14" s="156"/>
      <c r="O14" s="156"/>
      <c r="P14" s="156"/>
      <c r="Q14" s="144"/>
      <c r="R14" s="155"/>
      <c r="S14" s="155"/>
      <c r="T14" s="155"/>
      <c r="U14" s="144"/>
      <c r="V14" s="154"/>
      <c r="W14" s="154"/>
      <c r="X14" s="154"/>
      <c r="Y14" s="139"/>
    </row>
    <row r="15" spans="1:25" ht="19.5" customHeight="1" x14ac:dyDescent="0.3">
      <c r="A15" s="139"/>
      <c r="B15" s="139"/>
      <c r="C15" s="138"/>
      <c r="D15" s="213"/>
      <c r="E15" s="213"/>
      <c r="F15" s="213"/>
      <c r="G15" s="213"/>
      <c r="H15" s="213"/>
      <c r="I15" s="213"/>
      <c r="J15" s="153"/>
      <c r="K15" s="139"/>
      <c r="L15" s="139"/>
      <c r="M15" s="139"/>
      <c r="N15" s="156"/>
      <c r="O15" s="156"/>
      <c r="P15" s="156"/>
      <c r="Q15" s="144"/>
      <c r="R15" s="157"/>
      <c r="S15" s="157"/>
      <c r="T15" s="157"/>
      <c r="U15" s="144"/>
      <c r="V15" s="154"/>
      <c r="W15" s="154"/>
      <c r="X15" s="154"/>
      <c r="Y15" s="139"/>
    </row>
    <row r="16" spans="1:25" ht="19.5" customHeight="1" x14ac:dyDescent="0.3">
      <c r="A16" s="139"/>
      <c r="B16" s="139"/>
      <c r="C16" s="138"/>
      <c r="D16" s="213"/>
      <c r="E16" s="213"/>
      <c r="F16" s="213"/>
      <c r="G16" s="213"/>
      <c r="H16" s="213"/>
      <c r="I16" s="213"/>
      <c r="J16" s="153"/>
      <c r="K16" s="139"/>
      <c r="L16" s="139"/>
      <c r="M16" s="139"/>
      <c r="N16" s="156"/>
      <c r="O16" s="156"/>
      <c r="P16" s="156"/>
      <c r="Q16" s="144"/>
      <c r="R16" s="155"/>
      <c r="S16" s="155"/>
      <c r="T16" s="155"/>
      <c r="U16" s="144"/>
      <c r="V16" s="154"/>
      <c r="W16" s="154"/>
      <c r="X16" s="154"/>
      <c r="Y16" s="139"/>
    </row>
    <row r="17" spans="1:25" ht="19.5" customHeight="1" x14ac:dyDescent="0.3">
      <c r="A17" s="139"/>
      <c r="B17" s="139"/>
      <c r="C17" s="138"/>
      <c r="D17" s="213"/>
      <c r="E17" s="213"/>
      <c r="F17" s="213"/>
      <c r="G17" s="213"/>
      <c r="H17" s="213"/>
      <c r="I17" s="213"/>
      <c r="J17" s="153"/>
      <c r="K17" s="139"/>
      <c r="L17" s="139"/>
      <c r="M17" s="139"/>
      <c r="N17" s="156"/>
      <c r="O17" s="156"/>
      <c r="P17" s="156"/>
      <c r="Q17" s="144"/>
      <c r="R17" s="155"/>
      <c r="S17" s="155"/>
      <c r="T17" s="155"/>
      <c r="U17" s="144"/>
      <c r="V17" s="154"/>
      <c r="W17" s="154"/>
      <c r="X17" s="154"/>
      <c r="Y17" s="139"/>
    </row>
    <row r="18" spans="1:25" ht="20.100000000000001" customHeight="1" x14ac:dyDescent="0.3">
      <c r="A18" s="139"/>
      <c r="B18" s="139"/>
      <c r="C18" s="144"/>
      <c r="D18" s="213"/>
      <c r="E18" s="213"/>
      <c r="F18" s="213"/>
      <c r="G18" s="213"/>
      <c r="H18" s="213"/>
      <c r="I18" s="213"/>
      <c r="J18" s="153"/>
      <c r="K18" s="139"/>
      <c r="L18" s="139"/>
      <c r="M18" s="139"/>
      <c r="N18" s="220" t="str">
        <f>D12</f>
        <v>Specification Book for Order  Enter Data on Input Sheet, Enter Data on Input Sheet</v>
      </c>
      <c r="O18" s="221"/>
      <c r="P18" s="221"/>
      <c r="Q18" s="144"/>
      <c r="R18" s="220" t="str">
        <f>N18</f>
        <v>Specification Book for Order  Enter Data on Input Sheet, Enter Data on Input Sheet</v>
      </c>
      <c r="S18" s="221"/>
      <c r="T18" s="221"/>
      <c r="U18" s="144"/>
      <c r="V18" s="223" t="str">
        <f>N18</f>
        <v>Specification Book for Order  Enter Data on Input Sheet, Enter Data on Input Sheet</v>
      </c>
      <c r="W18" s="224"/>
      <c r="X18" s="224"/>
      <c r="Y18" s="139"/>
    </row>
    <row r="19" spans="1:25" ht="20.100000000000001" customHeight="1" x14ac:dyDescent="0.6">
      <c r="A19" s="139"/>
      <c r="B19" s="139"/>
      <c r="C19" s="144"/>
      <c r="D19" s="213"/>
      <c r="E19" s="213"/>
      <c r="F19" s="213"/>
      <c r="G19" s="213"/>
      <c r="H19" s="213"/>
      <c r="I19" s="213"/>
      <c r="J19" s="151"/>
      <c r="K19" s="139"/>
      <c r="L19" s="139"/>
      <c r="M19" s="139"/>
      <c r="N19" s="221"/>
      <c r="O19" s="221"/>
      <c r="P19" s="221"/>
      <c r="Q19" s="144"/>
      <c r="R19" s="221"/>
      <c r="S19" s="221"/>
      <c r="T19" s="221"/>
      <c r="U19" s="144"/>
      <c r="V19" s="224"/>
      <c r="W19" s="224"/>
      <c r="X19" s="224"/>
      <c r="Y19" s="139"/>
    </row>
    <row r="20" spans="1:25" ht="20.100000000000001" customHeight="1" x14ac:dyDescent="0.6">
      <c r="A20" s="139"/>
      <c r="B20" s="139"/>
      <c r="C20" s="144"/>
      <c r="D20" s="152"/>
      <c r="E20" s="152"/>
      <c r="F20" s="152"/>
      <c r="I20" s="151"/>
      <c r="J20" s="151"/>
      <c r="K20" s="139"/>
      <c r="L20" s="139"/>
      <c r="M20" s="139"/>
      <c r="N20" s="221"/>
      <c r="O20" s="221"/>
      <c r="P20" s="221"/>
      <c r="Q20" s="144"/>
      <c r="R20" s="221"/>
      <c r="S20" s="221"/>
      <c r="T20" s="221"/>
      <c r="U20" s="144"/>
      <c r="V20" s="224"/>
      <c r="W20" s="224"/>
      <c r="X20" s="224"/>
      <c r="Y20" s="139"/>
    </row>
    <row r="21" spans="1:25" ht="20.100000000000001" customHeight="1" x14ac:dyDescent="0.5">
      <c r="A21" s="139"/>
      <c r="B21" s="139"/>
      <c r="C21" s="139"/>
      <c r="D21" s="139"/>
      <c r="E21" s="139"/>
      <c r="F21" s="139"/>
      <c r="G21" s="139"/>
      <c r="H21" s="150" t="s">
        <v>125</v>
      </c>
      <c r="I21" s="149">
        <v>1</v>
      </c>
      <c r="J21" s="139"/>
      <c r="K21" s="139"/>
      <c r="L21" s="139"/>
      <c r="M21" s="139"/>
      <c r="N21" s="221"/>
      <c r="O21" s="221"/>
      <c r="P21" s="221"/>
      <c r="Q21" s="144"/>
      <c r="R21" s="221"/>
      <c r="S21" s="221"/>
      <c r="T21" s="221"/>
      <c r="U21" s="144"/>
      <c r="V21" s="224"/>
      <c r="W21" s="224"/>
      <c r="X21" s="224"/>
      <c r="Y21" s="139"/>
    </row>
    <row r="22" spans="1:25" ht="20.100000000000001" customHeight="1" x14ac:dyDescent="0.3">
      <c r="A22" s="139"/>
      <c r="B22" s="139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221"/>
      <c r="O22" s="221"/>
      <c r="P22" s="221"/>
      <c r="Q22" s="144"/>
      <c r="R22" s="221"/>
      <c r="S22" s="221"/>
      <c r="T22" s="221"/>
      <c r="U22" s="144"/>
      <c r="V22" s="224"/>
      <c r="W22" s="224"/>
      <c r="X22" s="224"/>
      <c r="Y22" s="139"/>
    </row>
    <row r="23" spans="1:25" ht="20.100000000000001" customHeight="1" x14ac:dyDescent="0.3">
      <c r="A23" s="139"/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221"/>
      <c r="O23" s="221"/>
      <c r="P23" s="221"/>
      <c r="Q23" s="144"/>
      <c r="R23" s="221"/>
      <c r="S23" s="221"/>
      <c r="T23" s="221"/>
      <c r="U23" s="144"/>
      <c r="V23" s="224"/>
      <c r="W23" s="224"/>
      <c r="X23" s="224"/>
      <c r="Y23" s="139"/>
    </row>
    <row r="24" spans="1:25" ht="20.100000000000001" customHeight="1" x14ac:dyDescent="0.3">
      <c r="A24" s="139"/>
      <c r="B24" s="139"/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221"/>
      <c r="O24" s="221"/>
      <c r="P24" s="221"/>
      <c r="Q24" s="144"/>
      <c r="R24" s="221"/>
      <c r="S24" s="221"/>
      <c r="T24" s="221"/>
      <c r="U24" s="144"/>
      <c r="V24" s="224"/>
      <c r="W24" s="224"/>
      <c r="X24" s="224"/>
      <c r="Y24" s="139"/>
    </row>
    <row r="25" spans="1:25" ht="20.100000000000001" customHeight="1" x14ac:dyDescent="0.3">
      <c r="A25" s="139"/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221"/>
      <c r="O25" s="221"/>
      <c r="P25" s="221"/>
      <c r="Q25" s="144"/>
      <c r="R25" s="221"/>
      <c r="S25" s="221"/>
      <c r="T25" s="221"/>
      <c r="U25" s="144"/>
      <c r="V25" s="224"/>
      <c r="W25" s="224"/>
      <c r="X25" s="224"/>
      <c r="Y25" s="139"/>
    </row>
    <row r="26" spans="1:25" ht="20.100000000000001" customHeight="1" x14ac:dyDescent="0.3">
      <c r="A26" s="139"/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221"/>
      <c r="O26" s="221"/>
      <c r="P26" s="221"/>
      <c r="Q26" s="144"/>
      <c r="R26" s="221"/>
      <c r="S26" s="221"/>
      <c r="T26" s="221"/>
      <c r="U26" s="144"/>
      <c r="V26" s="224"/>
      <c r="W26" s="224"/>
      <c r="X26" s="224"/>
      <c r="Y26" s="139"/>
    </row>
    <row r="27" spans="1:25" ht="20.100000000000001" customHeight="1" x14ac:dyDescent="0.3">
      <c r="A27" s="139"/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221"/>
      <c r="O27" s="221"/>
      <c r="P27" s="221"/>
      <c r="Q27" s="144"/>
      <c r="R27" s="221"/>
      <c r="S27" s="221"/>
      <c r="T27" s="221"/>
      <c r="U27" s="144"/>
      <c r="V27" s="224"/>
      <c r="W27" s="224"/>
      <c r="X27" s="224"/>
      <c r="Y27" s="139"/>
    </row>
    <row r="28" spans="1:25" ht="20.100000000000001" customHeight="1" x14ac:dyDescent="0.3">
      <c r="A28" s="139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221"/>
      <c r="O28" s="221"/>
      <c r="P28" s="221"/>
      <c r="Q28" s="144"/>
      <c r="R28" s="221"/>
      <c r="S28" s="221"/>
      <c r="T28" s="221"/>
      <c r="U28" s="144"/>
      <c r="V28" s="224"/>
      <c r="W28" s="224"/>
      <c r="X28" s="224"/>
      <c r="Y28" s="139"/>
    </row>
    <row r="29" spans="1:25" ht="20.100000000000001" customHeight="1" x14ac:dyDescent="0.3">
      <c r="A29" s="139"/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221"/>
      <c r="O29" s="221"/>
      <c r="P29" s="221"/>
      <c r="Q29" s="144"/>
      <c r="R29" s="221"/>
      <c r="S29" s="221"/>
      <c r="T29" s="221"/>
      <c r="U29" s="144"/>
      <c r="V29" s="224"/>
      <c r="W29" s="224"/>
      <c r="X29" s="224"/>
      <c r="Y29" s="139"/>
    </row>
    <row r="30" spans="1:25" ht="20.100000000000001" customHeight="1" x14ac:dyDescent="0.3">
      <c r="A30" s="139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221"/>
      <c r="O30" s="221"/>
      <c r="P30" s="221"/>
      <c r="Q30" s="144"/>
      <c r="R30" s="221"/>
      <c r="S30" s="221"/>
      <c r="T30" s="221"/>
      <c r="U30" s="144"/>
      <c r="V30" s="224"/>
      <c r="W30" s="224"/>
      <c r="X30" s="224"/>
      <c r="Y30" s="139"/>
    </row>
    <row r="31" spans="1:25" ht="20.100000000000001" customHeight="1" x14ac:dyDescent="0.3">
      <c r="A31" s="139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221"/>
      <c r="O31" s="221"/>
      <c r="P31" s="221"/>
      <c r="Q31" s="144"/>
      <c r="R31" s="221"/>
      <c r="S31" s="221"/>
      <c r="T31" s="221"/>
      <c r="U31" s="144"/>
      <c r="V31" s="224"/>
      <c r="W31" s="224"/>
      <c r="X31" s="224"/>
      <c r="Y31" s="139"/>
    </row>
    <row r="32" spans="1:25" ht="22.5" customHeight="1" x14ac:dyDescent="0.3">
      <c r="A32" s="139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221"/>
      <c r="O32" s="221"/>
      <c r="P32" s="221"/>
      <c r="Q32" s="144"/>
      <c r="R32" s="221"/>
      <c r="S32" s="221"/>
      <c r="T32" s="221"/>
      <c r="U32" s="144"/>
      <c r="V32" s="224"/>
      <c r="W32" s="224"/>
      <c r="X32" s="224"/>
      <c r="Y32" s="139"/>
    </row>
    <row r="33" spans="1:25" ht="22.5" customHeight="1" x14ac:dyDescent="0.3">
      <c r="A33" s="139"/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221"/>
      <c r="O33" s="221"/>
      <c r="P33" s="221"/>
      <c r="Q33" s="144"/>
      <c r="R33" s="221"/>
      <c r="S33" s="221"/>
      <c r="T33" s="221"/>
      <c r="U33" s="144"/>
      <c r="V33" s="224"/>
      <c r="W33" s="224"/>
      <c r="X33" s="224"/>
      <c r="Y33" s="139"/>
    </row>
    <row r="34" spans="1:25" ht="22.5" customHeight="1" x14ac:dyDescent="0.3">
      <c r="A34" s="139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221"/>
      <c r="O34" s="221"/>
      <c r="P34" s="221"/>
      <c r="Q34" s="144"/>
      <c r="R34" s="221"/>
      <c r="S34" s="221"/>
      <c r="T34" s="221"/>
      <c r="U34" s="144"/>
      <c r="V34" s="224"/>
      <c r="W34" s="224"/>
      <c r="X34" s="224"/>
      <c r="Y34" s="139"/>
    </row>
    <row r="35" spans="1:25" ht="22.5" customHeight="1" x14ac:dyDescent="0.3">
      <c r="A35" s="139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221"/>
      <c r="O35" s="221"/>
      <c r="P35" s="221"/>
      <c r="Q35" s="144"/>
      <c r="R35" s="221"/>
      <c r="S35" s="221"/>
      <c r="T35" s="221"/>
      <c r="U35" s="144"/>
      <c r="V35" s="224"/>
      <c r="W35" s="224"/>
      <c r="X35" s="224"/>
      <c r="Y35" s="139"/>
    </row>
    <row r="36" spans="1:25" ht="22.5" customHeight="1" x14ac:dyDescent="0.3">
      <c r="A36" s="139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221"/>
      <c r="O36" s="221"/>
      <c r="P36" s="221"/>
      <c r="Q36" s="144"/>
      <c r="R36" s="221"/>
      <c r="S36" s="221"/>
      <c r="T36" s="221"/>
      <c r="U36" s="144"/>
      <c r="V36" s="224"/>
      <c r="W36" s="224"/>
      <c r="X36" s="224"/>
      <c r="Y36" s="139"/>
    </row>
    <row r="37" spans="1:25" ht="22.5" customHeight="1" x14ac:dyDescent="0.3">
      <c r="A37" s="139"/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221"/>
      <c r="O37" s="221"/>
      <c r="P37" s="221"/>
      <c r="Q37" s="144"/>
      <c r="R37" s="221"/>
      <c r="S37" s="221"/>
      <c r="T37" s="221"/>
      <c r="U37" s="144"/>
      <c r="V37" s="224"/>
      <c r="W37" s="224"/>
      <c r="X37" s="224"/>
      <c r="Y37" s="139"/>
    </row>
    <row r="38" spans="1:25" ht="22.5" customHeight="1" x14ac:dyDescent="0.3">
      <c r="A38" s="139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221"/>
      <c r="O38" s="221"/>
      <c r="P38" s="221"/>
      <c r="Q38" s="144"/>
      <c r="R38" s="221"/>
      <c r="S38" s="221"/>
      <c r="T38" s="221"/>
      <c r="U38" s="144"/>
      <c r="V38" s="224"/>
      <c r="W38" s="224"/>
      <c r="X38" s="224"/>
      <c r="Y38" s="139"/>
    </row>
    <row r="39" spans="1:25" ht="22.5" customHeight="1" x14ac:dyDescent="0.3">
      <c r="A39" s="139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221"/>
      <c r="O39" s="221"/>
      <c r="P39" s="221"/>
      <c r="Q39" s="144"/>
      <c r="R39" s="221"/>
      <c r="S39" s="221"/>
      <c r="T39" s="221"/>
      <c r="U39" s="144"/>
      <c r="V39" s="224"/>
      <c r="W39" s="224"/>
      <c r="X39" s="224"/>
      <c r="Y39" s="139"/>
    </row>
    <row r="40" spans="1:25" ht="20.100000000000001" customHeight="1" x14ac:dyDescent="0.3">
      <c r="A40" s="139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221"/>
      <c r="O40" s="221"/>
      <c r="P40" s="221"/>
      <c r="Q40" s="144"/>
      <c r="R40" s="221"/>
      <c r="S40" s="221"/>
      <c r="T40" s="221"/>
      <c r="U40" s="144"/>
      <c r="V40" s="224"/>
      <c r="W40" s="224"/>
      <c r="X40" s="224"/>
      <c r="Y40" s="139"/>
    </row>
    <row r="41" spans="1:25" ht="22.5" customHeight="1" x14ac:dyDescent="0.3">
      <c r="A41" s="139"/>
      <c r="B41" s="139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221"/>
      <c r="O41" s="221"/>
      <c r="P41" s="221"/>
      <c r="Q41" s="144"/>
      <c r="R41" s="221"/>
      <c r="S41" s="221"/>
      <c r="T41" s="221"/>
      <c r="U41" s="144"/>
      <c r="V41" s="224"/>
      <c r="W41" s="224"/>
      <c r="X41" s="224"/>
      <c r="Y41" s="139"/>
    </row>
    <row r="42" spans="1:25" ht="22.5" customHeight="1" x14ac:dyDescent="0.45">
      <c r="A42" s="139"/>
      <c r="B42" s="148"/>
      <c r="C42" s="148"/>
      <c r="D42" s="148"/>
      <c r="E42" s="147"/>
      <c r="F42" s="147"/>
      <c r="G42" s="147"/>
      <c r="H42" s="139"/>
      <c r="I42" s="139"/>
      <c r="J42" s="139"/>
      <c r="K42" s="139"/>
      <c r="L42" s="139"/>
      <c r="M42" s="139"/>
      <c r="N42" s="221"/>
      <c r="O42" s="221"/>
      <c r="P42" s="221"/>
      <c r="Q42" s="144"/>
      <c r="R42" s="221"/>
      <c r="S42" s="221"/>
      <c r="T42" s="221"/>
      <c r="U42" s="144"/>
      <c r="V42" s="224"/>
      <c r="W42" s="224"/>
      <c r="X42" s="224"/>
      <c r="Y42" s="139"/>
    </row>
    <row r="43" spans="1:25" ht="22.5" customHeight="1" x14ac:dyDescent="0.45">
      <c r="A43" s="139"/>
      <c r="B43" s="148"/>
      <c r="C43" s="148"/>
      <c r="D43" s="148"/>
      <c r="E43" s="147"/>
      <c r="F43" s="147"/>
      <c r="G43" s="147"/>
      <c r="H43" s="139"/>
      <c r="I43" s="139"/>
      <c r="J43" s="139"/>
      <c r="K43" s="139"/>
      <c r="L43" s="139"/>
      <c r="M43" s="139"/>
      <c r="N43" s="221"/>
      <c r="O43" s="221"/>
      <c r="P43" s="221"/>
      <c r="Q43" s="144"/>
      <c r="R43" s="221"/>
      <c r="S43" s="221"/>
      <c r="T43" s="221"/>
      <c r="U43" s="144"/>
      <c r="V43" s="224"/>
      <c r="W43" s="224"/>
      <c r="X43" s="224"/>
      <c r="Y43" s="139"/>
    </row>
    <row r="44" spans="1:25" ht="22.5" customHeight="1" x14ac:dyDescent="0.45">
      <c r="A44" s="139"/>
      <c r="B44" s="148"/>
      <c r="C44" s="148"/>
      <c r="D44" s="148"/>
      <c r="E44" s="147"/>
      <c r="F44" s="147"/>
      <c r="G44" s="147"/>
      <c r="H44" s="139"/>
      <c r="I44" s="139"/>
      <c r="J44" s="139"/>
      <c r="K44" s="139"/>
      <c r="L44" s="139"/>
      <c r="M44" s="139"/>
      <c r="N44" s="221"/>
      <c r="O44" s="221"/>
      <c r="P44" s="221"/>
      <c r="Q44" s="144"/>
      <c r="R44" s="221"/>
      <c r="S44" s="221"/>
      <c r="T44" s="221"/>
      <c r="U44" s="144"/>
      <c r="V44" s="224"/>
      <c r="W44" s="224"/>
      <c r="X44" s="224"/>
      <c r="Y44" s="139"/>
    </row>
    <row r="45" spans="1:25" ht="22.5" customHeight="1" x14ac:dyDescent="0.45">
      <c r="A45" s="139"/>
      <c r="B45" s="148"/>
      <c r="C45" s="148"/>
      <c r="D45" s="148"/>
      <c r="E45" s="147"/>
      <c r="F45" s="147"/>
      <c r="G45" s="147"/>
      <c r="H45" s="139"/>
      <c r="I45" s="139"/>
      <c r="J45" s="139"/>
      <c r="K45" s="139"/>
      <c r="L45" s="139"/>
      <c r="M45" s="139"/>
      <c r="N45" s="221"/>
      <c r="O45" s="221"/>
      <c r="P45" s="221"/>
      <c r="Q45" s="144"/>
      <c r="R45" s="221"/>
      <c r="S45" s="221"/>
      <c r="T45" s="221"/>
      <c r="U45" s="144"/>
      <c r="V45" s="224"/>
      <c r="W45" s="224"/>
      <c r="X45" s="224"/>
      <c r="Y45" s="139"/>
    </row>
    <row r="46" spans="1:25" ht="22.5" customHeight="1" x14ac:dyDescent="0.3">
      <c r="A46" s="139"/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221"/>
      <c r="O46" s="221"/>
      <c r="P46" s="221"/>
      <c r="Q46" s="144"/>
      <c r="R46" s="221"/>
      <c r="S46" s="221"/>
      <c r="T46" s="221"/>
      <c r="U46" s="144"/>
      <c r="V46" s="224"/>
      <c r="W46" s="224"/>
      <c r="X46" s="224"/>
      <c r="Y46" s="139"/>
    </row>
    <row r="47" spans="1:25" ht="22.5" customHeight="1" x14ac:dyDescent="0.3">
      <c r="A47" s="139"/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221"/>
      <c r="O47" s="221"/>
      <c r="P47" s="221"/>
      <c r="Q47" s="144"/>
      <c r="R47" s="221"/>
      <c r="S47" s="221"/>
      <c r="T47" s="221"/>
      <c r="U47" s="144"/>
      <c r="V47" s="224"/>
      <c r="W47" s="224"/>
      <c r="X47" s="224"/>
      <c r="Y47" s="139"/>
    </row>
    <row r="48" spans="1:25" ht="22.5" customHeight="1" x14ac:dyDescent="0.3">
      <c r="A48" s="139"/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221"/>
      <c r="O48" s="221"/>
      <c r="P48" s="221"/>
      <c r="Q48" s="144"/>
      <c r="R48" s="221"/>
      <c r="S48" s="221"/>
      <c r="T48" s="221"/>
      <c r="U48" s="144"/>
      <c r="V48" s="224"/>
      <c r="W48" s="224"/>
      <c r="X48" s="224"/>
      <c r="Y48" s="139"/>
    </row>
    <row r="49" spans="1:25" ht="22.5" customHeight="1" x14ac:dyDescent="0.3">
      <c r="A49" s="139"/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221"/>
      <c r="O49" s="221"/>
      <c r="P49" s="221"/>
      <c r="Q49" s="144"/>
      <c r="R49" s="221"/>
      <c r="S49" s="221"/>
      <c r="T49" s="221"/>
      <c r="U49" s="144"/>
      <c r="V49" s="224"/>
      <c r="W49" s="224"/>
      <c r="X49" s="224"/>
      <c r="Y49" s="139"/>
    </row>
    <row r="50" spans="1:25" ht="22.5" customHeight="1" x14ac:dyDescent="0.3">
      <c r="A50" s="139"/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221"/>
      <c r="O50" s="221"/>
      <c r="P50" s="221"/>
      <c r="Q50" s="144"/>
      <c r="R50" s="221"/>
      <c r="S50" s="221"/>
      <c r="T50" s="221"/>
      <c r="U50" s="144"/>
      <c r="V50" s="224"/>
      <c r="W50" s="224"/>
      <c r="X50" s="224"/>
      <c r="Y50" s="139"/>
    </row>
    <row r="51" spans="1:25" ht="24" x14ac:dyDescent="0.45">
      <c r="A51" s="139"/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46"/>
      <c r="O51" s="146"/>
      <c r="P51" s="146"/>
      <c r="Q51" s="144"/>
      <c r="R51" s="222"/>
      <c r="S51" s="222"/>
      <c r="T51" s="222"/>
      <c r="U51" s="144"/>
      <c r="V51" s="145"/>
      <c r="W51" s="145"/>
      <c r="X51" s="145"/>
      <c r="Y51" s="139"/>
    </row>
    <row r="52" spans="1:25" ht="24" x14ac:dyDescent="0.45">
      <c r="A52" s="139"/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46"/>
      <c r="O52" s="146"/>
      <c r="P52" s="146"/>
      <c r="Q52" s="144"/>
      <c r="R52" s="222"/>
      <c r="S52" s="222"/>
      <c r="T52" s="222"/>
      <c r="U52" s="144"/>
      <c r="V52" s="145"/>
      <c r="W52" s="145"/>
      <c r="X52" s="145"/>
      <c r="Y52" s="139"/>
    </row>
    <row r="53" spans="1:25" ht="24.75" x14ac:dyDescent="0.5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9"/>
      <c r="N53" s="143" t="str">
        <f>IF(D19="","",D19)</f>
        <v/>
      </c>
      <c r="O53" s="143"/>
      <c r="P53" s="143"/>
      <c r="Q53" s="144"/>
      <c r="R53" s="222"/>
      <c r="S53" s="222"/>
      <c r="T53" s="222"/>
      <c r="U53" s="144"/>
      <c r="V53" s="140" t="str">
        <f>N53</f>
        <v/>
      </c>
      <c r="W53" s="140"/>
      <c r="X53" s="140"/>
      <c r="Y53" s="139"/>
    </row>
    <row r="54" spans="1:25" ht="24.75" x14ac:dyDescent="0.5">
      <c r="A54" s="139"/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43"/>
      <c r="O54" s="143"/>
      <c r="P54" s="143"/>
      <c r="Q54" s="144"/>
      <c r="R54" s="142"/>
      <c r="S54" s="142"/>
      <c r="T54" s="142"/>
      <c r="U54" s="144"/>
      <c r="V54" s="140"/>
      <c r="W54" s="140"/>
      <c r="X54" s="140"/>
      <c r="Y54" s="139"/>
    </row>
    <row r="55" spans="1:25" ht="24.75" x14ac:dyDescent="0.5">
      <c r="A55" s="139"/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43" t="str">
        <f>IF(H19="","",H19)</f>
        <v/>
      </c>
      <c r="O55" s="136"/>
      <c r="P55" s="136"/>
      <c r="Q55" s="141"/>
      <c r="R55" s="142" t="str">
        <f>N55</f>
        <v/>
      </c>
      <c r="S55" s="136"/>
      <c r="T55" s="136"/>
      <c r="U55" s="141"/>
      <c r="V55" s="140" t="str">
        <f>N55</f>
        <v/>
      </c>
      <c r="W55" s="136"/>
      <c r="X55" s="136"/>
      <c r="Y55" s="139"/>
    </row>
    <row r="56" spans="1:25" ht="21" x14ac:dyDescent="0.4">
      <c r="A56" s="205" t="s">
        <v>124</v>
      </c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139"/>
      <c r="N56" s="136"/>
      <c r="O56" s="136"/>
      <c r="P56" s="136"/>
      <c r="Q56" s="138"/>
      <c r="R56" s="136"/>
      <c r="S56" s="136"/>
      <c r="T56" s="136"/>
      <c r="U56" s="138"/>
      <c r="V56" s="136"/>
      <c r="W56" s="136"/>
      <c r="X56" s="136"/>
      <c r="Y56" s="139"/>
    </row>
    <row r="57" spans="1:25" x14ac:dyDescent="0.2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7"/>
      <c r="N57" s="206" t="str">
        <f>H21&amp;I21</f>
        <v>Book 1 of 1</v>
      </c>
      <c r="O57" s="207"/>
      <c r="P57" s="207"/>
      <c r="Q57" s="138"/>
      <c r="R57" s="208" t="str">
        <f>N57</f>
        <v>Book 1 of 1</v>
      </c>
      <c r="S57" s="209"/>
      <c r="T57" s="209"/>
      <c r="U57" s="138"/>
      <c r="V57" s="210" t="str">
        <f>N57</f>
        <v>Book 1 of 1</v>
      </c>
      <c r="W57" s="211"/>
      <c r="X57" s="211"/>
      <c r="Y57" s="137"/>
    </row>
    <row r="58" spans="1:25" x14ac:dyDescent="0.2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7"/>
      <c r="N58" s="207"/>
      <c r="O58" s="207"/>
      <c r="P58" s="207"/>
      <c r="Q58" s="138"/>
      <c r="R58" s="209"/>
      <c r="S58" s="209"/>
      <c r="T58" s="209"/>
      <c r="U58" s="138"/>
      <c r="V58" s="211"/>
      <c r="W58" s="211"/>
      <c r="X58" s="211"/>
      <c r="Y58" s="137"/>
    </row>
    <row r="59" spans="1:25" x14ac:dyDescent="0.2">
      <c r="N59" s="207"/>
      <c r="O59" s="207"/>
      <c r="P59" s="207"/>
      <c r="Q59" s="136"/>
      <c r="R59" s="209"/>
      <c r="S59" s="209"/>
      <c r="T59" s="209"/>
      <c r="U59" s="136"/>
      <c r="V59" s="211"/>
      <c r="W59" s="211"/>
      <c r="X59" s="211"/>
    </row>
    <row r="60" spans="1:25" x14ac:dyDescent="0.2">
      <c r="N60" s="207"/>
      <c r="O60" s="207"/>
      <c r="P60" s="207"/>
      <c r="Q60" s="136"/>
      <c r="R60" s="209"/>
      <c r="S60" s="209"/>
      <c r="T60" s="209"/>
      <c r="U60" s="136"/>
      <c r="V60" s="211"/>
      <c r="W60" s="211"/>
      <c r="X60" s="211"/>
    </row>
    <row r="61" spans="1:25" x14ac:dyDescent="0.2">
      <c r="N61" s="207"/>
      <c r="O61" s="207"/>
      <c r="P61" s="207"/>
      <c r="R61" s="209"/>
      <c r="S61" s="209"/>
      <c r="T61" s="209"/>
      <c r="V61" s="211"/>
      <c r="W61" s="211"/>
      <c r="X61" s="211"/>
    </row>
    <row r="62" spans="1:25" x14ac:dyDescent="0.2">
      <c r="N62" s="207"/>
      <c r="O62" s="207"/>
      <c r="P62" s="207"/>
      <c r="R62" s="209"/>
      <c r="S62" s="209"/>
      <c r="T62" s="209"/>
      <c r="V62" s="211"/>
      <c r="W62" s="211"/>
      <c r="X62" s="211"/>
    </row>
    <row r="63" spans="1:25" x14ac:dyDescent="0.2">
      <c r="N63" s="207"/>
      <c r="O63" s="207"/>
      <c r="P63" s="207"/>
      <c r="R63" s="209"/>
      <c r="S63" s="209"/>
      <c r="T63" s="209"/>
      <c r="V63" s="211"/>
      <c r="W63" s="211"/>
      <c r="X63" s="211"/>
    </row>
  </sheetData>
  <sheetProtection selectLockedCells="1"/>
  <mergeCells count="12">
    <mergeCell ref="A56:L56"/>
    <mergeCell ref="N57:P63"/>
    <mergeCell ref="R57:T63"/>
    <mergeCell ref="V57:X63"/>
    <mergeCell ref="D9:I11"/>
    <mergeCell ref="D12:I19"/>
    <mergeCell ref="N9:P11"/>
    <mergeCell ref="R9:T11"/>
    <mergeCell ref="V9:X11"/>
    <mergeCell ref="N18:P50"/>
    <mergeCell ref="R18:T53"/>
    <mergeCell ref="V18:X50"/>
  </mergeCells>
  <printOptions horizontalCentered="1" verticalCentered="1"/>
  <pageMargins left="0.41" right="0.35" top="0.43" bottom="0.15" header="0.19" footer="0.15"/>
  <pageSetup scale="55" fitToWidth="2" orientation="portrait" r:id="rId1"/>
  <headerFooter alignWithMargins="0"/>
  <colBreaks count="1" manualBreakCount="1">
    <brk id="12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2:H39"/>
  <sheetViews>
    <sheetView zoomScaleNormal="100" workbookViewId="0">
      <selection sqref="A1:AL1"/>
    </sheetView>
  </sheetViews>
  <sheetFormatPr defaultRowHeight="12.75" x14ac:dyDescent="0.2"/>
  <cols>
    <col min="1" max="1" width="9.140625" style="66"/>
    <col min="2" max="2" width="9.85546875" style="66" customWidth="1"/>
    <col min="3" max="3" width="33.28515625" style="66" customWidth="1"/>
    <col min="4" max="4" width="68.7109375" style="66" customWidth="1"/>
    <col min="5" max="5" width="9.140625" style="66"/>
    <col min="6" max="8" width="9.140625" style="75"/>
    <col min="9" max="16384" width="9.140625" style="66"/>
  </cols>
  <sheetData>
    <row r="2" spans="2:8" ht="20.25" x14ac:dyDescent="0.3">
      <c r="B2" s="225" t="s">
        <v>158</v>
      </c>
      <c r="C2" s="225"/>
      <c r="D2" s="225"/>
    </row>
    <row r="3" spans="2:8" ht="20.25" x14ac:dyDescent="0.3">
      <c r="B3" s="225" t="s">
        <v>157</v>
      </c>
      <c r="C3" s="225"/>
      <c r="D3" s="225"/>
    </row>
    <row r="4" spans="2:8" ht="18.75" x14ac:dyDescent="0.3">
      <c r="B4" s="226" t="str">
        <f>VLOOKUP("SUNDYNE SERIAL # :",_TAB01,2,)&amp;", "&amp;VLOOKUP("PROJECT NAME :",_TAB01,2,)</f>
        <v>Enter Data on Input Sheet, Enter Data on Input Sheet</v>
      </c>
      <c r="C4" s="226"/>
      <c r="D4" s="226"/>
      <c r="F4" s="173" t="s">
        <v>156</v>
      </c>
      <c r="G4" s="172" t="s">
        <v>152</v>
      </c>
    </row>
    <row r="6" spans="2:8" ht="13.5" thickBot="1" x14ac:dyDescent="0.25"/>
    <row r="7" spans="2:8" ht="19.5" thickBot="1" x14ac:dyDescent="0.25">
      <c r="B7" s="171" t="s">
        <v>155</v>
      </c>
      <c r="C7" s="170" t="s">
        <v>154</v>
      </c>
      <c r="D7" s="170" t="s">
        <v>153</v>
      </c>
      <c r="F7" s="129" t="s">
        <v>152</v>
      </c>
      <c r="G7" s="129" t="s">
        <v>151</v>
      </c>
    </row>
    <row r="8" spans="2:8" x14ac:dyDescent="0.2">
      <c r="B8" s="168" t="str">
        <f t="shared" ref="B8:B39" si="0">IF($G$4="letter",F8,G8)</f>
        <v>A</v>
      </c>
      <c r="C8" s="167" t="str">
        <f>IF('Tech Docs Index'!C15="","",'Tech Docs Index'!C15)</f>
        <v/>
      </c>
      <c r="D8" s="167" t="str">
        <f>IF('Tech Docs Index'!D15="","",'Tech Docs Index'!D15)</f>
        <v/>
      </c>
      <c r="F8" s="169" t="s">
        <v>52</v>
      </c>
      <c r="G8" s="165">
        <v>1</v>
      </c>
      <c r="H8" s="164"/>
    </row>
    <row r="9" spans="2:8" x14ac:dyDescent="0.2">
      <c r="B9" s="168" t="str">
        <f t="shared" si="0"/>
        <v>B</v>
      </c>
      <c r="C9" s="167" t="str">
        <f>IF('Tech Docs Index'!C16="","",'Tech Docs Index'!C16)</f>
        <v/>
      </c>
      <c r="D9" s="167" t="str">
        <f>IF('Tech Docs Index'!D16="","",'Tech Docs Index'!D16)</f>
        <v/>
      </c>
      <c r="F9" s="169" t="s">
        <v>150</v>
      </c>
      <c r="G9" s="165">
        <v>2</v>
      </c>
      <c r="H9" s="164"/>
    </row>
    <row r="10" spans="2:8" x14ac:dyDescent="0.2">
      <c r="B10" s="168" t="str">
        <f t="shared" si="0"/>
        <v>C</v>
      </c>
      <c r="C10" s="167" t="str">
        <f>IF('Tech Docs Index'!C17="","",'Tech Docs Index'!C17)</f>
        <v/>
      </c>
      <c r="D10" s="167" t="str">
        <f>IF('Tech Docs Index'!D17="","",'Tech Docs Index'!D17)</f>
        <v/>
      </c>
      <c r="F10" s="169" t="s">
        <v>149</v>
      </c>
      <c r="G10" s="165">
        <v>3</v>
      </c>
      <c r="H10" s="164"/>
    </row>
    <row r="11" spans="2:8" x14ac:dyDescent="0.2">
      <c r="B11" s="168" t="str">
        <f t="shared" si="0"/>
        <v>D</v>
      </c>
      <c r="C11" s="167" t="str">
        <f>IF('Tech Docs Index'!C18="","",'Tech Docs Index'!C18)</f>
        <v/>
      </c>
      <c r="D11" s="167" t="str">
        <f>IF('Tech Docs Index'!D18="","",'Tech Docs Index'!D18)</f>
        <v/>
      </c>
      <c r="F11" s="169" t="s">
        <v>148</v>
      </c>
      <c r="G11" s="165">
        <v>4</v>
      </c>
      <c r="H11" s="164"/>
    </row>
    <row r="12" spans="2:8" x14ac:dyDescent="0.2">
      <c r="B12" s="168" t="str">
        <f t="shared" si="0"/>
        <v>E</v>
      </c>
      <c r="C12" s="167" t="str">
        <f>IF('Tech Docs Index'!C19="","",'Tech Docs Index'!C19)</f>
        <v/>
      </c>
      <c r="D12" s="167" t="str">
        <f>IF('Tech Docs Index'!D19="","",'Tech Docs Index'!D19)</f>
        <v/>
      </c>
      <c r="F12" s="169" t="s">
        <v>147</v>
      </c>
      <c r="G12" s="165">
        <v>5</v>
      </c>
      <c r="H12" s="164"/>
    </row>
    <row r="13" spans="2:8" x14ac:dyDescent="0.2">
      <c r="B13" s="168" t="str">
        <f t="shared" si="0"/>
        <v>F</v>
      </c>
      <c r="C13" s="167" t="str">
        <f>IF('Tech Docs Index'!C20="","",'Tech Docs Index'!C20)</f>
        <v/>
      </c>
      <c r="D13" s="167" t="str">
        <f>IF('Tech Docs Index'!D20="","",'Tech Docs Index'!D20)</f>
        <v/>
      </c>
      <c r="F13" s="169" t="s">
        <v>146</v>
      </c>
      <c r="G13" s="165">
        <v>6</v>
      </c>
      <c r="H13" s="164"/>
    </row>
    <row r="14" spans="2:8" x14ac:dyDescent="0.2">
      <c r="B14" s="168" t="str">
        <f t="shared" si="0"/>
        <v>G</v>
      </c>
      <c r="C14" s="167" t="str">
        <f>IF('Tech Docs Index'!C21="","",'Tech Docs Index'!C21)</f>
        <v/>
      </c>
      <c r="D14" s="167" t="str">
        <f>IF('Tech Docs Index'!D21="","",'Tech Docs Index'!D21)</f>
        <v/>
      </c>
      <c r="F14" s="169" t="s">
        <v>145</v>
      </c>
      <c r="G14" s="165">
        <v>7</v>
      </c>
      <c r="H14" s="164"/>
    </row>
    <row r="15" spans="2:8" x14ac:dyDescent="0.2">
      <c r="B15" s="168" t="str">
        <f t="shared" si="0"/>
        <v>H</v>
      </c>
      <c r="C15" s="167" t="str">
        <f>IF('Tech Docs Index'!C22="","",'Tech Docs Index'!C22)</f>
        <v/>
      </c>
      <c r="D15" s="167" t="str">
        <f>IF('Tech Docs Index'!D22="","",'Tech Docs Index'!D22)</f>
        <v/>
      </c>
      <c r="F15" s="169" t="s">
        <v>144</v>
      </c>
      <c r="G15" s="165">
        <v>8</v>
      </c>
      <c r="H15" s="164"/>
    </row>
    <row r="16" spans="2:8" x14ac:dyDescent="0.2">
      <c r="B16" s="168" t="str">
        <f t="shared" si="0"/>
        <v>I</v>
      </c>
      <c r="C16" s="167" t="str">
        <f>IF('Tech Docs Index'!C23="","",'Tech Docs Index'!C23)</f>
        <v/>
      </c>
      <c r="D16" s="167" t="str">
        <f>IF('Tech Docs Index'!D23="","",'Tech Docs Index'!D23)</f>
        <v/>
      </c>
      <c r="F16" s="169" t="s">
        <v>143</v>
      </c>
      <c r="G16" s="165">
        <v>9</v>
      </c>
      <c r="H16" s="164"/>
    </row>
    <row r="17" spans="2:8" x14ac:dyDescent="0.2">
      <c r="B17" s="168" t="str">
        <f t="shared" si="0"/>
        <v>J</v>
      </c>
      <c r="C17" s="167" t="str">
        <f>IF('Tech Docs Index'!C24="","",'Tech Docs Index'!C24)</f>
        <v/>
      </c>
      <c r="D17" s="167" t="str">
        <f>IF('Tech Docs Index'!D24="","",'Tech Docs Index'!D24)</f>
        <v/>
      </c>
      <c r="F17" s="169" t="s">
        <v>142</v>
      </c>
      <c r="G17" s="165">
        <v>10</v>
      </c>
      <c r="H17" s="164"/>
    </row>
    <row r="18" spans="2:8" x14ac:dyDescent="0.2">
      <c r="B18" s="168" t="str">
        <f t="shared" si="0"/>
        <v>K</v>
      </c>
      <c r="C18" s="167" t="str">
        <f>IF('Tech Docs Index'!C25="","",'Tech Docs Index'!C25)</f>
        <v/>
      </c>
      <c r="D18" s="167" t="str">
        <f>IF('Tech Docs Index'!D25="","",'Tech Docs Index'!D25)</f>
        <v/>
      </c>
      <c r="F18" s="169" t="s">
        <v>141</v>
      </c>
      <c r="G18" s="165">
        <v>11</v>
      </c>
      <c r="H18" s="164"/>
    </row>
    <row r="19" spans="2:8" x14ac:dyDescent="0.2">
      <c r="B19" s="168" t="str">
        <f t="shared" si="0"/>
        <v>L</v>
      </c>
      <c r="C19" s="167" t="str">
        <f>IF('Tech Docs Index'!C26="","",'Tech Docs Index'!C26)</f>
        <v/>
      </c>
      <c r="D19" s="167" t="str">
        <f>IF('Tech Docs Index'!D26="","",'Tech Docs Index'!D26)</f>
        <v/>
      </c>
      <c r="F19" s="169" t="s">
        <v>140</v>
      </c>
      <c r="G19" s="165">
        <v>12</v>
      </c>
      <c r="H19" s="164"/>
    </row>
    <row r="20" spans="2:8" x14ac:dyDescent="0.2">
      <c r="B20" s="168" t="str">
        <f t="shared" si="0"/>
        <v>M</v>
      </c>
      <c r="C20" s="167" t="str">
        <f>IF('Tech Docs Index'!C27="","",'Tech Docs Index'!C27)</f>
        <v/>
      </c>
      <c r="D20" s="167" t="str">
        <f>IF('Tech Docs Index'!D27="","",'Tech Docs Index'!D27)</f>
        <v/>
      </c>
      <c r="F20" s="169" t="s">
        <v>139</v>
      </c>
      <c r="G20" s="165">
        <v>13</v>
      </c>
      <c r="H20" s="164"/>
    </row>
    <row r="21" spans="2:8" x14ac:dyDescent="0.2">
      <c r="B21" s="168" t="str">
        <f t="shared" si="0"/>
        <v>N</v>
      </c>
      <c r="C21" s="167" t="str">
        <f>IF('Tech Docs Index'!C28="","",'Tech Docs Index'!C28)</f>
        <v/>
      </c>
      <c r="D21" s="167" t="str">
        <f>IF('Tech Docs Index'!D28="","",'Tech Docs Index'!D28)</f>
        <v/>
      </c>
      <c r="F21" s="169" t="s">
        <v>138</v>
      </c>
      <c r="G21" s="165">
        <v>14</v>
      </c>
      <c r="H21" s="164"/>
    </row>
    <row r="22" spans="2:8" x14ac:dyDescent="0.2">
      <c r="B22" s="168" t="str">
        <f t="shared" si="0"/>
        <v>O</v>
      </c>
      <c r="C22" s="167" t="str">
        <f>IF('Tech Docs Index'!C29="","",'Tech Docs Index'!C29)</f>
        <v/>
      </c>
      <c r="D22" s="167" t="str">
        <f>IF('Tech Docs Index'!D29="","",'Tech Docs Index'!D29)</f>
        <v/>
      </c>
      <c r="F22" s="169" t="s">
        <v>137</v>
      </c>
      <c r="G22" s="165">
        <v>15</v>
      </c>
      <c r="H22" s="164"/>
    </row>
    <row r="23" spans="2:8" x14ac:dyDescent="0.2">
      <c r="B23" s="168" t="str">
        <f t="shared" si="0"/>
        <v>P</v>
      </c>
      <c r="C23" s="167" t="str">
        <f>IF('Tech Docs Index'!C30="","",'Tech Docs Index'!C30)</f>
        <v/>
      </c>
      <c r="D23" s="167" t="str">
        <f>IF('Tech Docs Index'!D30="","",'Tech Docs Index'!D30)</f>
        <v/>
      </c>
      <c r="F23" s="169" t="s">
        <v>136</v>
      </c>
      <c r="G23" s="165">
        <v>16</v>
      </c>
      <c r="H23" s="164"/>
    </row>
    <row r="24" spans="2:8" x14ac:dyDescent="0.2">
      <c r="B24" s="168" t="str">
        <f t="shared" si="0"/>
        <v>Q</v>
      </c>
      <c r="C24" s="167" t="str">
        <f>IF('Tech Docs Index'!C31="","",'Tech Docs Index'!C31)</f>
        <v/>
      </c>
      <c r="D24" s="167" t="str">
        <f>IF('Tech Docs Index'!D31="","",'Tech Docs Index'!D31)</f>
        <v/>
      </c>
      <c r="F24" s="169" t="s">
        <v>135</v>
      </c>
      <c r="G24" s="165">
        <v>17</v>
      </c>
      <c r="H24" s="164"/>
    </row>
    <row r="25" spans="2:8" x14ac:dyDescent="0.2">
      <c r="B25" s="168" t="str">
        <f t="shared" si="0"/>
        <v>R</v>
      </c>
      <c r="C25" s="167" t="str">
        <f>IF('Tech Docs Index'!C32="","",'Tech Docs Index'!C32)</f>
        <v/>
      </c>
      <c r="D25" s="167" t="str">
        <f>IF('Tech Docs Index'!D32="","",'Tech Docs Index'!D32)</f>
        <v/>
      </c>
      <c r="F25" s="169" t="s">
        <v>134</v>
      </c>
      <c r="G25" s="165">
        <v>18</v>
      </c>
      <c r="H25" s="164"/>
    </row>
    <row r="26" spans="2:8" x14ac:dyDescent="0.2">
      <c r="B26" s="168" t="str">
        <f t="shared" si="0"/>
        <v>S</v>
      </c>
      <c r="C26" s="167" t="str">
        <f>IF('Tech Docs Index'!C33="","",'Tech Docs Index'!C33)</f>
        <v/>
      </c>
      <c r="D26" s="167" t="str">
        <f>IF('Tech Docs Index'!D33="","",'Tech Docs Index'!D33)</f>
        <v/>
      </c>
      <c r="F26" s="169" t="s">
        <v>133</v>
      </c>
      <c r="G26" s="165">
        <v>19</v>
      </c>
      <c r="H26" s="164"/>
    </row>
    <row r="27" spans="2:8" x14ac:dyDescent="0.2">
      <c r="B27" s="168" t="str">
        <f t="shared" si="0"/>
        <v>T</v>
      </c>
      <c r="C27" s="167" t="str">
        <f>IF('Tech Docs Index'!C34="","",'Tech Docs Index'!C34)</f>
        <v/>
      </c>
      <c r="D27" s="167" t="str">
        <f>IF('Tech Docs Index'!D34="","",'Tech Docs Index'!D34)</f>
        <v/>
      </c>
      <c r="F27" s="169" t="s">
        <v>132</v>
      </c>
      <c r="G27" s="165">
        <v>20</v>
      </c>
      <c r="H27" s="164"/>
    </row>
    <row r="28" spans="2:8" x14ac:dyDescent="0.2">
      <c r="B28" s="168" t="str">
        <f t="shared" si="0"/>
        <v>U</v>
      </c>
      <c r="C28" s="167" t="str">
        <f>IF('Tech Docs Index'!C35="","",'Tech Docs Index'!C35)</f>
        <v/>
      </c>
      <c r="D28" s="167" t="str">
        <f>IF('Tech Docs Index'!D35="","",'Tech Docs Index'!D35)</f>
        <v/>
      </c>
      <c r="F28" s="169" t="s">
        <v>131</v>
      </c>
      <c r="G28" s="165">
        <v>21</v>
      </c>
      <c r="H28" s="164"/>
    </row>
    <row r="29" spans="2:8" x14ac:dyDescent="0.2">
      <c r="B29" s="168" t="str">
        <f t="shared" si="0"/>
        <v>V</v>
      </c>
      <c r="C29" s="167" t="str">
        <f>IF('Tech Docs Index'!C36="","",'Tech Docs Index'!C36)</f>
        <v/>
      </c>
      <c r="D29" s="167" t="str">
        <f>IF('Tech Docs Index'!D36="","",'Tech Docs Index'!D36)</f>
        <v/>
      </c>
      <c r="F29" s="169" t="s">
        <v>130</v>
      </c>
      <c r="G29" s="165">
        <v>22</v>
      </c>
      <c r="H29" s="164"/>
    </row>
    <row r="30" spans="2:8" x14ac:dyDescent="0.2">
      <c r="B30" s="168" t="str">
        <f t="shared" si="0"/>
        <v>W</v>
      </c>
      <c r="C30" s="167" t="str">
        <f>IF('Tech Docs Index'!C37="","",'Tech Docs Index'!C37)</f>
        <v/>
      </c>
      <c r="D30" s="167" t="str">
        <f>IF('Tech Docs Index'!D37="","",'Tech Docs Index'!D37)</f>
        <v/>
      </c>
      <c r="F30" s="169" t="s">
        <v>129</v>
      </c>
      <c r="G30" s="165">
        <v>23</v>
      </c>
      <c r="H30" s="164"/>
    </row>
    <row r="31" spans="2:8" x14ac:dyDescent="0.2">
      <c r="B31" s="168" t="str">
        <f t="shared" si="0"/>
        <v>X</v>
      </c>
      <c r="C31" s="167" t="str">
        <f>IF('Tech Docs Index'!C38="","",'Tech Docs Index'!C38)</f>
        <v/>
      </c>
      <c r="D31" s="167" t="str">
        <f>IF('Tech Docs Index'!D38="","",'Tech Docs Index'!D38)</f>
        <v/>
      </c>
      <c r="F31" s="169" t="s">
        <v>8</v>
      </c>
      <c r="G31" s="165">
        <v>24</v>
      </c>
      <c r="H31" s="164"/>
    </row>
    <row r="32" spans="2:8" x14ac:dyDescent="0.2">
      <c r="B32" s="168" t="str">
        <f t="shared" si="0"/>
        <v>Y</v>
      </c>
      <c r="C32" s="167" t="str">
        <f>IF('Tech Docs Index'!C39="","",'Tech Docs Index'!C39)</f>
        <v/>
      </c>
      <c r="D32" s="167" t="str">
        <f>IF('Tech Docs Index'!D39="","",'Tech Docs Index'!D39)</f>
        <v/>
      </c>
      <c r="F32" s="169" t="s">
        <v>128</v>
      </c>
      <c r="G32" s="165">
        <v>25</v>
      </c>
      <c r="H32" s="164"/>
    </row>
    <row r="33" spans="2:8" x14ac:dyDescent="0.2">
      <c r="B33" s="168" t="str">
        <f t="shared" si="0"/>
        <v>Z</v>
      </c>
      <c r="C33" s="167" t="str">
        <f>IF('Tech Docs Index'!C40="","",'Tech Docs Index'!C40)</f>
        <v/>
      </c>
      <c r="D33" s="167" t="str">
        <f>IF('Tech Docs Index'!D40="","",'Tech Docs Index'!D40)</f>
        <v/>
      </c>
      <c r="F33" s="169" t="s">
        <v>127</v>
      </c>
      <c r="G33" s="165">
        <v>26</v>
      </c>
      <c r="H33" s="164"/>
    </row>
    <row r="34" spans="2:8" x14ac:dyDescent="0.2">
      <c r="B34" s="168" t="str">
        <f t="shared" si="0"/>
        <v>AA</v>
      </c>
      <c r="C34" s="167" t="str">
        <f>IF('Tech Docs Index'!C41="","",'Tech Docs Index'!C41)</f>
        <v/>
      </c>
      <c r="D34" s="167" t="str">
        <f>IF('Tech Docs Index'!D41="","",'Tech Docs Index'!D41)</f>
        <v/>
      </c>
      <c r="F34" s="166" t="str">
        <f t="shared" ref="F34:F39" si="1">$F$8&amp;F8</f>
        <v>AA</v>
      </c>
      <c r="G34" s="165">
        <v>27</v>
      </c>
      <c r="H34" s="164"/>
    </row>
    <row r="35" spans="2:8" x14ac:dyDescent="0.2">
      <c r="B35" s="168" t="str">
        <f t="shared" si="0"/>
        <v>AB</v>
      </c>
      <c r="C35" s="167" t="str">
        <f>IF('Tech Docs Index'!C42="","",'Tech Docs Index'!C42)</f>
        <v/>
      </c>
      <c r="D35" s="167" t="str">
        <f>IF('Tech Docs Index'!D42="","",'Tech Docs Index'!D42)</f>
        <v/>
      </c>
      <c r="F35" s="166" t="str">
        <f t="shared" si="1"/>
        <v>AB</v>
      </c>
      <c r="G35" s="165">
        <v>28</v>
      </c>
      <c r="H35" s="164"/>
    </row>
    <row r="36" spans="2:8" x14ac:dyDescent="0.2">
      <c r="B36" s="168" t="str">
        <f t="shared" si="0"/>
        <v>AC</v>
      </c>
      <c r="C36" s="167" t="str">
        <f>IF('Tech Docs Index'!C43="","",'Tech Docs Index'!C43)</f>
        <v/>
      </c>
      <c r="D36" s="167" t="str">
        <f>IF('Tech Docs Index'!D43="","",'Tech Docs Index'!D43)</f>
        <v/>
      </c>
      <c r="F36" s="166" t="str">
        <f t="shared" si="1"/>
        <v>AC</v>
      </c>
      <c r="G36" s="165">
        <v>29</v>
      </c>
      <c r="H36" s="164"/>
    </row>
    <row r="37" spans="2:8" x14ac:dyDescent="0.2">
      <c r="B37" s="168" t="str">
        <f t="shared" si="0"/>
        <v>AD</v>
      </c>
      <c r="C37" s="167" t="str">
        <f>IF('Tech Docs Index'!C44="","",'Tech Docs Index'!C44)</f>
        <v/>
      </c>
      <c r="D37" s="167" t="str">
        <f>IF('Tech Docs Index'!D44="","",'Tech Docs Index'!D44)</f>
        <v/>
      </c>
      <c r="F37" s="166" t="str">
        <f t="shared" si="1"/>
        <v>AD</v>
      </c>
      <c r="G37" s="165">
        <v>30</v>
      </c>
      <c r="H37" s="164"/>
    </row>
    <row r="38" spans="2:8" x14ac:dyDescent="0.2">
      <c r="B38" s="168" t="str">
        <f t="shared" si="0"/>
        <v>AE</v>
      </c>
      <c r="C38" s="167" t="str">
        <f>IF('Tech Docs Index'!C45="","",'Tech Docs Index'!C45)</f>
        <v/>
      </c>
      <c r="D38" s="167" t="str">
        <f>IF('Tech Docs Index'!D45="","",'Tech Docs Index'!D45)</f>
        <v/>
      </c>
      <c r="F38" s="166" t="str">
        <f t="shared" si="1"/>
        <v>AE</v>
      </c>
      <c r="G38" s="165">
        <v>31</v>
      </c>
      <c r="H38" s="164"/>
    </row>
    <row r="39" spans="2:8" x14ac:dyDescent="0.2">
      <c r="B39" s="168" t="str">
        <f t="shared" si="0"/>
        <v>AF</v>
      </c>
      <c r="C39" s="167" t="str">
        <f>IF('Tech Docs Index'!C46="","",'Tech Docs Index'!C46)</f>
        <v/>
      </c>
      <c r="D39" s="167" t="str">
        <f>IF('Tech Docs Index'!D46="","",'Tech Docs Index'!D46)</f>
        <v/>
      </c>
      <c r="F39" s="166" t="str">
        <f t="shared" si="1"/>
        <v>AF</v>
      </c>
      <c r="G39" s="165">
        <v>32</v>
      </c>
      <c r="H39" s="164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G4">
      <formula1>"letter,number"</formula1>
    </dataValidation>
  </dataValidations>
  <pageMargins left="0.7" right="0.7" top="0.75" bottom="0.75" header="0.3" footer="0.3"/>
  <pageSetup scale="8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4"/>
  <sheetViews>
    <sheetView workbookViewId="0">
      <selection activeCell="E1" sqref="E1:E7"/>
    </sheetView>
  </sheetViews>
  <sheetFormatPr defaultRowHeight="15" x14ac:dyDescent="0.25"/>
  <cols>
    <col min="1" max="1" width="20" bestFit="1" customWidth="1"/>
    <col min="5" max="5" width="14.42578125" bestFit="1" customWidth="1"/>
  </cols>
  <sheetData>
    <row r="1" spans="1:5" x14ac:dyDescent="0.25">
      <c r="A1" t="s">
        <v>2</v>
      </c>
      <c r="D1" t="s">
        <v>9</v>
      </c>
      <c r="E1" t="s">
        <v>28</v>
      </c>
    </row>
    <row r="2" spans="1:5" x14ac:dyDescent="0.25">
      <c r="A2" t="s">
        <v>3</v>
      </c>
      <c r="C2" t="s">
        <v>8</v>
      </c>
      <c r="D2" t="s">
        <v>10</v>
      </c>
      <c r="E2" t="s">
        <v>29</v>
      </c>
    </row>
    <row r="3" spans="1:5" x14ac:dyDescent="0.25">
      <c r="A3" t="s">
        <v>13</v>
      </c>
      <c r="D3" t="s">
        <v>11</v>
      </c>
      <c r="E3" t="s">
        <v>30</v>
      </c>
    </row>
    <row r="4" spans="1:5" x14ac:dyDescent="0.25">
      <c r="A4" t="s">
        <v>12</v>
      </c>
      <c r="E4" t="s">
        <v>31</v>
      </c>
    </row>
    <row r="5" spans="1:5" x14ac:dyDescent="0.25">
      <c r="A5" t="s">
        <v>14</v>
      </c>
      <c r="E5" t="s">
        <v>27</v>
      </c>
    </row>
    <row r="6" spans="1:5" x14ac:dyDescent="0.25">
      <c r="A6" t="s">
        <v>4</v>
      </c>
      <c r="E6" t="s">
        <v>32</v>
      </c>
    </row>
    <row r="7" spans="1:5" x14ac:dyDescent="0.25">
      <c r="E7" t="s">
        <v>17</v>
      </c>
    </row>
    <row r="24" spans="1:1" x14ac:dyDescent="0.25">
      <c r="A24" t="s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AJ5"/>
  <sheetViews>
    <sheetView workbookViewId="0">
      <selection sqref="A1:AL1"/>
    </sheetView>
  </sheetViews>
  <sheetFormatPr defaultRowHeight="15" x14ac:dyDescent="0.25"/>
  <cols>
    <col min="2" max="3" width="9.7109375" bestFit="1" customWidth="1"/>
  </cols>
  <sheetData>
    <row r="1" spans="3:36" x14ac:dyDescent="0.25">
      <c r="C1" s="42"/>
      <c r="I1" s="43"/>
    </row>
    <row r="2" spans="3:36" x14ac:dyDescent="0.25">
      <c r="C2" s="42"/>
      <c r="I2" s="43"/>
      <c r="AJ2" s="42"/>
    </row>
    <row r="3" spans="3:36" x14ac:dyDescent="0.25">
      <c r="C3" s="42"/>
      <c r="I3" s="43"/>
      <c r="AJ3" s="42"/>
    </row>
    <row r="4" spans="3:36" x14ac:dyDescent="0.25">
      <c r="C4" s="42"/>
      <c r="I4" s="43"/>
    </row>
    <row r="5" spans="3:36" x14ac:dyDescent="0.25">
      <c r="C5" s="42"/>
      <c r="I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Version</vt:lpstr>
      <vt:lpstr>Std Work Instructions</vt:lpstr>
      <vt:lpstr>Global Input</vt:lpstr>
      <vt:lpstr>Header Txt</vt:lpstr>
      <vt:lpstr>Tech Docs Index</vt:lpstr>
      <vt:lpstr>Project Tracker</vt:lpstr>
      <vt:lpstr>Spec Book Covers</vt:lpstr>
      <vt:lpstr>Spec TOC</vt:lpstr>
      <vt:lpstr>Data</vt:lpstr>
      <vt:lpstr>LLPull</vt:lpstr>
      <vt:lpstr>_TAB01</vt:lpstr>
      <vt:lpstr>'Header Txt'!Print_Area</vt:lpstr>
      <vt:lpstr>'Project Tracker'!Print_Area</vt:lpstr>
      <vt:lpstr>'Spec TOC'!Print_Area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Tevis Gehr</dc:creator>
  <cp:lastModifiedBy>Tevis Gehr</cp:lastModifiedBy>
  <cp:lastPrinted>2015-12-17T15:50:08Z</cp:lastPrinted>
  <dcterms:created xsi:type="dcterms:W3CDTF">2015-11-13T17:42:58Z</dcterms:created>
  <dcterms:modified xsi:type="dcterms:W3CDTF">2016-07-12T21:19:45Z</dcterms:modified>
</cp:coreProperties>
</file>