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R:\TRANSFER\Tevis Gehr\Working Files\Senior Review Work\"/>
    </mc:Choice>
  </mc:AlternateContent>
  <bookViews>
    <workbookView xWindow="0" yWindow="0" windowWidth="24000" windowHeight="9720"/>
  </bookViews>
  <sheets>
    <sheet name="Compressors" sheetId="1" r:id="rId1"/>
    <sheet name="Pumps" sheetId="2" r:id="rId2"/>
    <sheet name="Pumps-Pivot Tables" sheetId="3" r:id="rId3"/>
    <sheet name="Pumps-Questions List" sheetId="5" r:id="rId4"/>
    <sheet name="Pumps-Checklist" sheetId="6" r:id="rId5"/>
  </sheets>
  <definedNames>
    <definedName name="_xlnm._FilterDatabase" localSheetId="0" hidden="1">Compressors!$A$3:$H$3</definedName>
    <definedName name="_xlnm._FilterDatabase" localSheetId="1" hidden="1">Pumps!$A$1:$B$197</definedName>
    <definedName name="_xlnm.Print_Area" localSheetId="4">'Pumps-Checklist'!$B$1:$D$181</definedName>
  </definedNames>
  <calcPr calcId="152511"/>
  <pivotCaches>
    <pivotCache cacheId="0" r:id="rId6"/>
    <pivotCache cacheId="1" r:id="rId7"/>
    <pivotCache cacheId="2" r:id="rId8"/>
    <pivotCache cacheId="3" r:id="rId9"/>
    <pivotCache cacheId="4" r:id="rId10"/>
    <pivotCache cacheId="5"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 i="1" l="1"/>
  <c r="D1" i="1"/>
  <c r="C1" i="1"/>
  <c r="E1" i="2" l="1"/>
  <c r="D1" i="2" l="1"/>
  <c r="C1" i="2" l="1"/>
  <c r="B1" i="2" l="1"/>
  <c r="A1" i="2" l="1"/>
  <c r="B1" i="1" l="1"/>
  <c r="A1" i="1" l="1"/>
</calcChain>
</file>

<file path=xl/sharedStrings.xml><?xml version="1.0" encoding="utf-8"?>
<sst xmlns="http://schemas.openxmlformats.org/spreadsheetml/2006/main" count="2480" uniqueCount="500">
  <si>
    <t>Noise Blanket</t>
  </si>
  <si>
    <t>Instrumentation</t>
  </si>
  <si>
    <t>Orifice</t>
  </si>
  <si>
    <t>Electrical Kit</t>
  </si>
  <si>
    <t>Heater</t>
  </si>
  <si>
    <t>Pressure Control Valve</t>
  </si>
  <si>
    <t>Suction Strainer</t>
  </si>
  <si>
    <t>Check Valve</t>
  </si>
  <si>
    <t>Coupling</t>
  </si>
  <si>
    <t>Lube Pump</t>
  </si>
  <si>
    <t>Heat Exchanger</t>
  </si>
  <si>
    <t>Heat Trace</t>
  </si>
  <si>
    <t>Relief Valve Needed (Lube)</t>
  </si>
  <si>
    <t>Nametags</t>
  </si>
  <si>
    <t>Control Panel</t>
  </si>
  <si>
    <t>Surge Control</t>
  </si>
  <si>
    <t>COMPRESSOR KIT BOM</t>
  </si>
  <si>
    <t>Gate Valve On Case Drain</t>
  </si>
  <si>
    <t>Orifice Sizing</t>
  </si>
  <si>
    <t>Anchor Bolts</t>
  </si>
  <si>
    <t>Kit BOM loaded too Early</t>
  </si>
  <si>
    <t>Lube Pump Motor</t>
  </si>
  <si>
    <t>Electrical BOM</t>
  </si>
  <si>
    <t>Regulator Vavle</t>
  </si>
  <si>
    <t>Motor</t>
  </si>
  <si>
    <t>Low Temp Service</t>
  </si>
  <si>
    <t>P&amp;ID</t>
  </si>
  <si>
    <t>Xylan Coating</t>
  </si>
  <si>
    <t>Temperature Control Valve</t>
  </si>
  <si>
    <t>Gearbox Filter and Manifold</t>
  </si>
  <si>
    <t>Filter</t>
  </si>
  <si>
    <t>Obsolete Part</t>
  </si>
  <si>
    <t>Teflon Coating</t>
  </si>
  <si>
    <t>Material</t>
  </si>
  <si>
    <t>Gas Filter</t>
  </si>
  <si>
    <t>Drain Trap</t>
  </si>
  <si>
    <t>Lube Pump Coupling</t>
  </si>
  <si>
    <t>Connections/Flanges/Fittings</t>
  </si>
  <si>
    <t>Item called out as "Ref" in BOM/Not called out</t>
  </si>
  <si>
    <t>Hazardous Area Rating/Cert</t>
  </si>
  <si>
    <t>Coupling Housing</t>
  </si>
  <si>
    <t>COMPRESSOR SPEC SHEET</t>
  </si>
  <si>
    <t>Formatting</t>
  </si>
  <si>
    <t>Lubrication</t>
  </si>
  <si>
    <t>Testing/Inspection</t>
  </si>
  <si>
    <t>MAWP</t>
  </si>
  <si>
    <t>Incomplete</t>
  </si>
  <si>
    <t>Flange</t>
  </si>
  <si>
    <t>Weights</t>
  </si>
  <si>
    <t>Estimated Seal Leakage</t>
  </si>
  <si>
    <t>Sub-component vendor/model/part number incorrect</t>
  </si>
  <si>
    <t>Operating Conditions</t>
  </si>
  <si>
    <r>
      <t xml:space="preserve">From </t>
    </r>
    <r>
      <rPr>
        <b/>
        <sz val="11"/>
        <color rgb="FFFF0000"/>
        <rFont val="Calibri"/>
        <family val="2"/>
        <scheme val="minor"/>
      </rPr>
      <t>9</t>
    </r>
    <r>
      <rPr>
        <b/>
        <sz val="11"/>
        <color theme="1"/>
        <rFont val="Calibri"/>
        <family val="2"/>
        <scheme val="minor"/>
      </rPr>
      <t xml:space="preserve"> items</t>
    </r>
  </si>
  <si>
    <r>
      <t xml:space="preserve">From </t>
    </r>
    <r>
      <rPr>
        <b/>
        <sz val="11"/>
        <color rgb="FFFF0000"/>
        <rFont val="Calibri"/>
        <family val="2"/>
        <scheme val="minor"/>
      </rPr>
      <t>15</t>
    </r>
    <r>
      <rPr>
        <b/>
        <sz val="11"/>
        <color theme="1"/>
        <rFont val="Calibri"/>
        <family val="2"/>
        <scheme val="minor"/>
      </rPr>
      <t xml:space="preserve"> items</t>
    </r>
  </si>
  <si>
    <t>QUALITY PLAN</t>
  </si>
  <si>
    <t>ITP missing item in Scope</t>
  </si>
  <si>
    <t>Charpy Testing</t>
  </si>
  <si>
    <t>LPI</t>
  </si>
  <si>
    <t>ITP has extra item NOT in scope</t>
  </si>
  <si>
    <t>Vibration monitoring</t>
  </si>
  <si>
    <t>Paint</t>
  </si>
  <si>
    <t>Balance</t>
  </si>
  <si>
    <t>MTR/Material missing/incorrect</t>
  </si>
  <si>
    <t>Procedure/PN/Acceptance Criteria incorrect/missing</t>
  </si>
  <si>
    <t xml:space="preserve">Verifying Document/ISO Form incorrect </t>
  </si>
  <si>
    <t>PMI</t>
  </si>
  <si>
    <t xml:space="preserve">Witness Points Incorrect/Issue </t>
  </si>
  <si>
    <t>Lack of clarity of percentage/scope of test/inspection</t>
  </si>
  <si>
    <t>Noise Testing</t>
  </si>
  <si>
    <t>Hardness Testing</t>
  </si>
  <si>
    <t>X-Ray</t>
  </si>
  <si>
    <t>Ferrite Testing</t>
  </si>
  <si>
    <t>NACE</t>
  </si>
  <si>
    <t>Weld/Weld Map</t>
  </si>
  <si>
    <t>MPI</t>
  </si>
  <si>
    <t>Lifting Lugs</t>
  </si>
  <si>
    <t>Ultrasonic Testing</t>
  </si>
  <si>
    <t>ITP does not match OP20/40 or Spec Sheet</t>
  </si>
  <si>
    <t>ASME U-Stamp</t>
  </si>
  <si>
    <t>Performance Test</t>
  </si>
  <si>
    <t>Mechanical Run Test</t>
  </si>
  <si>
    <t>Soap Leak Test</t>
  </si>
  <si>
    <r>
      <t xml:space="preserve">From </t>
    </r>
    <r>
      <rPr>
        <b/>
        <sz val="11"/>
        <color rgb="FFFF0000"/>
        <rFont val="Calibri"/>
        <family val="2"/>
        <scheme val="minor"/>
      </rPr>
      <t>16</t>
    </r>
    <r>
      <rPr>
        <b/>
        <sz val="11"/>
        <color theme="1"/>
        <rFont val="Calibri"/>
        <family val="2"/>
        <scheme val="minor"/>
      </rPr>
      <t xml:space="preserve"> items</t>
    </r>
  </si>
  <si>
    <t>OP 20</t>
  </si>
  <si>
    <t>MTR/Material</t>
  </si>
  <si>
    <t>Pressure incorrect/does not match</t>
  </si>
  <si>
    <t>Ship Loose</t>
  </si>
  <si>
    <t>Missing procedure/acceptance criteria/standard</t>
  </si>
  <si>
    <t>Sourcing</t>
  </si>
  <si>
    <t>Hydro Test</t>
  </si>
  <si>
    <t>Incorrect/missing project team names/project information</t>
  </si>
  <si>
    <t>Test/inspection missing</t>
  </si>
  <si>
    <t>Shipping/export/storage</t>
  </si>
  <si>
    <t>Line item inapplicable to product/scope</t>
  </si>
  <si>
    <t>Witness Points</t>
  </si>
  <si>
    <t>NPSH</t>
  </si>
  <si>
    <t>Gearbox</t>
  </si>
  <si>
    <t>Special tests/specifications</t>
  </si>
  <si>
    <t>Motor/Alignment/Trial Fit</t>
  </si>
  <si>
    <t>Tagging/Nameplate</t>
  </si>
  <si>
    <t>Spares</t>
  </si>
  <si>
    <t>ITP Mismatch</t>
  </si>
  <si>
    <t>Performance/Running test</t>
  </si>
  <si>
    <t>Convert to Metric Units</t>
  </si>
  <si>
    <t xml:space="preserve">Missing Duplicate # </t>
  </si>
  <si>
    <r>
      <t xml:space="preserve">From </t>
    </r>
    <r>
      <rPr>
        <b/>
        <sz val="11"/>
        <color rgb="FFFF0000"/>
        <rFont val="Calibri"/>
        <family val="2"/>
        <scheme val="minor"/>
      </rPr>
      <t>21</t>
    </r>
    <r>
      <rPr>
        <b/>
        <sz val="11"/>
        <color theme="1"/>
        <rFont val="Calibri"/>
        <family val="2"/>
        <scheme val="minor"/>
      </rPr>
      <t xml:space="preserve"> items</t>
    </r>
  </si>
  <si>
    <t>OP 40</t>
  </si>
  <si>
    <t>Hardness Test/Value</t>
  </si>
  <si>
    <t>PWHT</t>
  </si>
  <si>
    <t>Missing Part(s)</t>
  </si>
  <si>
    <t>UT</t>
  </si>
  <si>
    <t>Part Number Incorrect/Missing</t>
  </si>
  <si>
    <t>Percentage/distribution of parts tested</t>
  </si>
  <si>
    <t>Runout</t>
  </si>
  <si>
    <t>SME</t>
  </si>
  <si>
    <t>Gussets</t>
  </si>
  <si>
    <t>Charpy Test</t>
  </si>
  <si>
    <t>Lifting Lugs/Lifting Lug Welds</t>
  </si>
  <si>
    <t>CRN</t>
  </si>
  <si>
    <t>Weld Repair</t>
  </si>
  <si>
    <r>
      <t xml:space="preserve">From </t>
    </r>
    <r>
      <rPr>
        <b/>
        <sz val="11"/>
        <color rgb="FFFF0000"/>
        <rFont val="Calibri"/>
        <family val="2"/>
        <scheme val="minor"/>
      </rPr>
      <t>18</t>
    </r>
    <r>
      <rPr>
        <b/>
        <sz val="11"/>
        <color theme="1"/>
        <rFont val="Calibri"/>
        <family val="2"/>
        <scheme val="minor"/>
      </rPr>
      <t xml:space="preserve"> items</t>
    </r>
  </si>
  <si>
    <t>Utilities</t>
  </si>
  <si>
    <t>Mismatch with Scope</t>
  </si>
  <si>
    <t>Noise Blanket/Level</t>
  </si>
  <si>
    <t>Seal</t>
  </si>
  <si>
    <t>API Plan</t>
  </si>
  <si>
    <t>Duplicate</t>
  </si>
  <si>
    <t>Tagging</t>
  </si>
  <si>
    <t>Mismatch with GA</t>
  </si>
  <si>
    <t>Data differs from customer spec sheet</t>
  </si>
  <si>
    <t>Vent and Drain Connection Sizes</t>
  </si>
  <si>
    <t>Impeller Diameter</t>
  </si>
  <si>
    <t>Incorrect project information</t>
  </si>
  <si>
    <t>RPM</t>
  </si>
  <si>
    <r>
      <t xml:space="preserve">From </t>
    </r>
    <r>
      <rPr>
        <b/>
        <sz val="11"/>
        <color rgb="FFFF0000"/>
        <rFont val="Calibri"/>
        <family val="2"/>
        <scheme val="minor"/>
      </rPr>
      <t>19</t>
    </r>
    <r>
      <rPr>
        <b/>
        <sz val="11"/>
        <color theme="1"/>
        <rFont val="Calibri"/>
        <family val="2"/>
        <scheme val="minor"/>
      </rPr>
      <t xml:space="preserve"> items</t>
    </r>
  </si>
  <si>
    <t>UNIT BOM</t>
  </si>
  <si>
    <t>SPEC SHEET</t>
  </si>
  <si>
    <t>Need to add KIT to UNIT BOM</t>
  </si>
  <si>
    <t>Seal Housing</t>
  </si>
  <si>
    <t>Item Master DNE</t>
  </si>
  <si>
    <t>Pipe Plugs</t>
  </si>
  <si>
    <t>Impeller</t>
  </si>
  <si>
    <t>Inducer</t>
  </si>
  <si>
    <t>Discharge Orifice Required</t>
  </si>
  <si>
    <t>Gasket</t>
  </si>
  <si>
    <t>Size/Diameter Incorrect</t>
  </si>
  <si>
    <t>Studs/Nuts</t>
  </si>
  <si>
    <t>Coupling/Coupling Housing</t>
  </si>
  <si>
    <t>Pump Case</t>
  </si>
  <si>
    <t>Shaft</t>
  </si>
  <si>
    <r>
      <t xml:space="preserve">From </t>
    </r>
    <r>
      <rPr>
        <b/>
        <sz val="11"/>
        <color rgb="FFFF0000"/>
        <rFont val="Calibri"/>
        <family val="2"/>
        <scheme val="minor"/>
      </rPr>
      <t>13</t>
    </r>
    <r>
      <rPr>
        <b/>
        <sz val="11"/>
        <color theme="1"/>
        <rFont val="Calibri"/>
        <family val="2"/>
        <scheme val="minor"/>
      </rPr>
      <t xml:space="preserve"> items</t>
    </r>
  </si>
  <si>
    <t>Grand Total</t>
  </si>
  <si>
    <t>Count of QUALITY PLAN</t>
  </si>
  <si>
    <t>Quality Plan</t>
  </si>
  <si>
    <t>Questions/Checklist</t>
  </si>
  <si>
    <t>Count of OP 20</t>
  </si>
  <si>
    <t>Count of OP 40</t>
  </si>
  <si>
    <t>Count of SPEC SHEET</t>
  </si>
  <si>
    <t xml:space="preserve">SPEC SHEET </t>
  </si>
  <si>
    <t>Count of UNIT BOM</t>
  </si>
  <si>
    <t>Yes/No</t>
  </si>
  <si>
    <t>Yes</t>
  </si>
  <si>
    <t>No</t>
  </si>
  <si>
    <t>N/A</t>
  </si>
  <si>
    <t>PE Notes/Response</t>
  </si>
  <si>
    <t>Material cert types are correct (3.1, 2.2, etc.)?</t>
  </si>
  <si>
    <t>Material cert lines reference correct material code under 'Acceptance Criteria'? (Sundyne ME02 code, ASTM spec, etc.)</t>
  </si>
  <si>
    <t>QUALITY PLAN/ITP</t>
  </si>
  <si>
    <t>Kit part number has been added to unit BOM?</t>
  </si>
  <si>
    <t>All part numbers correct and match latest model?</t>
  </si>
  <si>
    <t xml:space="preserve">Does the job have NACE requirements? If so, do all applicable parts have suitable material? </t>
  </si>
  <si>
    <t xml:space="preserve">All parts have correct material?  </t>
  </si>
  <si>
    <t>Coded part numbers call out correct ME02 code?</t>
  </si>
  <si>
    <t>Check studs and nuts for correct P/N, size, material etc. All correct?</t>
  </si>
  <si>
    <t>Check impeller and inducer for correct P/N, size, material etc. Check for balance holes and special customer requirments. All correct?</t>
  </si>
  <si>
    <t>If a discharge oriface is required per Engineering Run, has it been added to the BOM?</t>
  </si>
  <si>
    <t xml:space="preserve">Are pipe plugs correct? (May not be needed depending on pump case and seal housing. </t>
  </si>
  <si>
    <t>No parts are missing from the BOM?</t>
  </si>
  <si>
    <t>Pump case and seal housing part numbers correct?</t>
  </si>
  <si>
    <t>-</t>
  </si>
  <si>
    <t>If there are sourcing requirements, are these reflected correctly in part numbers?</t>
  </si>
  <si>
    <t>If the unit requires a Flexitallic gasket (for example in a high temp service) has it been included in BOM?</t>
  </si>
  <si>
    <t>If a discharge orifice is required per Engineering Run, has it been added to the BOM?</t>
  </si>
  <si>
    <t>Weights section fully filled out and current?</t>
  </si>
  <si>
    <t>Seal part numbers correct?</t>
  </si>
  <si>
    <t>Build code correct?</t>
  </si>
  <si>
    <t>Allmaterials checked and match BOM?</t>
  </si>
  <si>
    <t>Seal code correct?</t>
  </si>
  <si>
    <t>Is all of the project information correct? (Purchaser, PO#, Tag#, etc.)</t>
  </si>
  <si>
    <t>Does testing match scope and ITP?</t>
  </si>
  <si>
    <t>Witness points match scope and itp?</t>
  </si>
  <si>
    <t>Do operating conditions match Engineering Run?</t>
  </si>
  <si>
    <t>Hydrostatic test pressure correct?</t>
  </si>
  <si>
    <t>If there are special testing requirements, have they been noted in remarks section?</t>
  </si>
  <si>
    <t>Are all applicable fields filled out?</t>
  </si>
  <si>
    <t xml:space="preserve">Is the typical noise level indicated and correct? </t>
  </si>
  <si>
    <t xml:space="preserve">Coupling information filled in and correct w/ vendor part number? </t>
  </si>
  <si>
    <t>Cooling water requirments filled and correct?</t>
  </si>
  <si>
    <t>If the unit is a duplcate, is this noted with the original SO#?</t>
  </si>
  <si>
    <t>Does all data match the customer's spec sheet?</t>
  </si>
  <si>
    <t>Heat exchanger checked?</t>
  </si>
  <si>
    <t>Does all data match the Scope of Supply?</t>
  </si>
  <si>
    <t>Impeller diameter checked?</t>
  </si>
  <si>
    <t>Check suction, discharge, vent, and drain connections data. All correct?</t>
  </si>
  <si>
    <t>API flush plan correct?</t>
  </si>
  <si>
    <t>All materials checked and match BOM?</t>
  </si>
  <si>
    <t>MAWP and Hydrotest pressure correct and noted in remarks section?</t>
  </si>
  <si>
    <t>Verify seal housing MAWP and hydrotest (this is often lower than the case hydro pressure ie. 1500psi). Seal housing test pressure correct?</t>
  </si>
  <si>
    <t>***See data from "Tagging/Special" section.***</t>
  </si>
  <si>
    <t>Does the coupling match the motor?</t>
  </si>
  <si>
    <t>Does the coupling match the motor shaft? (Bore size, holes, etc.)</t>
  </si>
  <si>
    <t>Is the coupling sized correctly for motor shaft diameter and torque?</t>
  </si>
  <si>
    <t>Should coupling be called out in Unit BOM or Kit BOM?</t>
  </si>
  <si>
    <t>(Or maybe be its own section?)</t>
  </si>
  <si>
    <t>Seal part number correct?</t>
  </si>
  <si>
    <t>Seal face materials match scope and acceptable for operating conditons? (Check NACE, process temp, etc.)</t>
  </si>
  <si>
    <t>Duplicate callouts - Added from "Duplicate Callouts…" Category</t>
  </si>
  <si>
    <t>All items are called out in the correct BOM?</t>
  </si>
  <si>
    <t>All items are correctly specified as 'EA' or 'REF'? Check all BOMs.</t>
  </si>
  <si>
    <t>Correct coupling P/N, manufacturer, etc?</t>
  </si>
  <si>
    <t>Check coupling housing size, material, P/N, etc. All correct?</t>
  </si>
  <si>
    <t>Also check paint category.</t>
  </si>
  <si>
    <t>GEARBOX BOM</t>
  </si>
  <si>
    <t>Missing Part</t>
  </si>
  <si>
    <t>Shaft Locking tool</t>
  </si>
  <si>
    <t>Bearings</t>
  </si>
  <si>
    <t>Coupling/ Coupling housing</t>
  </si>
  <si>
    <t>Plate, Bearing</t>
  </si>
  <si>
    <t>Duplicate from other BOM</t>
  </si>
  <si>
    <t>Extra filter for lube oil functional</t>
  </si>
  <si>
    <t>There are no items driven in multiple BOMs (ie Unit, gearbox, Kit)? Check coupling, coupling housing, motor, first flange components, gearbox HX, discharge orifice, oil filter manifold, gearbox instrumentation, etc.</t>
  </si>
  <si>
    <t>Seal, Gearbox</t>
  </si>
  <si>
    <t>Vibration mounting</t>
  </si>
  <si>
    <t>Attaching Hardware Kit</t>
  </si>
  <si>
    <t>HX, Gearbox</t>
  </si>
  <si>
    <t>Thrust Washer</t>
  </si>
  <si>
    <t>Count of Attaching Hardware Kit</t>
  </si>
  <si>
    <t>Correct bearings part numbers?</t>
  </si>
  <si>
    <t>Bearings sized correctly?</t>
  </si>
  <si>
    <t>Bearings checked against operating conditions?</t>
  </si>
  <si>
    <t xml:space="preserve">See coupling section of UNIT BOM questions list. </t>
  </si>
  <si>
    <t>Need to decide where to put the coupling.</t>
  </si>
  <si>
    <t>Is the gearbox seal P/N correct?</t>
  </si>
  <si>
    <t>No parts are missing from Gearbox BOM?</t>
  </si>
  <si>
    <t xml:space="preserve">Shaft assemblies have correct P/N's? </t>
  </si>
  <si>
    <t>See duplicate section of UNIT BOM questions above.</t>
  </si>
  <si>
    <t>Correct bearing plate P/N?</t>
  </si>
  <si>
    <t>Is the bearing plate corrrect to allow for any needed instrument mounting? (Particularly vibration sensors)</t>
  </si>
  <si>
    <t>If there are any other instrument mounting considerations, have these been addressed with the selected parts?</t>
  </si>
  <si>
    <t>Gearbox heat exchanger correct?</t>
  </si>
  <si>
    <t>Reference SHIP LOOSE PARTS category.</t>
  </si>
  <si>
    <t>OTHER</t>
  </si>
  <si>
    <t>Is ship loose list fully and correctly defined?</t>
  </si>
  <si>
    <t>Is ship loose list uploaded into JDE SO text notes?</t>
  </si>
  <si>
    <t>Check all GBX materials.</t>
  </si>
  <si>
    <t>Companion Flanges</t>
  </si>
  <si>
    <t>O-ring material</t>
  </si>
  <si>
    <t>O-ring Material</t>
  </si>
  <si>
    <t>Are O-rings of correct and suitable material?</t>
  </si>
  <si>
    <t>Companion Flanges this should go in one of the BOMS?</t>
  </si>
  <si>
    <t>Need Instrumentation (KIT BOM/PID?)</t>
  </si>
  <si>
    <t>Lateral/Torsional analysis</t>
  </si>
  <si>
    <t>Customer Connections</t>
  </si>
  <si>
    <t>Bypass Orifice</t>
  </si>
  <si>
    <t>KIT BOM/P&amp;ID</t>
  </si>
  <si>
    <t>Does the KIT BOM match the P&amp;ID?</t>
  </si>
  <si>
    <t>BOM Match</t>
  </si>
  <si>
    <t>Does the Kit Bom match the P&amp;ID?</t>
  </si>
  <si>
    <t>First Flange</t>
  </si>
  <si>
    <t>Do flange ratings match spec sheet?</t>
  </si>
  <si>
    <t xml:space="preserve">Comfirm whether first flange parts are driven from pump case drawing or from kit BOM. Are first flange parts correctly specified and driven? </t>
  </si>
  <si>
    <t>Also check seal housing first flange. All correct?</t>
  </si>
  <si>
    <t>Are customer connections correctly specified?</t>
  </si>
  <si>
    <t>If the scope includes companion flanges, are these in the BOM?</t>
  </si>
  <si>
    <t xml:space="preserve">Are first flnage parts quality requirements correctly specified in the OP20/40? </t>
  </si>
  <si>
    <t>P&amp;ID Tags</t>
  </si>
  <si>
    <t>Housing - From "Gearbox housings" catagory</t>
  </si>
  <si>
    <t xml:space="preserve">Instrumentation - From "Gearbox Instrumentation" </t>
  </si>
  <si>
    <t>Housing</t>
  </si>
  <si>
    <t>Is the gearbox housing correct to accommodate required gearbox instrumentation?</t>
  </si>
  <si>
    <t>Verify geabox insturmention matches scope, customer requirements, and operating conditions. All correct?</t>
  </si>
  <si>
    <t>Does the housing correctly accomadate gearbox filter type?</t>
  </si>
  <si>
    <t xml:space="preserve">If a segmental hydrotest is specified on the spec sheet, is this reflected in the OP20? </t>
  </si>
  <si>
    <t>MAWP/Hydro press. vs flange rating</t>
  </si>
  <si>
    <t>Do all pipe, tube, connection and flange ratings match the appropriate MAWP and hydrotest pressure?</t>
  </si>
  <si>
    <t>Motor data matches actual motor quote/spec sheet? (Verify HP, speed, rotation, enclosure, hazadous area, etc.)</t>
  </si>
  <si>
    <t>Hazadous area certs. (check for, ATEX vs IECEX, etc)</t>
  </si>
  <si>
    <t>If the motor is being supplied by the customer, has it been checked? (Check operating conditions and coupling fit, etc.)</t>
  </si>
  <si>
    <t>Does that coupling disk pack material match the coupling?</t>
  </si>
  <si>
    <t>Motor and coupling</t>
  </si>
  <si>
    <t>Noise blanket</t>
  </si>
  <si>
    <t>Other BOMs vs major BOM</t>
  </si>
  <si>
    <t>If there is a noise blanket in the scope, is it included in the Kit BOM? Check that P/N is correct.</t>
  </si>
  <si>
    <t>Do the O-rings in BOM match the spec sheet?</t>
  </si>
  <si>
    <t>Are all P&amp;ID Tags correct?</t>
  </si>
  <si>
    <t>Line sizes?</t>
  </si>
  <si>
    <t>Line sizes</t>
  </si>
  <si>
    <t>Are all kit (lube and seal) line sizes correct?</t>
  </si>
  <si>
    <t>PM-07-02-08</t>
  </si>
  <si>
    <t>P/Ns</t>
  </si>
  <si>
    <t>Do all standard-coded part numbers and drawing-coded part numbers comply with coding requirements of PM-07-02-08?</t>
  </si>
  <si>
    <t>Seal Cavity Pressure - Added from "Seal Cavity Press.."</t>
  </si>
  <si>
    <t>Seal Cavity Pressure</t>
  </si>
  <si>
    <t>Correct seal cavity pressure shown?</t>
  </si>
  <si>
    <t>Is the seal cavity pressure acceptable for selected seal plan etc? (Also check if balance holes required, size.)</t>
  </si>
  <si>
    <t>Shipping flange covers- included and correct (mat) if purchased</t>
  </si>
  <si>
    <t>Are spares fully and correctly defined?</t>
  </si>
  <si>
    <t>Are spares uploaded into JDE SO text notes?</t>
  </si>
  <si>
    <t>Load extra Lube Oil filter for functional test.</t>
  </si>
  <si>
    <t>Gussets - Do a search on this</t>
  </si>
  <si>
    <t>If a multistage orifice is required, is it in BOM? (ie Plan 11)</t>
  </si>
  <si>
    <t>Electrical? Junction Box</t>
  </si>
  <si>
    <t>Valves</t>
  </si>
  <si>
    <t>Lube Pump (sizing, etc)</t>
  </si>
  <si>
    <t>Baseplate</t>
  </si>
  <si>
    <t>Orifice (sizing etc) - is sizing calc included in book?</t>
  </si>
  <si>
    <t>Jakcing screws required?</t>
  </si>
  <si>
    <t>Gearbox BOM</t>
  </si>
  <si>
    <t>Are all verifying documents/ ISO forms correct?</t>
  </si>
  <si>
    <t>All items reference correct PN/Acceptance criteria?</t>
  </si>
  <si>
    <t>All materials match scope and BOMs?</t>
  </si>
  <si>
    <t>All tests and inspections in scope are included in the ITP?</t>
  </si>
  <si>
    <t>The ITP does not have extra items that are not included in the scope? (EXCEPTION: Tests/inspections that are not part of customer scope but are Sundyne standard SHOULD be included on ITP).</t>
  </si>
  <si>
    <t>Is every item on the ITP specified in the OP20/40? (And vice-versa.)</t>
  </si>
  <si>
    <t xml:space="preserve">Have the paint systems been fully specified for every part that is to be painted? </t>
  </si>
  <si>
    <t>If Marine Duty paint was sold, is this reflected in ITP and OP20/40?</t>
  </si>
  <si>
    <t xml:space="preserve">Have blast and surface profile verification requirements been specified? (Stainless steel that is to be blasted must be sent out.) </t>
  </si>
  <si>
    <t>If there are non-standard color requirements, have they been specified?</t>
  </si>
  <si>
    <t>If special paints/colors are required, have item masters been either found in JDE (prefered) or created (if needed)?</t>
  </si>
  <si>
    <t>If paint is NOT Sundyne standard, answer the following 7 questions:</t>
  </si>
  <si>
    <t>Should paint be its own section?</t>
  </si>
  <si>
    <t>Is the paint to be Sundyne standard? (In other words there are no special requirements or customer specs for paint.) If so, verify which paint system is to be used FHA or FHB.</t>
  </si>
  <si>
    <t>If materials other than carbon steel are to be painted, has an appropriate paint system been chosen? (The marine duty system cannot be used on stainless steel due to the zinc primer.)</t>
  </si>
  <si>
    <t>Have dry film thickness requirements been specified?</t>
  </si>
  <si>
    <t>For parts requiring a random sample set for NDE testing, have percentages/allotments been properly specified? (A weld map may be required).</t>
  </si>
  <si>
    <t>Is the ITP clear about how many of each part is to be tested in cases where there are many similar parts (such as piping or fasteners)?</t>
  </si>
  <si>
    <t>If there are multple units (or services), is the ITP clear about differences in testing/inspection between units (or services)? (i.e. when only the first unit requires performance testing etc.)</t>
  </si>
  <si>
    <t>If liquid penetrant inspection (LPI) is required by scope, has it been properly specified in ITP with correct PN and ISO form?</t>
  </si>
  <si>
    <t>LPI (Changed to all NDT).</t>
  </si>
  <si>
    <t>Included in LPI section.</t>
  </si>
  <si>
    <t>If magnetic penetrant inspection (MPI or MT) is required by scope, has it been properly specified in ITP with correct PN and ISO form?</t>
  </si>
  <si>
    <t>If X-ray testing is required by scope, has it been properly specified in ITP with correct PN and ISO form?</t>
  </si>
  <si>
    <t>If ultrasonic testing (UT) is required by scope, has it been properly specified in ITP with correct PN and ISO form?</t>
  </si>
  <si>
    <t>Do all witness points match the scope?</t>
  </si>
  <si>
    <t xml:space="preserve">Is the number of days notice before witness testing agreed upon and specified? </t>
  </si>
  <si>
    <t>If applicable, are the definitions of Witness (W), Hold (H), Observe (O), Review (R ) etc. specified and agreed upon with customer, as defined on ITP?</t>
  </si>
  <si>
    <t>Have MTR's been specified for all items requireing PMI?</t>
  </si>
  <si>
    <t>Check positive material identification (PMI) requirements. Have they been correctly specified on the ITP?</t>
  </si>
  <si>
    <t xml:space="preserve">If there are any special PMI requirements (such as a need for PMI on carbon steel), have these been communicated to Quality? </t>
  </si>
  <si>
    <t>If noise testing was purchased, is it included in ITP with acceptance criteria?</t>
  </si>
  <si>
    <t>If there are Non-Destructive Testing requirements on welds, has a weld map been created?</t>
  </si>
  <si>
    <t xml:space="preserve">Does the weld map match ITP tests and percentages? </t>
  </si>
  <si>
    <t>If hardness testing is required, has it been properly specified with required hardness value?</t>
  </si>
  <si>
    <t>If balancing is required, has it been properly specified? Note the differences between the following types of tests: 
-Individual component balance (Sundyne standard)
-Balance of Assembled Rotors (Non-standard)
-Unbalanced Rotor Response Test (Non-standard)
-Balance Repeatability Check (Non-standard)
-Residual Unbalance Test (Non-standard)</t>
  </si>
  <si>
    <t>If FFT vibration testing is included in scope, is it specified in ITP with correct verifying document?</t>
  </si>
  <si>
    <t>Is there a paint matrix for this job? A paint matrix is required for all jobs with non-standard paint.</t>
  </si>
  <si>
    <t>If there are lifting lugs, are any NDT requirements correctly specified?</t>
  </si>
  <si>
    <t xml:space="preserve">If this is a NACE job, are all materials suitable? </t>
  </si>
  <si>
    <t>If any component require an ASME pressure vessel code stamp, is this reflected on the ITP and OP20/40?</t>
  </si>
  <si>
    <t>Charpy Testing - Changed to OTHER TESTING</t>
  </si>
  <si>
    <t>Check whether either of the following are required:
-Charpy Testing
-Ferrite Testing
If so, are they correctly specified?</t>
  </si>
  <si>
    <t>If there is a mechanical run test in the scope, it the number of hours specified in the ITP and OP20/40?</t>
  </si>
  <si>
    <t>If there are any non-standard requirements for the performance testing, have they been specified in the ITP and OP20/40?</t>
  </si>
  <si>
    <t>Are all verifying documents/ISO forms correct?</t>
  </si>
  <si>
    <t>If companion flanges are in the scope, have they been added to the BOM?</t>
  </si>
  <si>
    <t>If the unit is a duplicate, is this noted with the original SO#?</t>
  </si>
  <si>
    <t>Are all gearbox BOM materials correct?</t>
  </si>
  <si>
    <t>Seal face materials match scope and acceptable for operating conditions? (Check NACE, process temp, etc.)</t>
  </si>
  <si>
    <t>There are no items driven in multiple BOMs (i.e. Unit, gearbox, Kit)? Check coupling, coupling housing, motor, first flange components, gearbox HX, discharge orifice, oil filter manifold, gearbox instrumentation, etc.</t>
  </si>
  <si>
    <t>Motor data matches actual motor quote/spec sheet? (Verify HP, speed, rotation, enclosure, hazardous area, etc.)</t>
  </si>
  <si>
    <t>Cooling water requirements filled and correct?</t>
  </si>
  <si>
    <t>Is the seal cavity pressure acceptable for selected seal plan etc.? (Also check if balance holes required, size.)</t>
  </si>
  <si>
    <t>If special paints/colors are required, have item masters been either found in JDE (preferred) or created (if needed)?</t>
  </si>
  <si>
    <t>If there are multiple units (or services), is the ITP clear about differences in testing/inspection between units (or services)? (i.e. when only the first unit requires performance testing etc.)</t>
  </si>
  <si>
    <t>Have MTR's been specified for all items requiring PMI?</t>
  </si>
  <si>
    <t>Is the bearing plate correct to allow for any needed instrument mounting? (Particularly vibration sensors)</t>
  </si>
  <si>
    <t>Does the housing correctly accommodate gearbox filter type?</t>
  </si>
  <si>
    <t>Verify gearbox instrumentation matches scope, customer requirements, and operating conditions. All correct?</t>
  </si>
  <si>
    <t>Correct coupling P/N, manufacturer, etc.?</t>
  </si>
  <si>
    <t>Check impeller and inducer for correct P/N, size, material etc. Check for balance holes and special customer requirements. All correct?</t>
  </si>
  <si>
    <t xml:space="preserve">Has all non-applicable text been hidden? Anything not hidden will appear in routing. Verify all text from template and PM entry. </t>
  </si>
  <si>
    <t xml:space="preserve">Are all items specified in the scope? </t>
  </si>
  <si>
    <t>Are all tests/inspections applicable to the product type?</t>
  </si>
  <si>
    <t>Do all witness points match the ITP and scope?</t>
  </si>
  <si>
    <t>If there are any special witness testing requirements, are they specified? (i.e. extended noticfication period, special third party, ABS etc.)</t>
  </si>
  <si>
    <t>Do all test pressures match the spec sheet?</t>
  </si>
  <si>
    <t>Motor data correct?</t>
  </si>
  <si>
    <t>Verify whether motor trial fit is required. All correct?</t>
  </si>
  <si>
    <t>Verify whether unit is shimmed. If not, remove "BAG SHIM SETS SEPARATELY…" comment. All correct?</t>
  </si>
  <si>
    <t>If the job motor is required to be used for testing, has this been specified?</t>
  </si>
  <si>
    <t>Check all materials and MTRs vs the BOM and ITP. All correct?</t>
  </si>
  <si>
    <t>Is all of the header information correct? (project team &amp; project information)</t>
  </si>
  <si>
    <t>Does the paint match the ITP and specs?</t>
  </si>
  <si>
    <t>If there is a paint matrix, has it been referenced on the OP20?</t>
  </si>
  <si>
    <t>If the scope calls for long term storage, has this been correctly specified? (check the template details)</t>
  </si>
  <si>
    <t>Does ship loose list match the JDE text notes?</t>
  </si>
  <si>
    <t>Is spares order number correct?</t>
  </si>
  <si>
    <t>Is all shipping information correct?</t>
  </si>
  <si>
    <t>Are all PN numbers correct? Check the template against ITP and any special job requirements.</t>
  </si>
  <si>
    <t>Does all informaiton match the ITP?</t>
  </si>
  <si>
    <t>Have all units been converted to the most appropriate units for the job? (kW vs HP, metic pressure units, etc. Should match customer data sheet units.)</t>
  </si>
  <si>
    <t>If there are any special tests, have they been fully specified?</t>
  </si>
  <si>
    <t>If this is a duplicate, had the original SO# been filled in?</t>
  </si>
  <si>
    <t>Have sourceing requirements been correctly specified?</t>
  </si>
  <si>
    <t>The there are any special requirements for the performance or mechanical run tests, have they been included?</t>
  </si>
  <si>
    <t>Check all part numbers against most recent BOMs. All correct?</t>
  </si>
  <si>
    <t>No parts that require testing/inspection are missing from OP40?</t>
  </si>
  <si>
    <t>Verify all materials and MTR requirements. All correct?</t>
  </si>
  <si>
    <t>Does the OP40 match the ITP?</t>
  </si>
  <si>
    <t>Are all lines applicable to the product/scope?</t>
  </si>
  <si>
    <t>If hardness testing is included in scope, has the acceptable hardness value been specified?</t>
  </si>
  <si>
    <t>Have sourcing requirements been correctly specified?</t>
  </si>
  <si>
    <t>For parts requiring a random sample set for NDE testing, have percentages/allotments been properly specified?</t>
  </si>
  <si>
    <t>OP20</t>
  </si>
  <si>
    <t>OP40</t>
  </si>
  <si>
    <t>Is all tagging information correct?</t>
  </si>
  <si>
    <t xml:space="preserve">Are first flange parts quality requirements correctly specified in the OP20/40? </t>
  </si>
  <si>
    <t>Have the spares and ship loose lists been loaded into the JDE sales order?</t>
  </si>
  <si>
    <t>Are all customer connections correct? (Fittings, flanges, location, line size…)</t>
  </si>
  <si>
    <t>If there is a lateral/torsional analysis included in the scope, has this been specified and communicated to engineering services?</t>
  </si>
  <si>
    <t>Do instrument datasheets match the Kit BOM and scope?</t>
  </si>
  <si>
    <t>If hazardous area certificates are required (ATEX or IECEx) have they been specified for all applicable electrical equipment?</t>
  </si>
  <si>
    <t>If there are any local certifications or requirements for the destination country, have they been communicated properly?</t>
  </si>
  <si>
    <t>If there are any special requirements for the baseplate, have they been included in the drawing and communicated to the fabricator?</t>
  </si>
  <si>
    <t>PEER REVIEW CHECKLIST - PUMPS</t>
  </si>
  <si>
    <t>If a multistage orifice is required, is it in BOM? (i.e. Plan 11)</t>
  </si>
  <si>
    <t xml:space="preserve">Confirm whether first flange parts are driven from pump case drawing or from kit BOM. Are first flange parts correctly specified and driven? </t>
  </si>
  <si>
    <t xml:space="preserve">Check all instruments and instrument tagging. All correct? </t>
  </si>
  <si>
    <t>If there are any special witness testing requirements, are they specified? (i.e. extended notification period, special third party, ABS etc.)</t>
  </si>
  <si>
    <t>Verify seal housing MAWP and hydrotest (this is often lower than the case hydro pressure i.e.. 1500psi). Seal housing test pressure correct?</t>
  </si>
  <si>
    <t>Does all information match the ITP?</t>
  </si>
  <si>
    <t>Have all units been converted to the most appropriate units for the job? (kW vs HP, metric pressure units, etc. Should match customer data sheet units.)</t>
  </si>
  <si>
    <t>If there is any other special analysis required, has this been specified and communicated to engineering services or outside contractor?</t>
  </si>
  <si>
    <t>`</t>
  </si>
  <si>
    <t>Witness points match scope and ITP?</t>
  </si>
  <si>
    <t>Does all data match the customer's data sheet?</t>
  </si>
  <si>
    <t>NUMBER</t>
  </si>
  <si>
    <t>Is the Weights section fully filled out and current?</t>
  </si>
  <si>
    <t>Does the Kit BOM match the P&amp;ID?</t>
  </si>
  <si>
    <t>No parts are still on the SME list?</t>
  </si>
  <si>
    <t>Scope</t>
  </si>
  <si>
    <t>Part Numbers</t>
  </si>
  <si>
    <t>Flush Plan</t>
  </si>
  <si>
    <t>Part Quantity</t>
  </si>
  <si>
    <t>Alarm/Set Points</t>
  </si>
  <si>
    <t>ALOP</t>
  </si>
  <si>
    <t>Part Description</t>
  </si>
  <si>
    <t>Valve</t>
  </si>
  <si>
    <t>Customer Connections/Flush Gas</t>
  </si>
  <si>
    <t>Items Not Shown</t>
  </si>
  <si>
    <t>Vibration</t>
  </si>
  <si>
    <t>Not Match BOM/Model</t>
  </si>
  <si>
    <t>Jbox</t>
  </si>
  <si>
    <t>SCOPE/APPLICATION/SALES DELIVERABLES</t>
  </si>
  <si>
    <t>Compressor Curve</t>
  </si>
  <si>
    <t xml:space="preserve">Oil Pressure </t>
  </si>
  <si>
    <t>Scope Not Match Engineering Run</t>
  </si>
  <si>
    <t>Item Not in scope</t>
  </si>
  <si>
    <t>ISA Datasheets</t>
  </si>
  <si>
    <t>Document Revision (Include in BOTH lists)</t>
  </si>
  <si>
    <t>Missing Item From Scope</t>
  </si>
  <si>
    <t>Quantity</t>
  </si>
  <si>
    <t>Aux Motor</t>
  </si>
  <si>
    <t>Hazardous Area</t>
  </si>
  <si>
    <t>O-Rings</t>
  </si>
  <si>
    <t>Flange Taps</t>
  </si>
  <si>
    <t>Weld Type</t>
  </si>
  <si>
    <r>
      <t xml:space="preserve">From </t>
    </r>
    <r>
      <rPr>
        <b/>
        <sz val="11"/>
        <color rgb="FFFF0000"/>
        <rFont val="Calibri"/>
        <family val="2"/>
        <scheme val="minor"/>
      </rPr>
      <t>8</t>
    </r>
    <r>
      <rPr>
        <b/>
        <sz val="11"/>
        <color theme="1"/>
        <rFont val="Calibri"/>
        <family val="2"/>
        <scheme val="minor"/>
      </rPr>
      <t xml:space="preserve"> items</t>
    </r>
  </si>
  <si>
    <t>GEARBOX</t>
  </si>
  <si>
    <t>Bearing Plate</t>
  </si>
  <si>
    <t>Mounting</t>
  </si>
  <si>
    <t>Duplicated Item in BOMS</t>
  </si>
  <si>
    <t>Motor Adaptor/Attachment</t>
  </si>
  <si>
    <t>Splined vs Coupled Motor</t>
  </si>
  <si>
    <t>Gearbox Seal</t>
  </si>
  <si>
    <t>Bearing/Bearing Length</t>
  </si>
  <si>
    <t>Filter/Manifold</t>
  </si>
  <si>
    <r>
      <t xml:space="preserve">From </t>
    </r>
    <r>
      <rPr>
        <b/>
        <sz val="11"/>
        <color rgb="FFFF0000"/>
        <rFont val="Calibri"/>
        <family val="2"/>
        <scheme val="minor"/>
      </rPr>
      <t>10</t>
    </r>
    <r>
      <rPr>
        <b/>
        <sz val="11"/>
        <color theme="1"/>
        <rFont val="Calibri"/>
        <family val="2"/>
        <scheme val="minor"/>
      </rPr>
      <t xml:space="preserve"> items</t>
    </r>
  </si>
  <si>
    <t>COMPRESSOR</t>
  </si>
  <si>
    <t>Studs/Nuts/Fasteners</t>
  </si>
  <si>
    <t>Cover Plate</t>
  </si>
  <si>
    <t>Weld Type/Ports</t>
  </si>
  <si>
    <t>Paint in Wrong BOM</t>
  </si>
  <si>
    <t>Plugs</t>
  </si>
  <si>
    <t>O-Ring</t>
  </si>
  <si>
    <t>Impeller/Impeller Sizing</t>
  </si>
  <si>
    <t>Flange/Flange Finish</t>
  </si>
  <si>
    <t>Throttle Bushing</t>
  </si>
  <si>
    <t>Seal Screws</t>
  </si>
  <si>
    <t>Rotating face</t>
  </si>
  <si>
    <t>Case</t>
  </si>
  <si>
    <t>Diffuser</t>
  </si>
  <si>
    <t>Old Part</t>
  </si>
  <si>
    <t>OP20 (In addition to Pumps)</t>
  </si>
  <si>
    <t>Thrust Standard/Plain/Tilt Pad</t>
  </si>
  <si>
    <t>Pressure Switch Setpoints</t>
  </si>
  <si>
    <t>Narrow Line vs Wide Line Build</t>
  </si>
  <si>
    <t>Instrumentation/Calibration Range</t>
  </si>
  <si>
    <t>OP40 (In addition to Pumps)</t>
  </si>
  <si>
    <t>Balance Certs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</si>
</sst>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1"/>
      <color theme="1"/>
      <name val="Calibri"/>
      <family val="2"/>
      <scheme val="minor"/>
    </font>
    <font>
      <b/>
      <sz val="11"/>
      <color theme="1"/>
      <name val="Calibri"/>
      <family val="2"/>
      <scheme val="minor"/>
    </font>
    <font>
      <b/>
      <u/>
      <sz val="11"/>
      <color theme="1"/>
      <name val="Calibri"/>
      <family val="2"/>
      <scheme val="minor"/>
    </font>
    <font>
      <sz val="11"/>
      <name val="Calibri"/>
      <family val="2"/>
      <scheme val="minor"/>
    </font>
    <font>
      <b/>
      <sz val="11"/>
      <color rgb="FFFF0000"/>
      <name val="Calibri"/>
      <family val="2"/>
      <scheme val="minor"/>
    </font>
    <font>
      <i/>
      <sz val="11"/>
      <color theme="1"/>
      <name val="Calibri"/>
      <family val="2"/>
      <scheme val="minor"/>
    </font>
    <font>
      <sz val="26"/>
      <color theme="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1" tint="0.34998626667073579"/>
        <bgColor indexed="64"/>
      </patternFill>
    </fill>
    <fill>
      <patternFill patternType="solid">
        <fgColor rgb="FF7030A0"/>
        <bgColor indexed="64"/>
      </patternFill>
    </fill>
  </fills>
  <borders count="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s>
  <cellStyleXfs count="2">
    <xf numFmtId="0" fontId="0" fillId="0" borderId="0"/>
    <xf numFmtId="9" fontId="1" fillId="0" borderId="0" applyFont="0" applyFill="0" applyBorder="0" applyAlignment="0" applyProtection="0"/>
  </cellStyleXfs>
  <cellXfs count="63">
    <xf numFmtId="0" fontId="0" fillId="0" borderId="0" xfId="0"/>
    <xf numFmtId="0" fontId="3" fillId="0" borderId="0" xfId="0" applyFont="1"/>
    <xf numFmtId="0" fontId="0" fillId="2" borderId="0" xfId="0" applyFill="1"/>
    <xf numFmtId="0" fontId="0" fillId="3" borderId="0" xfId="0" applyFill="1"/>
    <xf numFmtId="0" fontId="0" fillId="4" borderId="0" xfId="0" applyFill="1"/>
    <xf numFmtId="0" fontId="0" fillId="0" borderId="0" xfId="0" applyFill="1"/>
    <xf numFmtId="9" fontId="2" fillId="0" borderId="0" xfId="1" applyFont="1" applyAlignment="1">
      <alignment horizontal="right"/>
    </xf>
    <xf numFmtId="0" fontId="2" fillId="0" borderId="0" xfId="0" applyFont="1" applyAlignment="1">
      <alignment horizontal="right"/>
    </xf>
    <xf numFmtId="9" fontId="2" fillId="0" borderId="0" xfId="1" applyFont="1"/>
    <xf numFmtId="0" fontId="0" fillId="5" borderId="0" xfId="0" applyFill="1"/>
    <xf numFmtId="0" fontId="3" fillId="0" borderId="0" xfId="0" applyFont="1" applyFill="1"/>
    <xf numFmtId="0" fontId="4" fillId="3" borderId="0" xfId="0" applyFont="1" applyFill="1"/>
    <xf numFmtId="0" fontId="0" fillId="6" borderId="0" xfId="0" applyFill="1"/>
    <xf numFmtId="0" fontId="0" fillId="0" borderId="0" xfId="0" pivotButton="1"/>
    <xf numFmtId="0" fontId="0" fillId="0" borderId="0" xfId="0" applyAlignment="1">
      <alignment horizontal="left"/>
    </xf>
    <xf numFmtId="0" fontId="0" fillId="0" borderId="0" xfId="0" applyNumberFormat="1"/>
    <xf numFmtId="0" fontId="0" fillId="0" borderId="1" xfId="0" applyBorder="1" applyAlignment="1">
      <alignment horizontal="left"/>
    </xf>
    <xf numFmtId="0" fontId="0" fillId="0" borderId="1" xfId="0" applyNumberFormat="1" applyBorder="1"/>
    <xf numFmtId="0" fontId="0" fillId="7" borderId="1" xfId="0" applyFill="1" applyBorder="1" applyAlignment="1">
      <alignment horizontal="left"/>
    </xf>
    <xf numFmtId="0" fontId="0" fillId="0" borderId="0" xfId="0" applyAlignment="1">
      <alignment wrapText="1"/>
    </xf>
    <xf numFmtId="0" fontId="3" fillId="0" borderId="0" xfId="0" applyFont="1" applyAlignment="1">
      <alignment wrapText="1"/>
    </xf>
    <xf numFmtId="0" fontId="0" fillId="0" borderId="1" xfId="0" applyBorder="1" applyAlignment="1">
      <alignment wrapText="1"/>
    </xf>
    <xf numFmtId="0" fontId="0" fillId="0" borderId="0" xfId="0" applyBorder="1"/>
    <xf numFmtId="0" fontId="0" fillId="8" borderId="1" xfId="0" applyFill="1" applyBorder="1"/>
    <xf numFmtId="0" fontId="0" fillId="0" borderId="1" xfId="0" applyBorder="1" applyAlignment="1">
      <alignment horizontal="center" vertical="center"/>
    </xf>
    <xf numFmtId="0" fontId="2" fillId="7" borderId="2" xfId="0" applyFont="1" applyFill="1" applyBorder="1" applyAlignment="1">
      <alignment wrapText="1"/>
    </xf>
    <xf numFmtId="0" fontId="2" fillId="7" borderId="2" xfId="0" applyFont="1" applyFill="1" applyBorder="1" applyAlignment="1">
      <alignment horizontal="center" vertical="center"/>
    </xf>
    <xf numFmtId="0" fontId="2" fillId="7" borderId="2" xfId="0" applyFont="1" applyFill="1" applyBorder="1"/>
    <xf numFmtId="0" fontId="0" fillId="9" borderId="0" xfId="0" applyFill="1" applyBorder="1"/>
    <xf numFmtId="0" fontId="0" fillId="9" borderId="0" xfId="0" applyFill="1"/>
    <xf numFmtId="0" fontId="0" fillId="7" borderId="1" xfId="0" applyFill="1" applyBorder="1" applyAlignment="1">
      <alignment horizontal="left" wrapText="1"/>
    </xf>
    <xf numFmtId="0" fontId="0" fillId="6" borderId="0" xfId="0" applyFill="1" applyAlignment="1">
      <alignment wrapText="1"/>
    </xf>
    <xf numFmtId="0" fontId="0" fillId="9" borderId="0" xfId="0" applyFill="1" applyBorder="1" applyAlignment="1">
      <alignment wrapText="1"/>
    </xf>
    <xf numFmtId="0" fontId="0" fillId="9" borderId="0" xfId="0" applyFill="1" applyBorder="1" applyAlignment="1">
      <alignment horizontal="center" vertical="center"/>
    </xf>
    <xf numFmtId="0" fontId="0" fillId="0" borderId="0" xfId="0" applyFill="1" applyAlignment="1">
      <alignment wrapText="1"/>
    </xf>
    <xf numFmtId="0" fontId="0" fillId="0" borderId="0" xfId="0"/>
    <xf numFmtId="0" fontId="0" fillId="2" borderId="1" xfId="0" applyFill="1" applyBorder="1" applyAlignment="1">
      <alignment horizontal="left"/>
    </xf>
    <xf numFmtId="0" fontId="0" fillId="2" borderId="0" xfId="0" applyFill="1" applyAlignment="1">
      <alignment wrapText="1"/>
    </xf>
    <xf numFmtId="0" fontId="0" fillId="2" borderId="0" xfId="0" applyFill="1" applyBorder="1" applyAlignment="1">
      <alignment horizontal="left"/>
    </xf>
    <xf numFmtId="0" fontId="0" fillId="0" borderId="0" xfId="0" applyBorder="1" applyAlignment="1">
      <alignment horizontal="left"/>
    </xf>
    <xf numFmtId="0" fontId="0" fillId="0" borderId="0" xfId="0" applyNumberFormat="1" applyBorder="1"/>
    <xf numFmtId="0" fontId="3" fillId="2" borderId="0" xfId="0" applyFont="1" applyFill="1"/>
    <xf numFmtId="0" fontId="0" fillId="0" borderId="3" xfId="0" applyFill="1" applyBorder="1" applyAlignment="1">
      <alignment horizontal="left"/>
    </xf>
    <xf numFmtId="0" fontId="0" fillId="0" borderId="1" xfId="0" applyBorder="1" applyAlignment="1">
      <alignment horizontal="left" wrapText="1"/>
    </xf>
    <xf numFmtId="0" fontId="6" fillId="0" borderId="0" xfId="0" applyFont="1" applyAlignment="1">
      <alignment horizontal="left" wrapText="1" indent="2"/>
    </xf>
    <xf numFmtId="0" fontId="0" fillId="7" borderId="1" xfId="0" applyNumberFormat="1" applyFill="1" applyBorder="1"/>
    <xf numFmtId="0" fontId="0" fillId="0" borderId="0" xfId="0"/>
    <xf numFmtId="0" fontId="6" fillId="0" borderId="1" xfId="0" applyFont="1" applyBorder="1" applyAlignment="1">
      <alignment horizontal="left" wrapText="1" indent="2"/>
    </xf>
    <xf numFmtId="0" fontId="0" fillId="10" borderId="1" xfId="0" applyFill="1" applyBorder="1" applyAlignment="1">
      <alignment horizontal="center" vertical="center"/>
    </xf>
    <xf numFmtId="0" fontId="0" fillId="10" borderId="1" xfId="0" applyFill="1" applyBorder="1"/>
    <xf numFmtId="0" fontId="0" fillId="0" borderId="1" xfId="0" applyFill="1" applyBorder="1" applyAlignment="1">
      <alignment wrapText="1"/>
    </xf>
    <xf numFmtId="0" fontId="0" fillId="0" borderId="0" xfId="0"/>
    <xf numFmtId="0" fontId="0" fillId="8" borderId="1" xfId="0" applyFill="1" applyBorder="1" applyAlignment="1">
      <alignment horizontal="center" vertical="center"/>
    </xf>
    <xf numFmtId="0" fontId="0" fillId="9" borderId="0" xfId="0" applyFill="1" applyAlignment="1">
      <alignment horizontal="center" vertical="center"/>
    </xf>
    <xf numFmtId="0" fontId="2" fillId="7" borderId="2" xfId="0" applyFont="1" applyFill="1" applyBorder="1" applyAlignment="1">
      <alignment horizontal="center"/>
    </xf>
    <xf numFmtId="0" fontId="2" fillId="7" borderId="2" xfId="0" applyFont="1" applyFill="1" applyBorder="1" applyAlignment="1">
      <alignment horizontal="center" wrapText="1"/>
    </xf>
    <xf numFmtId="0" fontId="0" fillId="9" borderId="0" xfId="0" applyFill="1" applyBorder="1" applyAlignment="1">
      <alignment horizontal="center"/>
    </xf>
    <xf numFmtId="0" fontId="0" fillId="9" borderId="1" xfId="0" applyFill="1" applyBorder="1" applyAlignment="1">
      <alignment horizontal="center"/>
    </xf>
    <xf numFmtId="0" fontId="0" fillId="9" borderId="0" xfId="0" applyFill="1" applyAlignment="1">
      <alignment horizontal="center"/>
    </xf>
    <xf numFmtId="0" fontId="0" fillId="8" borderId="1" xfId="0" applyFill="1" applyBorder="1" applyAlignment="1">
      <alignment vertical="center"/>
    </xf>
    <xf numFmtId="0" fontId="0" fillId="11" borderId="0" xfId="0" applyFill="1"/>
    <xf numFmtId="0" fontId="7" fillId="0" borderId="0" xfId="0" applyFont="1" applyBorder="1" applyAlignment="1">
      <alignment horizontal="center" wrapText="1"/>
    </xf>
    <xf numFmtId="0" fontId="4" fillId="11" borderId="0" xfId="0" applyFont="1" applyFill="1"/>
  </cellXfs>
  <cellStyles count="2">
    <cellStyle name="Normal" xfId="0" builtinId="0"/>
    <cellStyle name="Percent" xfId="1" builtinId="5"/>
  </cellStyles>
  <dxfs count="57">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Tevis Gehr" refreshedDate="42537.404935648148" createdVersion="5" refreshedVersion="5" minRefreshableVersion="3" recordCount="194">
  <cacheSource type="worksheet">
    <worksheetSource ref="A3:A197" sheet="Pumps"/>
  </cacheSource>
  <cacheFields count="1">
    <cacheField name="QUALITY PLAN" numFmtId="0">
      <sharedItems count="27">
        <s v="ASME U-Stamp"/>
        <s v="Balance"/>
        <s v="Charpy Testing"/>
        <s v="Ferrite Testing"/>
        <s v="Hardness Testing"/>
        <s v="ITP does not match OP20/40 or Spec Sheet"/>
        <s v="ITP has extra item NOT in scope"/>
        <s v="ITP missing item in Scope"/>
        <s v="Lack of clarity of percentage/scope of test/inspection"/>
        <s v="Lifting Lugs"/>
        <s v="LPI"/>
        <s v="Mechanical Run Test"/>
        <s v="MPI"/>
        <s v="MTR/Material missing/incorrect"/>
        <s v="NACE"/>
        <s v="Noise Testing"/>
        <s v="Paint"/>
        <s v="Performance Test"/>
        <s v="PMI"/>
        <s v="Procedure/PN/Acceptance Criteria incorrect/missing"/>
        <s v="Soap Leak Test"/>
        <s v="Ultrasonic Testing"/>
        <s v="Verifying Document/ISO Form incorrect "/>
        <s v="Vibration monitoring"/>
        <s v="Weld/Weld Map"/>
        <s v="Witness Points Incorrect/Issue "/>
        <s v="X-Ray"/>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Tevis Gehr" refreshedDate="42537.417396643519" createdVersion="5" refreshedVersion="5" minRefreshableVersion="3" recordCount="231">
  <cacheSource type="worksheet">
    <worksheetSource ref="B3:B234" sheet="Pumps"/>
  </cacheSource>
  <cacheFields count="1">
    <cacheField name="OP 20" numFmtId="0">
      <sharedItems count="24">
        <s v="Convert to Metric Units"/>
        <s v="Gearbox"/>
        <s v="Hydro Test"/>
        <s v="Incorrect/missing project team names/project information"/>
        <s v="Instrumentation"/>
        <s v="ITP Mismatch"/>
        <s v="Line item inapplicable to product/scope"/>
        <s v="Missing Duplicate # "/>
        <s v="Missing procedure/acceptance criteria/standard"/>
        <s v="Motor/Alignment/Trial Fit"/>
        <s v="MTR/Material"/>
        <s v="NACE"/>
        <s v="NPSH"/>
        <s v="Paint"/>
        <s v="Performance/Running test"/>
        <s v="Pressure incorrect/does not match"/>
        <s v="Ship Loose"/>
        <s v="Shipping/export/storage"/>
        <s v="Sourcing"/>
        <s v="Spares"/>
        <s v="Special tests/specifications"/>
        <s v="Tagging/Nameplate"/>
        <s v="Test/inspection missing"/>
        <s v="Witness Point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Tevis Gehr" refreshedDate="42537.418412500003" createdVersion="5" refreshedVersion="5" minRefreshableVersion="3" recordCount="218">
  <cacheSource type="worksheet">
    <worksheetSource ref="C3:C221" sheet="Pumps"/>
  </cacheSource>
  <cacheFields count="1">
    <cacheField name="OP 40" numFmtId="0">
      <sharedItems count="28">
        <s v="Balance"/>
        <s v="Charpy Test"/>
        <s v="CRN"/>
        <s v="Ferrite Testing"/>
        <s v="Gussets"/>
        <s v="Hardness Test/Value"/>
        <s v="ITP Mismatch"/>
        <s v="Lifting Lugs/Lifting Lug Welds"/>
        <s v="Line item inapplicable to product/scope"/>
        <s v="LPI"/>
        <s v="Missing Part(s)"/>
        <s v="Missing procedure/acceptance criteria/standard"/>
        <s v="MPI"/>
        <s v="MTR/Material"/>
        <s v="NACE"/>
        <s v="Part Number Incorrect/Missing"/>
        <s v="Percentage/distribution of parts tested"/>
        <s v="PMI"/>
        <s v="PWHT"/>
        <s v="Runout"/>
        <s v="SME"/>
        <s v="Sourcing"/>
        <s v="Special tests/specifications"/>
        <s v="Test/inspection missing"/>
        <s v="UT"/>
        <s v="Weld Repair"/>
        <s v="Witness Points"/>
        <s v="X-Ray"/>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Tevis Gehr" refreshedDate="42537.419416666664" createdVersion="5" refreshedVersion="5" minRefreshableVersion="3" recordCount="246">
  <cacheSource type="worksheet">
    <worksheetSource ref="D3:D249" sheet="Pumps"/>
  </cacheSource>
  <cacheFields count="1">
    <cacheField name="SPEC SHEET" numFmtId="0">
      <sharedItems count="25">
        <s v="API Plan"/>
        <s v="Coupling"/>
        <s v="Data differs from customer spec sheet"/>
        <s v="Duplicate"/>
        <s v="Flange"/>
        <s v="Formatting"/>
        <s v="Heat Exchanger"/>
        <s v="Impeller Diameter"/>
        <s v="Incomplete"/>
        <s v="Incorrect project information"/>
        <s v="Material"/>
        <s v="MAWP"/>
        <s v="Mismatch with GA"/>
        <s v="Mismatch with Scope"/>
        <s v="Motor"/>
        <s v="NACE"/>
        <s v="Noise Blanket/Level"/>
        <s v="Operating Conditions"/>
        <s v="RPM"/>
        <s v="Seal"/>
        <s v="Tagging"/>
        <s v="Testing/Inspection"/>
        <s v="Utilities"/>
        <s v="Vent and Drain Connection Sizes"/>
        <s v="Weights"/>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Tevis Gehr" refreshedDate="42537.420300115744" createdVersion="5" refreshedVersion="5" minRefreshableVersion="3" recordCount="100">
  <cacheSource type="worksheet">
    <worksheetSource ref="E3:E103" sheet="Pumps"/>
  </cacheSource>
  <cacheFields count="1">
    <cacheField name="UNIT BOM" numFmtId="0">
      <sharedItems count="19">
        <s v="Coupling/Coupling Housing"/>
        <s v="Discharge Orifice Required"/>
        <s v="Gasket"/>
        <s v="Impeller"/>
        <s v="Inducer"/>
        <s v="Item Master DNE"/>
        <s v="Material"/>
        <s v="Missing Part(s)"/>
        <s v="NACE"/>
        <s v="Need to add KIT to UNIT BOM"/>
        <s v="Part Number Incorrect/Missing"/>
        <s v="Pipe Plugs"/>
        <s v="Pump Case"/>
        <s v="Seal"/>
        <s v="Seal Housing"/>
        <s v="Shaft"/>
        <s v="Size/Diameter Incorrect"/>
        <s v="Sourcing"/>
        <s v="Studs/Nuts"/>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Tevis Gehr" refreshedDate="42542.614252430554" createdVersion="5" refreshedVersion="5" minRefreshableVersion="3" recordCount="63">
  <cacheSource type="worksheet">
    <worksheetSource ref="F4:F67" sheet="Pumps"/>
  </cacheSource>
  <cacheFields count="1">
    <cacheField name="Attaching Hardware Kit" numFmtId="0">
      <sharedItems count="12">
        <s v="Bearings"/>
        <s v="Coupling/ Coupling housing"/>
        <s v="Duplicate from other BOM"/>
        <s v="Extra filter for lube oil functional"/>
        <s v="HX, Gearbox"/>
        <s v="Missing Part"/>
        <s v="Plate, Bearing"/>
        <s v="Seal, Gearbox"/>
        <s v="Shaft"/>
        <s v="Shaft Locking tool"/>
        <s v="Thrust Washer"/>
        <s v="Vibration mounting"/>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4">
  <r>
    <x v="0"/>
  </r>
  <r>
    <x v="1"/>
  </r>
  <r>
    <x v="1"/>
  </r>
  <r>
    <x v="1"/>
  </r>
  <r>
    <x v="1"/>
  </r>
  <r>
    <x v="2"/>
  </r>
  <r>
    <x v="3"/>
  </r>
  <r>
    <x v="4"/>
  </r>
  <r>
    <x v="4"/>
  </r>
  <r>
    <x v="4"/>
  </r>
  <r>
    <x v="4"/>
  </r>
  <r>
    <x v="4"/>
  </r>
  <r>
    <x v="5"/>
  </r>
  <r>
    <x v="5"/>
  </r>
  <r>
    <x v="5"/>
  </r>
  <r>
    <x v="5"/>
  </r>
  <r>
    <x v="5"/>
  </r>
  <r>
    <x v="5"/>
  </r>
  <r>
    <x v="5"/>
  </r>
  <r>
    <x v="5"/>
  </r>
  <r>
    <x v="5"/>
  </r>
  <r>
    <x v="5"/>
  </r>
  <r>
    <x v="5"/>
  </r>
  <r>
    <x v="5"/>
  </r>
  <r>
    <x v="6"/>
  </r>
  <r>
    <x v="6"/>
  </r>
  <r>
    <x v="6"/>
  </r>
  <r>
    <x v="6"/>
  </r>
  <r>
    <x v="6"/>
  </r>
  <r>
    <x v="6"/>
  </r>
  <r>
    <x v="6"/>
  </r>
  <r>
    <x v="6"/>
  </r>
  <r>
    <x v="6"/>
  </r>
  <r>
    <x v="6"/>
  </r>
  <r>
    <x v="6"/>
  </r>
  <r>
    <x v="6"/>
  </r>
  <r>
    <x v="6"/>
  </r>
  <r>
    <x v="7"/>
  </r>
  <r>
    <x v="7"/>
  </r>
  <r>
    <x v="7"/>
  </r>
  <r>
    <x v="7"/>
  </r>
  <r>
    <x v="7"/>
  </r>
  <r>
    <x v="7"/>
  </r>
  <r>
    <x v="7"/>
  </r>
  <r>
    <x v="7"/>
  </r>
  <r>
    <x v="7"/>
  </r>
  <r>
    <x v="7"/>
  </r>
  <r>
    <x v="7"/>
  </r>
  <r>
    <x v="7"/>
  </r>
  <r>
    <x v="7"/>
  </r>
  <r>
    <x v="7"/>
  </r>
  <r>
    <x v="7"/>
  </r>
  <r>
    <x v="7"/>
  </r>
  <r>
    <x v="7"/>
  </r>
  <r>
    <x v="8"/>
  </r>
  <r>
    <x v="8"/>
  </r>
  <r>
    <x v="8"/>
  </r>
  <r>
    <x v="8"/>
  </r>
  <r>
    <x v="8"/>
  </r>
  <r>
    <x v="8"/>
  </r>
  <r>
    <x v="8"/>
  </r>
  <r>
    <x v="8"/>
  </r>
  <r>
    <x v="9"/>
  </r>
  <r>
    <x v="9"/>
  </r>
  <r>
    <x v="10"/>
  </r>
  <r>
    <x v="10"/>
  </r>
  <r>
    <x v="10"/>
  </r>
  <r>
    <x v="10"/>
  </r>
  <r>
    <x v="10"/>
  </r>
  <r>
    <x v="10"/>
  </r>
  <r>
    <x v="10"/>
  </r>
  <r>
    <x v="10"/>
  </r>
  <r>
    <x v="11"/>
  </r>
  <r>
    <x v="12"/>
  </r>
  <r>
    <x v="13"/>
  </r>
  <r>
    <x v="13"/>
  </r>
  <r>
    <x v="13"/>
  </r>
  <r>
    <x v="13"/>
  </r>
  <r>
    <x v="13"/>
  </r>
  <r>
    <x v="13"/>
  </r>
  <r>
    <x v="13"/>
  </r>
  <r>
    <x v="13"/>
  </r>
  <r>
    <x v="13"/>
  </r>
  <r>
    <x v="13"/>
  </r>
  <r>
    <x v="13"/>
  </r>
  <r>
    <x v="13"/>
  </r>
  <r>
    <x v="13"/>
  </r>
  <r>
    <x v="13"/>
  </r>
  <r>
    <x v="13"/>
  </r>
  <r>
    <x v="13"/>
  </r>
  <r>
    <x v="13"/>
  </r>
  <r>
    <x v="13"/>
  </r>
  <r>
    <x v="13"/>
  </r>
  <r>
    <x v="13"/>
  </r>
  <r>
    <x v="13"/>
  </r>
  <r>
    <x v="14"/>
  </r>
  <r>
    <x v="14"/>
  </r>
  <r>
    <x v="15"/>
  </r>
  <r>
    <x v="15"/>
  </r>
  <r>
    <x v="15"/>
  </r>
  <r>
    <x v="15"/>
  </r>
  <r>
    <x v="15"/>
  </r>
  <r>
    <x v="15"/>
  </r>
  <r>
    <x v="16"/>
  </r>
  <r>
    <x v="16"/>
  </r>
  <r>
    <x v="16"/>
  </r>
  <r>
    <x v="16"/>
  </r>
  <r>
    <x v="16"/>
  </r>
  <r>
    <x v="16"/>
  </r>
  <r>
    <x v="16"/>
  </r>
  <r>
    <x v="16"/>
  </r>
  <r>
    <x v="16"/>
  </r>
  <r>
    <x v="16"/>
  </r>
  <r>
    <x v="16"/>
  </r>
  <r>
    <x v="16"/>
  </r>
  <r>
    <x v="17"/>
  </r>
  <r>
    <x v="18"/>
  </r>
  <r>
    <x v="18"/>
  </r>
  <r>
    <x v="18"/>
  </r>
  <r>
    <x v="18"/>
  </r>
  <r>
    <x v="18"/>
  </r>
  <r>
    <x v="18"/>
  </r>
  <r>
    <x v="18"/>
  </r>
  <r>
    <x v="19"/>
  </r>
  <r>
    <x v="19"/>
  </r>
  <r>
    <x v="19"/>
  </r>
  <r>
    <x v="19"/>
  </r>
  <r>
    <x v="19"/>
  </r>
  <r>
    <x v="19"/>
  </r>
  <r>
    <x v="19"/>
  </r>
  <r>
    <x v="19"/>
  </r>
  <r>
    <x v="19"/>
  </r>
  <r>
    <x v="19"/>
  </r>
  <r>
    <x v="19"/>
  </r>
  <r>
    <x v="19"/>
  </r>
  <r>
    <x v="19"/>
  </r>
  <r>
    <x v="19"/>
  </r>
  <r>
    <x v="19"/>
  </r>
  <r>
    <x v="19"/>
  </r>
  <r>
    <x v="19"/>
  </r>
  <r>
    <x v="19"/>
  </r>
  <r>
    <x v="19"/>
  </r>
  <r>
    <x v="20"/>
  </r>
  <r>
    <x v="21"/>
  </r>
  <r>
    <x v="21"/>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2"/>
  </r>
  <r>
    <x v="23"/>
  </r>
  <r>
    <x v="23"/>
  </r>
  <r>
    <x v="23"/>
  </r>
  <r>
    <x v="23"/>
  </r>
  <r>
    <x v="24"/>
  </r>
  <r>
    <x v="24"/>
  </r>
  <r>
    <x v="24"/>
  </r>
  <r>
    <x v="24"/>
  </r>
  <r>
    <x v="24"/>
  </r>
  <r>
    <x v="24"/>
  </r>
  <r>
    <x v="25"/>
  </r>
  <r>
    <x v="25"/>
  </r>
  <r>
    <x v="25"/>
  </r>
  <r>
    <x v="25"/>
  </r>
  <r>
    <x v="25"/>
  </r>
  <r>
    <x v="25"/>
  </r>
  <r>
    <x v="25"/>
  </r>
  <r>
    <x v="25"/>
  </r>
  <r>
    <x v="26"/>
  </r>
  <r>
    <x v="26"/>
  </r>
</pivotCacheRecords>
</file>

<file path=xl/pivotCache/pivotCacheRecords2.xml><?xml version="1.0" encoding="utf-8"?>
<pivotCacheRecords xmlns="http://schemas.openxmlformats.org/spreadsheetml/2006/main" xmlns:r="http://schemas.openxmlformats.org/officeDocument/2006/relationships" count="231">
  <r>
    <x v="0"/>
  </r>
  <r>
    <x v="0"/>
  </r>
  <r>
    <x v="0"/>
  </r>
  <r>
    <x v="0"/>
  </r>
  <r>
    <x v="0"/>
  </r>
  <r>
    <x v="0"/>
  </r>
  <r>
    <x v="1"/>
  </r>
  <r>
    <x v="1"/>
  </r>
  <r>
    <x v="1"/>
  </r>
  <r>
    <x v="1"/>
  </r>
  <r>
    <x v="1"/>
  </r>
  <r>
    <x v="1"/>
  </r>
  <r>
    <x v="2"/>
  </r>
  <r>
    <x v="2"/>
  </r>
  <r>
    <x v="2"/>
  </r>
  <r>
    <x v="2"/>
  </r>
  <r>
    <x v="2"/>
  </r>
  <r>
    <x v="2"/>
  </r>
  <r>
    <x v="2"/>
  </r>
  <r>
    <x v="2"/>
  </r>
  <r>
    <x v="2"/>
  </r>
  <r>
    <x v="2"/>
  </r>
  <r>
    <x v="2"/>
  </r>
  <r>
    <x v="2"/>
  </r>
  <r>
    <x v="2"/>
  </r>
  <r>
    <x v="3"/>
  </r>
  <r>
    <x v="3"/>
  </r>
  <r>
    <x v="3"/>
  </r>
  <r>
    <x v="3"/>
  </r>
  <r>
    <x v="3"/>
  </r>
  <r>
    <x v="3"/>
  </r>
  <r>
    <x v="3"/>
  </r>
  <r>
    <x v="3"/>
  </r>
  <r>
    <x v="3"/>
  </r>
  <r>
    <x v="3"/>
  </r>
  <r>
    <x v="3"/>
  </r>
  <r>
    <x v="3"/>
  </r>
  <r>
    <x v="3"/>
  </r>
  <r>
    <x v="3"/>
  </r>
  <r>
    <x v="4"/>
  </r>
  <r>
    <x v="4"/>
  </r>
  <r>
    <x v="4"/>
  </r>
  <r>
    <x v="4"/>
  </r>
  <r>
    <x v="5"/>
  </r>
  <r>
    <x v="5"/>
  </r>
  <r>
    <x v="5"/>
  </r>
  <r>
    <x v="5"/>
  </r>
  <r>
    <x v="5"/>
  </r>
  <r>
    <x v="5"/>
  </r>
  <r>
    <x v="5"/>
  </r>
  <r>
    <x v="5"/>
  </r>
  <r>
    <x v="6"/>
  </r>
  <r>
    <x v="6"/>
  </r>
  <r>
    <x v="6"/>
  </r>
  <r>
    <x v="6"/>
  </r>
  <r>
    <x v="6"/>
  </r>
  <r>
    <x v="6"/>
  </r>
  <r>
    <x v="6"/>
  </r>
  <r>
    <x v="6"/>
  </r>
  <r>
    <x v="6"/>
  </r>
  <r>
    <x v="6"/>
  </r>
  <r>
    <x v="6"/>
  </r>
  <r>
    <x v="6"/>
  </r>
  <r>
    <x v="6"/>
  </r>
  <r>
    <x v="6"/>
  </r>
  <r>
    <x v="6"/>
  </r>
  <r>
    <x v="6"/>
  </r>
  <r>
    <x v="6"/>
  </r>
  <r>
    <x v="6"/>
  </r>
  <r>
    <x v="6"/>
  </r>
  <r>
    <x v="6"/>
  </r>
  <r>
    <x v="6"/>
  </r>
  <r>
    <x v="6"/>
  </r>
  <r>
    <x v="6"/>
  </r>
  <r>
    <x v="6"/>
  </r>
  <r>
    <x v="6"/>
  </r>
  <r>
    <x v="6"/>
  </r>
  <r>
    <x v="6"/>
  </r>
  <r>
    <x v="6"/>
  </r>
  <r>
    <x v="6"/>
  </r>
  <r>
    <x v="6"/>
  </r>
  <r>
    <x v="6"/>
  </r>
  <r>
    <x v="7"/>
  </r>
  <r>
    <x v="7"/>
  </r>
  <r>
    <x v="7"/>
  </r>
  <r>
    <x v="7"/>
  </r>
  <r>
    <x v="8"/>
  </r>
  <r>
    <x v="8"/>
  </r>
  <r>
    <x v="8"/>
  </r>
  <r>
    <x v="8"/>
  </r>
  <r>
    <x v="8"/>
  </r>
  <r>
    <x v="8"/>
  </r>
  <r>
    <x v="8"/>
  </r>
  <r>
    <x v="8"/>
  </r>
  <r>
    <x v="8"/>
  </r>
  <r>
    <x v="9"/>
  </r>
  <r>
    <x v="9"/>
  </r>
  <r>
    <x v="9"/>
  </r>
  <r>
    <x v="9"/>
  </r>
  <r>
    <x v="9"/>
  </r>
  <r>
    <x v="9"/>
  </r>
  <r>
    <x v="9"/>
  </r>
  <r>
    <x v="9"/>
  </r>
  <r>
    <x v="9"/>
  </r>
  <r>
    <x v="9"/>
  </r>
  <r>
    <x v="9"/>
  </r>
  <r>
    <x v="9"/>
  </r>
  <r>
    <x v="9"/>
  </r>
  <r>
    <x v="9"/>
  </r>
  <r>
    <x v="9"/>
  </r>
  <r>
    <x v="10"/>
  </r>
  <r>
    <x v="10"/>
  </r>
  <r>
    <x v="10"/>
  </r>
  <r>
    <x v="10"/>
  </r>
  <r>
    <x v="10"/>
  </r>
  <r>
    <x v="10"/>
  </r>
  <r>
    <x v="10"/>
  </r>
  <r>
    <x v="10"/>
  </r>
  <r>
    <x v="10"/>
  </r>
  <r>
    <x v="10"/>
  </r>
  <r>
    <x v="10"/>
  </r>
  <r>
    <x v="10"/>
  </r>
  <r>
    <x v="10"/>
  </r>
  <r>
    <x v="10"/>
  </r>
  <r>
    <x v="10"/>
  </r>
  <r>
    <x v="11"/>
  </r>
  <r>
    <x v="12"/>
  </r>
  <r>
    <x v="12"/>
  </r>
  <r>
    <x v="13"/>
  </r>
  <r>
    <x v="13"/>
  </r>
  <r>
    <x v="13"/>
  </r>
  <r>
    <x v="13"/>
  </r>
  <r>
    <x v="13"/>
  </r>
  <r>
    <x v="13"/>
  </r>
  <r>
    <x v="13"/>
  </r>
  <r>
    <x v="13"/>
  </r>
  <r>
    <x v="13"/>
  </r>
  <r>
    <x v="13"/>
  </r>
  <r>
    <x v="13"/>
  </r>
  <r>
    <x v="13"/>
  </r>
  <r>
    <x v="13"/>
  </r>
  <r>
    <x v="14"/>
  </r>
  <r>
    <x v="14"/>
  </r>
  <r>
    <x v="14"/>
  </r>
  <r>
    <x v="14"/>
  </r>
  <r>
    <x v="15"/>
  </r>
  <r>
    <x v="15"/>
  </r>
  <r>
    <x v="15"/>
  </r>
  <r>
    <x v="15"/>
  </r>
  <r>
    <x v="15"/>
  </r>
  <r>
    <x v="15"/>
  </r>
  <r>
    <x v="15"/>
  </r>
  <r>
    <x v="15"/>
  </r>
  <r>
    <x v="15"/>
  </r>
  <r>
    <x v="15"/>
  </r>
  <r>
    <x v="15"/>
  </r>
  <r>
    <x v="15"/>
  </r>
  <r>
    <x v="15"/>
  </r>
  <r>
    <x v="15"/>
  </r>
  <r>
    <x v="15"/>
  </r>
  <r>
    <x v="15"/>
  </r>
  <r>
    <x v="15"/>
  </r>
  <r>
    <x v="15"/>
  </r>
  <r>
    <x v="15"/>
  </r>
  <r>
    <x v="16"/>
  </r>
  <r>
    <x v="16"/>
  </r>
  <r>
    <x v="16"/>
  </r>
  <r>
    <x v="16"/>
  </r>
  <r>
    <x v="17"/>
  </r>
  <r>
    <x v="17"/>
  </r>
  <r>
    <x v="17"/>
  </r>
  <r>
    <x v="17"/>
  </r>
  <r>
    <x v="17"/>
  </r>
  <r>
    <x v="17"/>
  </r>
  <r>
    <x v="17"/>
  </r>
  <r>
    <x v="17"/>
  </r>
  <r>
    <x v="17"/>
  </r>
  <r>
    <x v="17"/>
  </r>
  <r>
    <x v="17"/>
  </r>
  <r>
    <x v="17"/>
  </r>
  <r>
    <x v="18"/>
  </r>
  <r>
    <x v="18"/>
  </r>
  <r>
    <x v="18"/>
  </r>
  <r>
    <x v="19"/>
  </r>
  <r>
    <x v="19"/>
  </r>
  <r>
    <x v="20"/>
  </r>
  <r>
    <x v="20"/>
  </r>
  <r>
    <x v="20"/>
  </r>
  <r>
    <x v="20"/>
  </r>
  <r>
    <x v="20"/>
  </r>
  <r>
    <x v="20"/>
  </r>
  <r>
    <x v="21"/>
  </r>
  <r>
    <x v="21"/>
  </r>
  <r>
    <x v="21"/>
  </r>
  <r>
    <x v="21"/>
  </r>
  <r>
    <x v="21"/>
  </r>
  <r>
    <x v="21"/>
  </r>
  <r>
    <x v="21"/>
  </r>
  <r>
    <x v="21"/>
  </r>
  <r>
    <x v="21"/>
  </r>
  <r>
    <x v="21"/>
  </r>
  <r>
    <x v="21"/>
  </r>
  <r>
    <x v="21"/>
  </r>
  <r>
    <x v="21"/>
  </r>
  <r>
    <x v="21"/>
  </r>
  <r>
    <x v="21"/>
  </r>
  <r>
    <x v="21"/>
  </r>
  <r>
    <x v="21"/>
  </r>
  <r>
    <x v="22"/>
  </r>
  <r>
    <x v="22"/>
  </r>
  <r>
    <x v="22"/>
  </r>
  <r>
    <x v="23"/>
  </r>
  <r>
    <x v="23"/>
  </r>
  <r>
    <x v="23"/>
  </r>
  <r>
    <x v="23"/>
  </r>
  <r>
    <x v="23"/>
  </r>
  <r>
    <x v="23"/>
  </r>
  <r>
    <x v="23"/>
  </r>
  <r>
    <x v="23"/>
  </r>
  <r>
    <x v="23"/>
  </r>
  <r>
    <x v="23"/>
  </r>
  <r>
    <x v="23"/>
  </r>
  <r>
    <x v="23"/>
  </r>
  <r>
    <x v="23"/>
  </r>
  <r>
    <x v="23"/>
  </r>
  <r>
    <x v="23"/>
  </r>
  <r>
    <x v="23"/>
  </r>
  <r>
    <x v="23"/>
  </r>
  <r>
    <x v="23"/>
  </r>
  <r>
    <x v="23"/>
  </r>
  <r>
    <x v="23"/>
  </r>
</pivotCacheRecords>
</file>

<file path=xl/pivotCache/pivotCacheRecords3.xml><?xml version="1.0" encoding="utf-8"?>
<pivotCacheRecords xmlns="http://schemas.openxmlformats.org/spreadsheetml/2006/main" xmlns:r="http://schemas.openxmlformats.org/officeDocument/2006/relationships" count="218">
  <r>
    <x v="0"/>
  </r>
  <r>
    <x v="0"/>
  </r>
  <r>
    <x v="1"/>
  </r>
  <r>
    <x v="2"/>
  </r>
  <r>
    <x v="3"/>
  </r>
  <r>
    <x v="3"/>
  </r>
  <r>
    <x v="3"/>
  </r>
  <r>
    <x v="3"/>
  </r>
  <r>
    <x v="4"/>
  </r>
  <r>
    <x v="5"/>
  </r>
  <r>
    <x v="5"/>
  </r>
  <r>
    <x v="5"/>
  </r>
  <r>
    <x v="5"/>
  </r>
  <r>
    <x v="5"/>
  </r>
  <r>
    <x v="5"/>
  </r>
  <r>
    <x v="5"/>
  </r>
  <r>
    <x v="5"/>
  </r>
  <r>
    <x v="5"/>
  </r>
  <r>
    <x v="5"/>
  </r>
  <r>
    <x v="5"/>
  </r>
  <r>
    <x v="5"/>
  </r>
  <r>
    <x v="5"/>
  </r>
  <r>
    <x v="6"/>
  </r>
  <r>
    <x v="6"/>
  </r>
  <r>
    <x v="6"/>
  </r>
  <r>
    <x v="6"/>
  </r>
  <r>
    <x v="6"/>
  </r>
  <r>
    <x v="6"/>
  </r>
  <r>
    <x v="6"/>
  </r>
  <r>
    <x v="6"/>
  </r>
  <r>
    <x v="6"/>
  </r>
  <r>
    <x v="6"/>
  </r>
  <r>
    <x v="6"/>
  </r>
  <r>
    <x v="6"/>
  </r>
  <r>
    <x v="6"/>
  </r>
  <r>
    <x v="6"/>
  </r>
  <r>
    <x v="6"/>
  </r>
  <r>
    <x v="6"/>
  </r>
  <r>
    <x v="6"/>
  </r>
  <r>
    <x v="6"/>
  </r>
  <r>
    <x v="7"/>
  </r>
  <r>
    <x v="8"/>
  </r>
  <r>
    <x v="8"/>
  </r>
  <r>
    <x v="8"/>
  </r>
  <r>
    <x v="8"/>
  </r>
  <r>
    <x v="8"/>
  </r>
  <r>
    <x v="8"/>
  </r>
  <r>
    <x v="8"/>
  </r>
  <r>
    <x v="8"/>
  </r>
  <r>
    <x v="8"/>
  </r>
  <r>
    <x v="8"/>
  </r>
  <r>
    <x v="8"/>
  </r>
  <r>
    <x v="8"/>
  </r>
  <r>
    <x v="8"/>
  </r>
  <r>
    <x v="8"/>
  </r>
  <r>
    <x v="9"/>
  </r>
  <r>
    <x v="9"/>
  </r>
  <r>
    <x v="9"/>
  </r>
  <r>
    <x v="9"/>
  </r>
  <r>
    <x v="9"/>
  </r>
  <r>
    <x v="9"/>
  </r>
  <r>
    <x v="9"/>
  </r>
  <r>
    <x v="9"/>
  </r>
  <r>
    <x v="9"/>
  </r>
  <r>
    <x v="9"/>
  </r>
  <r>
    <x v="9"/>
  </r>
  <r>
    <x v="9"/>
  </r>
  <r>
    <x v="10"/>
  </r>
  <r>
    <x v="10"/>
  </r>
  <r>
    <x v="10"/>
  </r>
  <r>
    <x v="10"/>
  </r>
  <r>
    <x v="10"/>
  </r>
  <r>
    <x v="10"/>
  </r>
  <r>
    <x v="10"/>
  </r>
  <r>
    <x v="10"/>
  </r>
  <r>
    <x v="10"/>
  </r>
  <r>
    <x v="10"/>
  </r>
  <r>
    <x v="10"/>
  </r>
  <r>
    <x v="10"/>
  </r>
  <r>
    <x v="10"/>
  </r>
  <r>
    <x v="10"/>
  </r>
  <r>
    <x v="11"/>
  </r>
  <r>
    <x v="11"/>
  </r>
  <r>
    <x v="11"/>
  </r>
  <r>
    <x v="11"/>
  </r>
  <r>
    <x v="11"/>
  </r>
  <r>
    <x v="11"/>
  </r>
  <r>
    <x v="11"/>
  </r>
  <r>
    <x v="11"/>
  </r>
  <r>
    <x v="12"/>
  </r>
  <r>
    <x v="12"/>
  </r>
  <r>
    <x v="12"/>
  </r>
  <r>
    <x v="13"/>
  </r>
  <r>
    <x v="13"/>
  </r>
  <r>
    <x v="13"/>
  </r>
  <r>
    <x v="13"/>
  </r>
  <r>
    <x v="13"/>
  </r>
  <r>
    <x v="13"/>
  </r>
  <r>
    <x v="13"/>
  </r>
  <r>
    <x v="13"/>
  </r>
  <r>
    <x v="13"/>
  </r>
  <r>
    <x v="13"/>
  </r>
  <r>
    <x v="13"/>
  </r>
  <r>
    <x v="13"/>
  </r>
  <r>
    <x v="13"/>
  </r>
  <r>
    <x v="13"/>
  </r>
  <r>
    <x v="13"/>
  </r>
  <r>
    <x v="13"/>
  </r>
  <r>
    <x v="13"/>
  </r>
  <r>
    <x v="13"/>
  </r>
  <r>
    <x v="13"/>
  </r>
  <r>
    <x v="13"/>
  </r>
  <r>
    <x v="13"/>
  </r>
  <r>
    <x v="13"/>
  </r>
  <r>
    <x v="13"/>
  </r>
  <r>
    <x v="13"/>
  </r>
  <r>
    <x v="13"/>
  </r>
  <r>
    <x v="13"/>
  </r>
  <r>
    <x v="13"/>
  </r>
  <r>
    <x v="14"/>
  </r>
  <r>
    <x v="14"/>
  </r>
  <r>
    <x v="14"/>
  </r>
  <r>
    <x v="14"/>
  </r>
  <r>
    <x v="14"/>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5"/>
  </r>
  <r>
    <x v="16"/>
  </r>
  <r>
    <x v="16"/>
  </r>
  <r>
    <x v="16"/>
  </r>
  <r>
    <x v="16"/>
  </r>
  <r>
    <x v="16"/>
  </r>
  <r>
    <x v="16"/>
  </r>
  <r>
    <x v="17"/>
  </r>
  <r>
    <x v="17"/>
  </r>
  <r>
    <x v="17"/>
  </r>
  <r>
    <x v="17"/>
  </r>
  <r>
    <x v="17"/>
  </r>
  <r>
    <x v="17"/>
  </r>
  <r>
    <x v="17"/>
  </r>
  <r>
    <x v="17"/>
  </r>
  <r>
    <x v="17"/>
  </r>
  <r>
    <x v="17"/>
  </r>
  <r>
    <x v="17"/>
  </r>
  <r>
    <x v="17"/>
  </r>
  <r>
    <x v="17"/>
  </r>
  <r>
    <x v="18"/>
  </r>
  <r>
    <x v="19"/>
  </r>
  <r>
    <x v="20"/>
  </r>
  <r>
    <x v="20"/>
  </r>
  <r>
    <x v="20"/>
  </r>
  <r>
    <x v="20"/>
  </r>
  <r>
    <x v="20"/>
  </r>
  <r>
    <x v="21"/>
  </r>
  <r>
    <x v="21"/>
  </r>
  <r>
    <x v="21"/>
  </r>
  <r>
    <x v="21"/>
  </r>
  <r>
    <x v="21"/>
  </r>
  <r>
    <x v="21"/>
  </r>
  <r>
    <x v="21"/>
  </r>
  <r>
    <x v="21"/>
  </r>
  <r>
    <x v="21"/>
  </r>
  <r>
    <x v="21"/>
  </r>
  <r>
    <x v="22"/>
  </r>
  <r>
    <x v="22"/>
  </r>
  <r>
    <x v="22"/>
  </r>
  <r>
    <x v="23"/>
  </r>
  <r>
    <x v="23"/>
  </r>
  <r>
    <x v="23"/>
  </r>
  <r>
    <x v="24"/>
  </r>
  <r>
    <x v="24"/>
  </r>
  <r>
    <x v="24"/>
  </r>
  <r>
    <x v="24"/>
  </r>
  <r>
    <x v="25"/>
  </r>
  <r>
    <x v="26"/>
  </r>
  <r>
    <x v="26"/>
  </r>
  <r>
    <x v="27"/>
  </r>
  <r>
    <x v="27"/>
  </r>
</pivotCacheRecords>
</file>

<file path=xl/pivotCache/pivotCacheRecords4.xml><?xml version="1.0" encoding="utf-8"?>
<pivotCacheRecords xmlns="http://schemas.openxmlformats.org/spreadsheetml/2006/main" xmlns:r="http://schemas.openxmlformats.org/officeDocument/2006/relationships" count="246">
  <r>
    <x v="0"/>
  </r>
  <r>
    <x v="0"/>
  </r>
  <r>
    <x v="0"/>
  </r>
  <r>
    <x v="0"/>
  </r>
  <r>
    <x v="0"/>
  </r>
  <r>
    <x v="0"/>
  </r>
  <r>
    <x v="0"/>
  </r>
  <r>
    <x v="0"/>
  </r>
  <r>
    <x v="0"/>
  </r>
  <r>
    <x v="1"/>
  </r>
  <r>
    <x v="1"/>
  </r>
  <r>
    <x v="1"/>
  </r>
  <r>
    <x v="1"/>
  </r>
  <r>
    <x v="1"/>
  </r>
  <r>
    <x v="1"/>
  </r>
  <r>
    <x v="1"/>
  </r>
  <r>
    <x v="1"/>
  </r>
  <r>
    <x v="1"/>
  </r>
  <r>
    <x v="1"/>
  </r>
  <r>
    <x v="1"/>
  </r>
  <r>
    <x v="1"/>
  </r>
  <r>
    <x v="1"/>
  </r>
  <r>
    <x v="2"/>
  </r>
  <r>
    <x v="2"/>
  </r>
  <r>
    <x v="2"/>
  </r>
  <r>
    <x v="2"/>
  </r>
  <r>
    <x v="2"/>
  </r>
  <r>
    <x v="3"/>
  </r>
  <r>
    <x v="3"/>
  </r>
  <r>
    <x v="3"/>
  </r>
  <r>
    <x v="3"/>
  </r>
  <r>
    <x v="3"/>
  </r>
  <r>
    <x v="3"/>
  </r>
  <r>
    <x v="4"/>
  </r>
  <r>
    <x v="4"/>
  </r>
  <r>
    <x v="5"/>
  </r>
  <r>
    <x v="5"/>
  </r>
  <r>
    <x v="5"/>
  </r>
  <r>
    <x v="5"/>
  </r>
  <r>
    <x v="6"/>
  </r>
  <r>
    <x v="6"/>
  </r>
  <r>
    <x v="6"/>
  </r>
  <r>
    <x v="6"/>
  </r>
  <r>
    <x v="7"/>
  </r>
  <r>
    <x v="7"/>
  </r>
  <r>
    <x v="7"/>
  </r>
  <r>
    <x v="8"/>
  </r>
  <r>
    <x v="8"/>
  </r>
  <r>
    <x v="8"/>
  </r>
  <r>
    <x v="8"/>
  </r>
  <r>
    <x v="8"/>
  </r>
  <r>
    <x v="8"/>
  </r>
  <r>
    <x v="8"/>
  </r>
  <r>
    <x v="8"/>
  </r>
  <r>
    <x v="8"/>
  </r>
  <r>
    <x v="8"/>
  </r>
  <r>
    <x v="8"/>
  </r>
  <r>
    <x v="8"/>
  </r>
  <r>
    <x v="8"/>
  </r>
  <r>
    <x v="8"/>
  </r>
  <r>
    <x v="8"/>
  </r>
  <r>
    <x v="8"/>
  </r>
  <r>
    <x v="8"/>
  </r>
  <r>
    <x v="8"/>
  </r>
  <r>
    <x v="9"/>
  </r>
  <r>
    <x v="9"/>
  </r>
  <r>
    <x v="9"/>
  </r>
  <r>
    <x v="9"/>
  </r>
  <r>
    <x v="9"/>
  </r>
  <r>
    <x v="9"/>
  </r>
  <r>
    <x v="9"/>
  </r>
  <r>
    <x v="9"/>
  </r>
  <r>
    <x v="9"/>
  </r>
  <r>
    <x v="10"/>
  </r>
  <r>
    <x v="10"/>
  </r>
  <r>
    <x v="10"/>
  </r>
  <r>
    <x v="10"/>
  </r>
  <r>
    <x v="10"/>
  </r>
  <r>
    <x v="10"/>
  </r>
  <r>
    <x v="10"/>
  </r>
  <r>
    <x v="10"/>
  </r>
  <r>
    <x v="10"/>
  </r>
  <r>
    <x v="10"/>
  </r>
  <r>
    <x v="10"/>
  </r>
  <r>
    <x v="10"/>
  </r>
  <r>
    <x v="10"/>
  </r>
  <r>
    <x v="10"/>
  </r>
  <r>
    <x v="10"/>
  </r>
  <r>
    <x v="10"/>
  </r>
  <r>
    <x v="10"/>
  </r>
  <r>
    <x v="10"/>
  </r>
  <r>
    <x v="10"/>
  </r>
  <r>
    <x v="10"/>
  </r>
  <r>
    <x v="10"/>
  </r>
  <r>
    <x v="11"/>
  </r>
  <r>
    <x v="11"/>
  </r>
  <r>
    <x v="11"/>
  </r>
  <r>
    <x v="11"/>
  </r>
  <r>
    <x v="12"/>
  </r>
  <r>
    <x v="13"/>
  </r>
  <r>
    <x v="13"/>
  </r>
  <r>
    <x v="13"/>
  </r>
  <r>
    <x v="13"/>
  </r>
  <r>
    <x v="14"/>
  </r>
  <r>
    <x v="14"/>
  </r>
  <r>
    <x v="14"/>
  </r>
  <r>
    <x v="14"/>
  </r>
  <r>
    <x v="14"/>
  </r>
  <r>
    <x v="14"/>
  </r>
  <r>
    <x v="14"/>
  </r>
  <r>
    <x v="14"/>
  </r>
  <r>
    <x v="14"/>
  </r>
  <r>
    <x v="14"/>
  </r>
  <r>
    <x v="14"/>
  </r>
  <r>
    <x v="14"/>
  </r>
  <r>
    <x v="14"/>
  </r>
  <r>
    <x v="14"/>
  </r>
  <r>
    <x v="14"/>
  </r>
  <r>
    <x v="14"/>
  </r>
  <r>
    <x v="14"/>
  </r>
  <r>
    <x v="14"/>
  </r>
  <r>
    <x v="14"/>
  </r>
  <r>
    <x v="14"/>
  </r>
  <r>
    <x v="14"/>
  </r>
  <r>
    <x v="14"/>
  </r>
  <r>
    <x v="14"/>
  </r>
  <r>
    <x v="14"/>
  </r>
  <r>
    <x v="14"/>
  </r>
  <r>
    <x v="14"/>
  </r>
  <r>
    <x v="14"/>
  </r>
  <r>
    <x v="15"/>
  </r>
  <r>
    <x v="15"/>
  </r>
  <r>
    <x v="16"/>
  </r>
  <r>
    <x v="16"/>
  </r>
  <r>
    <x v="16"/>
  </r>
  <r>
    <x v="16"/>
  </r>
  <r>
    <x v="16"/>
  </r>
  <r>
    <x v="16"/>
  </r>
  <r>
    <x v="16"/>
  </r>
  <r>
    <x v="16"/>
  </r>
  <r>
    <x v="16"/>
  </r>
  <r>
    <x v="16"/>
  </r>
  <r>
    <x v="16"/>
  </r>
  <r>
    <x v="16"/>
  </r>
  <r>
    <x v="16"/>
  </r>
  <r>
    <x v="16"/>
  </r>
  <r>
    <x v="17"/>
  </r>
  <r>
    <x v="18"/>
  </r>
  <r>
    <x v="19"/>
  </r>
  <r>
    <x v="19"/>
  </r>
  <r>
    <x v="19"/>
  </r>
  <r>
    <x v="19"/>
  </r>
  <r>
    <x v="19"/>
  </r>
  <r>
    <x v="19"/>
  </r>
  <r>
    <x v="19"/>
  </r>
  <r>
    <x v="19"/>
  </r>
  <r>
    <x v="19"/>
  </r>
  <r>
    <x v="19"/>
  </r>
  <r>
    <x v="19"/>
  </r>
  <r>
    <x v="19"/>
  </r>
  <r>
    <x v="19"/>
  </r>
  <r>
    <x v="19"/>
  </r>
  <r>
    <x v="19"/>
  </r>
  <r>
    <x v="19"/>
  </r>
  <r>
    <x v="19"/>
  </r>
  <r>
    <x v="19"/>
  </r>
  <r>
    <x v="19"/>
  </r>
  <r>
    <x v="19"/>
  </r>
  <r>
    <x v="19"/>
  </r>
  <r>
    <x v="19"/>
  </r>
  <r>
    <x v="19"/>
  </r>
  <r>
    <x v="20"/>
  </r>
  <r>
    <x v="21"/>
  </r>
  <r>
    <x v="21"/>
  </r>
  <r>
    <x v="21"/>
  </r>
  <r>
    <x v="21"/>
  </r>
  <r>
    <x v="21"/>
  </r>
  <r>
    <x v="21"/>
  </r>
  <r>
    <x v="21"/>
  </r>
  <r>
    <x v="21"/>
  </r>
  <r>
    <x v="21"/>
  </r>
  <r>
    <x v="21"/>
  </r>
  <r>
    <x v="21"/>
  </r>
  <r>
    <x v="21"/>
  </r>
  <r>
    <x v="21"/>
  </r>
  <r>
    <x v="21"/>
  </r>
  <r>
    <x v="21"/>
  </r>
  <r>
    <x v="21"/>
  </r>
  <r>
    <x v="21"/>
  </r>
  <r>
    <x v="22"/>
  </r>
  <r>
    <x v="22"/>
  </r>
  <r>
    <x v="22"/>
  </r>
  <r>
    <x v="22"/>
  </r>
  <r>
    <x v="22"/>
  </r>
  <r>
    <x v="22"/>
  </r>
  <r>
    <x v="22"/>
  </r>
  <r>
    <x v="22"/>
  </r>
  <r>
    <x v="22"/>
  </r>
  <r>
    <x v="22"/>
  </r>
  <r>
    <x v="22"/>
  </r>
  <r>
    <x v="22"/>
  </r>
  <r>
    <x v="22"/>
  </r>
  <r>
    <x v="23"/>
  </r>
  <r>
    <x v="23"/>
  </r>
  <r>
    <x v="23"/>
  </r>
  <r>
    <x v="23"/>
  </r>
  <r>
    <x v="23"/>
  </r>
  <r>
    <x v="23"/>
  </r>
  <r>
    <x v="23"/>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r>
    <x v="24"/>
  </r>
</pivotCacheRecords>
</file>

<file path=xl/pivotCache/pivotCacheRecords5.xml><?xml version="1.0" encoding="utf-8"?>
<pivotCacheRecords xmlns="http://schemas.openxmlformats.org/spreadsheetml/2006/main" xmlns:r="http://schemas.openxmlformats.org/officeDocument/2006/relationships" count="100">
  <r>
    <x v="0"/>
  </r>
  <r>
    <x v="0"/>
  </r>
  <r>
    <x v="0"/>
  </r>
  <r>
    <x v="0"/>
  </r>
  <r>
    <x v="0"/>
  </r>
  <r>
    <x v="0"/>
  </r>
  <r>
    <x v="1"/>
  </r>
  <r>
    <x v="1"/>
  </r>
  <r>
    <x v="1"/>
  </r>
  <r>
    <x v="1"/>
  </r>
  <r>
    <x v="1"/>
  </r>
  <r>
    <x v="2"/>
  </r>
  <r>
    <x v="2"/>
  </r>
  <r>
    <x v="3"/>
  </r>
  <r>
    <x v="3"/>
  </r>
  <r>
    <x v="3"/>
  </r>
  <r>
    <x v="3"/>
  </r>
  <r>
    <x v="3"/>
  </r>
  <r>
    <x v="3"/>
  </r>
  <r>
    <x v="4"/>
  </r>
  <r>
    <x v="5"/>
  </r>
  <r>
    <x v="6"/>
  </r>
  <r>
    <x v="6"/>
  </r>
  <r>
    <x v="6"/>
  </r>
  <r>
    <x v="6"/>
  </r>
  <r>
    <x v="6"/>
  </r>
  <r>
    <x v="6"/>
  </r>
  <r>
    <x v="6"/>
  </r>
  <r>
    <x v="6"/>
  </r>
  <r>
    <x v="6"/>
  </r>
  <r>
    <x v="6"/>
  </r>
  <r>
    <x v="6"/>
  </r>
  <r>
    <x v="6"/>
  </r>
  <r>
    <x v="6"/>
  </r>
  <r>
    <x v="6"/>
  </r>
  <r>
    <x v="6"/>
  </r>
  <r>
    <x v="6"/>
  </r>
  <r>
    <x v="6"/>
  </r>
  <r>
    <x v="6"/>
  </r>
  <r>
    <x v="7"/>
  </r>
  <r>
    <x v="7"/>
  </r>
  <r>
    <x v="7"/>
  </r>
  <r>
    <x v="8"/>
  </r>
  <r>
    <x v="8"/>
  </r>
  <r>
    <x v="8"/>
  </r>
  <r>
    <x v="9"/>
  </r>
  <r>
    <x v="9"/>
  </r>
  <r>
    <x v="9"/>
  </r>
  <r>
    <x v="9"/>
  </r>
  <r>
    <x v="9"/>
  </r>
  <r>
    <x v="9"/>
  </r>
  <r>
    <x v="9"/>
  </r>
  <r>
    <x v="9"/>
  </r>
  <r>
    <x v="10"/>
  </r>
  <r>
    <x v="10"/>
  </r>
  <r>
    <x v="10"/>
  </r>
  <r>
    <x v="10"/>
  </r>
  <r>
    <x v="10"/>
  </r>
  <r>
    <x v="10"/>
  </r>
  <r>
    <x v="10"/>
  </r>
  <r>
    <x v="10"/>
  </r>
  <r>
    <x v="10"/>
  </r>
  <r>
    <x v="10"/>
  </r>
  <r>
    <x v="10"/>
  </r>
  <r>
    <x v="10"/>
  </r>
  <r>
    <x v="10"/>
  </r>
  <r>
    <x v="10"/>
  </r>
  <r>
    <x v="10"/>
  </r>
  <r>
    <x v="10"/>
  </r>
  <r>
    <x v="10"/>
  </r>
  <r>
    <x v="10"/>
  </r>
  <r>
    <x v="10"/>
  </r>
  <r>
    <x v="10"/>
  </r>
  <r>
    <x v="10"/>
  </r>
  <r>
    <x v="10"/>
  </r>
  <r>
    <x v="10"/>
  </r>
  <r>
    <x v="11"/>
  </r>
  <r>
    <x v="11"/>
  </r>
  <r>
    <x v="11"/>
  </r>
  <r>
    <x v="11"/>
  </r>
  <r>
    <x v="11"/>
  </r>
  <r>
    <x v="12"/>
  </r>
  <r>
    <x v="12"/>
  </r>
  <r>
    <x v="12"/>
  </r>
  <r>
    <x v="13"/>
  </r>
  <r>
    <x v="14"/>
  </r>
  <r>
    <x v="14"/>
  </r>
  <r>
    <x v="14"/>
  </r>
  <r>
    <x v="15"/>
  </r>
  <r>
    <x v="16"/>
  </r>
  <r>
    <x v="17"/>
  </r>
  <r>
    <x v="17"/>
  </r>
  <r>
    <x v="17"/>
  </r>
  <r>
    <x v="18"/>
  </r>
  <r>
    <x v="18"/>
  </r>
  <r>
    <x v="18"/>
  </r>
  <r>
    <x v="18"/>
  </r>
  <r>
    <x v="18"/>
  </r>
  <r>
    <x v="18"/>
  </r>
  <r>
    <x v="18"/>
  </r>
</pivotCacheRecords>
</file>

<file path=xl/pivotCache/pivotCacheRecords6.xml><?xml version="1.0" encoding="utf-8"?>
<pivotCacheRecords xmlns="http://schemas.openxmlformats.org/spreadsheetml/2006/main" xmlns:r="http://schemas.openxmlformats.org/officeDocument/2006/relationships" count="63">
  <r>
    <x v="0"/>
  </r>
  <r>
    <x v="0"/>
  </r>
  <r>
    <x v="0"/>
  </r>
  <r>
    <x v="0"/>
  </r>
  <r>
    <x v="0"/>
  </r>
  <r>
    <x v="0"/>
  </r>
  <r>
    <x v="0"/>
  </r>
  <r>
    <x v="0"/>
  </r>
  <r>
    <x v="0"/>
  </r>
  <r>
    <x v="0"/>
  </r>
  <r>
    <x v="0"/>
  </r>
  <r>
    <x v="0"/>
  </r>
  <r>
    <x v="0"/>
  </r>
  <r>
    <x v="0"/>
  </r>
  <r>
    <x v="0"/>
  </r>
  <r>
    <x v="0"/>
  </r>
  <r>
    <x v="1"/>
  </r>
  <r>
    <x v="1"/>
  </r>
  <r>
    <x v="1"/>
  </r>
  <r>
    <x v="1"/>
  </r>
  <r>
    <x v="1"/>
  </r>
  <r>
    <x v="1"/>
  </r>
  <r>
    <x v="1"/>
  </r>
  <r>
    <x v="1"/>
  </r>
  <r>
    <x v="1"/>
  </r>
  <r>
    <x v="1"/>
  </r>
  <r>
    <x v="1"/>
  </r>
  <r>
    <x v="1"/>
  </r>
  <r>
    <x v="1"/>
  </r>
  <r>
    <x v="1"/>
  </r>
  <r>
    <x v="2"/>
  </r>
  <r>
    <x v="2"/>
  </r>
  <r>
    <x v="2"/>
  </r>
  <r>
    <x v="2"/>
  </r>
  <r>
    <x v="3"/>
  </r>
  <r>
    <x v="4"/>
  </r>
  <r>
    <x v="4"/>
  </r>
  <r>
    <x v="5"/>
  </r>
  <r>
    <x v="5"/>
  </r>
  <r>
    <x v="5"/>
  </r>
  <r>
    <x v="5"/>
  </r>
  <r>
    <x v="5"/>
  </r>
  <r>
    <x v="6"/>
  </r>
  <r>
    <x v="6"/>
  </r>
  <r>
    <x v="6"/>
  </r>
  <r>
    <x v="6"/>
  </r>
  <r>
    <x v="7"/>
  </r>
  <r>
    <x v="7"/>
  </r>
  <r>
    <x v="7"/>
  </r>
  <r>
    <x v="7"/>
  </r>
  <r>
    <x v="7"/>
  </r>
  <r>
    <x v="7"/>
  </r>
  <r>
    <x v="7"/>
  </r>
  <r>
    <x v="8"/>
  </r>
  <r>
    <x v="8"/>
  </r>
  <r>
    <x v="8"/>
  </r>
  <r>
    <x v="8"/>
  </r>
  <r>
    <x v="8"/>
  </r>
  <r>
    <x v="9"/>
  </r>
  <r>
    <x v="10"/>
  </r>
  <r>
    <x v="11"/>
  </r>
  <r>
    <x v="11"/>
  </r>
  <r>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Gearbox BOM">
  <location ref="B36:C49" firstHeaderRow="1" firstDataRow="1" firstDataCol="1"/>
  <pivotFields count="1">
    <pivotField axis="axisRow" dataField="1" showAll="0">
      <items count="13">
        <item x="0"/>
        <item x="1"/>
        <item x="2"/>
        <item x="3"/>
        <item x="4"/>
        <item x="5"/>
        <item x="6"/>
        <item x="7"/>
        <item x="8"/>
        <item x="9"/>
        <item x="10"/>
        <item x="11"/>
        <item t="default"/>
      </items>
    </pivotField>
  </pivotFields>
  <rowFields count="1">
    <field x="0"/>
  </rowFields>
  <rowItems count="13">
    <i>
      <x/>
    </i>
    <i>
      <x v="1"/>
    </i>
    <i>
      <x v="2"/>
    </i>
    <i>
      <x v="3"/>
    </i>
    <i>
      <x v="4"/>
    </i>
    <i>
      <x v="5"/>
    </i>
    <i>
      <x v="6"/>
    </i>
    <i>
      <x v="7"/>
    </i>
    <i>
      <x v="8"/>
    </i>
    <i>
      <x v="9"/>
    </i>
    <i>
      <x v="10"/>
    </i>
    <i>
      <x v="11"/>
    </i>
    <i t="grand">
      <x/>
    </i>
  </rowItems>
  <colItems count="1">
    <i/>
  </colItems>
  <dataFields count="1">
    <dataField name="Count of Attaching Hardware Kit" fld="0" subtotal="count" baseField="0" baseItem="0"/>
  </dataFields>
  <conditionalFormats count="1">
    <conditionalFormat priority="1">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UNIT BOM">
  <location ref="N3:O23" firstHeaderRow="1" firstDataRow="1" firstDataCol="1"/>
  <pivotFields count="1">
    <pivotField axis="axisRow" dataField="1" showAll="0">
      <items count="20">
        <item x="0"/>
        <item x="1"/>
        <item x="2"/>
        <item x="3"/>
        <item x="4"/>
        <item x="5"/>
        <item x="6"/>
        <item x="7"/>
        <item x="8"/>
        <item x="9"/>
        <item x="10"/>
        <item x="11"/>
        <item x="12"/>
        <item x="13"/>
        <item x="14"/>
        <item x="15"/>
        <item x="16"/>
        <item x="17"/>
        <item x="18"/>
        <item t="default"/>
      </items>
    </pivotField>
  </pivotFields>
  <rowFields count="1">
    <field x="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name="Count of UNIT BOM" fld="0" subtotal="count" baseField="0" baseItem="0"/>
  </dataFields>
  <conditionalFormats count="1">
    <conditionalFormat priority="2">
      <pivotAreas count="1">
        <pivotArea type="data" collapsedLevelsAreSubtotals="1" fieldPosition="0">
          <references count="2">
            <reference field="4294967294" count="1" selected="0">
              <x v="0"/>
            </reference>
            <reference field="0" count="19">
              <x v="0"/>
              <x v="1"/>
              <x v="2"/>
              <x v="3"/>
              <x v="4"/>
              <x v="5"/>
              <x v="6"/>
              <x v="7"/>
              <x v="8"/>
              <x v="9"/>
              <x v="10"/>
              <x v="11"/>
              <x v="12"/>
              <x v="13"/>
              <x v="14"/>
              <x v="15"/>
              <x v="16"/>
              <x v="17"/>
              <x v="18"/>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SPEC SHEET ">
  <location ref="K3:L29" firstHeaderRow="1" firstDataRow="1" firstDataCol="1"/>
  <pivotFields count="1">
    <pivotField axis="axisRow" dataField="1"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s>
  <rowFields count="1">
    <field x="0"/>
  </rowFields>
  <rowItems count="26">
    <i>
      <x/>
    </i>
    <i>
      <x v="1"/>
    </i>
    <i>
      <x v="2"/>
    </i>
    <i>
      <x v="3"/>
    </i>
    <i>
      <x v="4"/>
    </i>
    <i>
      <x v="5"/>
    </i>
    <i>
      <x v="6"/>
    </i>
    <i>
      <x v="7"/>
    </i>
    <i>
      <x v="8"/>
    </i>
    <i>
      <x v="9"/>
    </i>
    <i>
      <x v="10"/>
    </i>
    <i>
      <x v="11"/>
    </i>
    <i>
      <x v="12"/>
    </i>
    <i>
      <x v="13"/>
    </i>
    <i>
      <x v="14"/>
    </i>
    <i>
      <x v="15"/>
    </i>
    <i>
      <x v="16"/>
    </i>
    <i>
      <x v="17"/>
    </i>
    <i>
      <x v="18"/>
    </i>
    <i>
      <x v="19"/>
    </i>
    <i>
      <x v="20"/>
    </i>
    <i>
      <x v="21"/>
    </i>
    <i>
      <x v="22"/>
    </i>
    <i>
      <x v="23"/>
    </i>
    <i>
      <x v="24"/>
    </i>
    <i t="grand">
      <x/>
    </i>
  </rowItems>
  <colItems count="1">
    <i/>
  </colItems>
  <dataFields count="1">
    <dataField name="Count of SPEC SHEET" fld="0" subtotal="count" baseField="0" baseItem="0"/>
  </dataFields>
  <conditionalFormats count="1">
    <conditionalFormat priority="3">
      <pivotAreas count="1">
        <pivotArea type="data" collapsedLevelsAreSubtotals="1" fieldPosition="0">
          <references count="2">
            <reference field="4294967294" count="1" selected="0">
              <x v="0"/>
            </reference>
            <reference field="0" count="25">
              <x v="0"/>
              <x v="1"/>
              <x v="2"/>
              <x v="3"/>
              <x v="4"/>
              <x v="5"/>
              <x v="6"/>
              <x v="7"/>
              <x v="8"/>
              <x v="9"/>
              <x v="10"/>
              <x v="11"/>
              <x v="12"/>
              <x v="13"/>
              <x v="14"/>
              <x v="15"/>
              <x v="16"/>
              <x v="17"/>
              <x v="18"/>
              <x v="19"/>
              <x v="20"/>
              <x v="21"/>
              <x v="22"/>
              <x v="23"/>
              <x v="24"/>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OP 40">
  <location ref="H3:I32" firstHeaderRow="1" firstDataRow="1" firstDataCol="1"/>
  <pivotFields count="1">
    <pivotField axis="axisRow" dataField="1"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Count of OP 40" fld="0" subtotal="count" baseField="0" baseItem="0"/>
  </dataFields>
  <conditionalFormats count="1">
    <conditionalFormat priority="4">
      <pivotAreas count="1">
        <pivotArea type="data" collapsedLevelsAreSubtotals="1" fieldPosition="0">
          <references count="2">
            <reference field="4294967294" count="1" selected="0">
              <x v="0"/>
            </reference>
            <reference field="0" count="28">
              <x v="0"/>
              <x v="1"/>
              <x v="2"/>
              <x v="3"/>
              <x v="4"/>
              <x v="5"/>
              <x v="6"/>
              <x v="7"/>
              <x v="8"/>
              <x v="9"/>
              <x v="10"/>
              <x v="11"/>
              <x v="12"/>
              <x v="13"/>
              <x v="14"/>
              <x v="15"/>
              <x v="16"/>
              <x v="17"/>
              <x v="18"/>
              <x v="19"/>
              <x v="20"/>
              <x v="21"/>
              <x v="22"/>
              <x v="23"/>
              <x v="24"/>
              <x v="25"/>
              <x v="26"/>
              <x v="2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OP 20">
  <location ref="E3:F28" firstHeaderRow="1" firstDataRow="1" firstDataCol="1"/>
  <pivotFields count="1">
    <pivotField axis="axisRow" dataField="1" showAll="0">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Count of OP 20" fld="0" subtotal="count" baseField="0" baseItem="0"/>
  </dataFields>
  <conditionalFormats count="1">
    <conditionalFormat priority="5">
      <pivotAreas count="1">
        <pivotArea type="data" collapsedLevelsAreSubtotals="1" fieldPosition="0">
          <references count="2">
            <reference field="4294967294" count="1" selected="0">
              <x v="0"/>
            </reference>
            <reference field="0" count="24">
              <x v="0"/>
              <x v="1"/>
              <x v="2"/>
              <x v="3"/>
              <x v="4"/>
              <x v="5"/>
              <x v="6"/>
              <x v="7"/>
              <x v="8"/>
              <x v="9"/>
              <x v="10"/>
              <x v="11"/>
              <x v="12"/>
              <x v="13"/>
              <x v="14"/>
              <x v="15"/>
              <x v="16"/>
              <x v="17"/>
              <x v="18"/>
              <x v="19"/>
              <x v="20"/>
              <x v="21"/>
              <x v="22"/>
              <x v="2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Quality Plan">
  <location ref="B3:C31" firstHeaderRow="1" firstDataRow="1" firstDataCol="1"/>
  <pivotFields count="1">
    <pivotField axis="axisRow" dataField="1" showAll="0">
      <items count="28">
        <item x="0"/>
        <item x="1"/>
        <item x="2"/>
        <item x="3"/>
        <item x="4"/>
        <item x="5"/>
        <item x="6"/>
        <item x="7"/>
        <item x="8"/>
        <item x="9"/>
        <item x="10"/>
        <item x="11"/>
        <item x="12"/>
        <item x="13"/>
        <item x="14"/>
        <item x="15"/>
        <item x="16"/>
        <item x="17"/>
        <item x="18"/>
        <item x="19"/>
        <item x="20"/>
        <item x="21"/>
        <item x="22"/>
        <item x="23"/>
        <item x="24"/>
        <item x="25"/>
        <item x="26"/>
        <item t="default"/>
      </items>
    </pivotField>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Items count="1">
    <i/>
  </colItems>
  <dataFields count="1">
    <dataField name="Count of QUALITY PLAN" fld="0" subtotal="count" baseField="0" baseItem="0"/>
  </dataFields>
  <conditionalFormats count="1">
    <conditionalFormat priority="6">
      <pivotAreas count="1">
        <pivotArea type="data" collapsedLevelsAreSubtotals="1" fieldPosition="0">
          <references count="2">
            <reference field="4294967294" count="1" selected="0">
              <x v="0"/>
            </reference>
            <reference field="0" count="27">
              <x v="0"/>
              <x v="1"/>
              <x v="2"/>
              <x v="3"/>
              <x v="4"/>
              <x v="5"/>
              <x v="6"/>
              <x v="7"/>
              <x v="8"/>
              <x v="9"/>
              <x v="10"/>
              <x v="11"/>
              <x v="12"/>
              <x v="13"/>
              <x v="14"/>
              <x v="15"/>
              <x v="16"/>
              <x v="17"/>
              <x v="18"/>
              <x v="19"/>
              <x v="20"/>
              <x v="21"/>
              <x v="22"/>
              <x v="23"/>
              <x v="24"/>
              <x v="25"/>
              <x v="2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H146"/>
  <sheetViews>
    <sheetView tabSelected="1" workbookViewId="0">
      <selection activeCell="D70" sqref="D70:D73"/>
    </sheetView>
  </sheetViews>
  <sheetFormatPr defaultRowHeight="15" x14ac:dyDescent="0.25"/>
  <cols>
    <col min="1" max="1" width="43" bestFit="1" customWidth="1"/>
    <col min="2" max="2" width="49.85546875" bestFit="1" customWidth="1"/>
    <col min="3" max="3" width="43" customWidth="1"/>
    <col min="4" max="4" width="48.28515625" customWidth="1"/>
    <col min="5" max="5" width="47.140625" customWidth="1"/>
    <col min="6" max="6" width="41" customWidth="1"/>
    <col min="7" max="7" width="44.42578125" customWidth="1"/>
    <col min="8" max="8" width="40" customWidth="1"/>
  </cols>
  <sheetData>
    <row r="1" spans="1:8" x14ac:dyDescent="0.25">
      <c r="A1" s="6">
        <f>COUNTA(A6:A14,A16:A28,A38:A42,A45:A48,A52:A97,A101:A109,A112:A119,A121:A124,A129:A137,A98:A100)/COUNTA(A4:A146)</f>
        <v>0.76923076923076927</v>
      </c>
      <c r="B1" s="8">
        <f>COUNTA(B4:B11,B13:B23,B25:B71)/COUNTA(B4:B71)</f>
        <v>0.97058823529411764</v>
      </c>
      <c r="C1" s="8">
        <f>COUNTA(C4:C13,C15:C19,C23:C36,C38:C49,C52:C60,C66:C73)/COUNTA(C4:C75)</f>
        <v>0.80555555555555558</v>
      </c>
      <c r="D1" s="8">
        <f>COUNTA(D6:D15,D22:D24,D17,D27:D39,D42:D46,D50:D54,D70:D73)/COUNTA(D4:D73)</f>
        <v>0.58571428571428574</v>
      </c>
      <c r="E1" s="8">
        <f>COUNTA(E4:E32,E34:E47,E51:E62,E66:E75)/COUNTA(E4:E78)</f>
        <v>0.8666666666666667</v>
      </c>
    </row>
    <row r="2" spans="1:8" x14ac:dyDescent="0.25">
      <c r="A2" s="7" t="s">
        <v>53</v>
      </c>
      <c r="B2" s="7" t="s">
        <v>52</v>
      </c>
      <c r="C2" s="7" t="s">
        <v>52</v>
      </c>
      <c r="D2" s="7" t="s">
        <v>467</v>
      </c>
      <c r="E2" s="7" t="s">
        <v>477</v>
      </c>
    </row>
    <row r="3" spans="1:8" x14ac:dyDescent="0.25">
      <c r="A3" s="1" t="s">
        <v>16</v>
      </c>
      <c r="B3" s="1" t="s">
        <v>41</v>
      </c>
      <c r="C3" s="1" t="s">
        <v>26</v>
      </c>
      <c r="D3" s="1" t="s">
        <v>453</v>
      </c>
      <c r="E3" s="1" t="s">
        <v>468</v>
      </c>
      <c r="F3" s="1" t="s">
        <v>478</v>
      </c>
      <c r="G3" s="1" t="s">
        <v>493</v>
      </c>
      <c r="H3" s="1" t="s">
        <v>498</v>
      </c>
    </row>
    <row r="4" spans="1:8" x14ac:dyDescent="0.25">
      <c r="A4" s="51" t="s">
        <v>19</v>
      </c>
      <c r="B4" s="60" t="s">
        <v>49</v>
      </c>
      <c r="C4" s="60" t="s">
        <v>444</v>
      </c>
      <c r="D4" t="s">
        <v>454</v>
      </c>
      <c r="E4" s="60" t="s">
        <v>469</v>
      </c>
      <c r="F4" s="60" t="s">
        <v>490</v>
      </c>
      <c r="G4" s="60" t="s">
        <v>496</v>
      </c>
      <c r="H4" s="60" t="s">
        <v>499</v>
      </c>
    </row>
    <row r="5" spans="1:8" x14ac:dyDescent="0.25">
      <c r="A5" s="51" t="s">
        <v>19</v>
      </c>
      <c r="B5" s="60" t="s">
        <v>49</v>
      </c>
      <c r="C5" s="60" t="s">
        <v>444</v>
      </c>
      <c r="D5" s="51" t="s">
        <v>462</v>
      </c>
      <c r="E5" s="60" t="s">
        <v>469</v>
      </c>
      <c r="F5" s="60" t="s">
        <v>490</v>
      </c>
      <c r="G5" s="60" t="s">
        <v>495</v>
      </c>
    </row>
    <row r="6" spans="1:8" x14ac:dyDescent="0.25">
      <c r="A6" s="3" t="s">
        <v>7</v>
      </c>
      <c r="B6" s="60" t="s">
        <v>49</v>
      </c>
      <c r="C6" s="60" t="s">
        <v>444</v>
      </c>
      <c r="D6" s="60" t="s">
        <v>225</v>
      </c>
      <c r="E6" s="60" t="s">
        <v>469</v>
      </c>
      <c r="F6" s="5" t="s">
        <v>480</v>
      </c>
      <c r="G6" s="60" t="s">
        <v>495</v>
      </c>
    </row>
    <row r="7" spans="1:8" x14ac:dyDescent="0.25">
      <c r="A7" s="3" t="s">
        <v>7</v>
      </c>
      <c r="B7" s="60" t="s">
        <v>49</v>
      </c>
      <c r="C7" s="60" t="s">
        <v>444</v>
      </c>
      <c r="D7" s="60" t="s">
        <v>225</v>
      </c>
      <c r="E7" s="60" t="s">
        <v>469</v>
      </c>
      <c r="F7" s="5" t="s">
        <v>491</v>
      </c>
      <c r="G7" s="60" t="s">
        <v>494</v>
      </c>
    </row>
    <row r="8" spans="1:8" x14ac:dyDescent="0.25">
      <c r="A8" s="3" t="s">
        <v>7</v>
      </c>
      <c r="B8" s="60" t="s">
        <v>47</v>
      </c>
      <c r="C8" s="60" t="s">
        <v>444</v>
      </c>
      <c r="D8" s="60" t="s">
        <v>225</v>
      </c>
      <c r="E8" s="60" t="s">
        <v>469</v>
      </c>
      <c r="F8" s="5" t="s">
        <v>491</v>
      </c>
      <c r="G8" s="60" t="s">
        <v>494</v>
      </c>
    </row>
    <row r="9" spans="1:8" x14ac:dyDescent="0.25">
      <c r="A9" s="3" t="s">
        <v>7</v>
      </c>
      <c r="B9" s="60" t="s">
        <v>47</v>
      </c>
      <c r="C9" s="60" t="s">
        <v>444</v>
      </c>
      <c r="D9" s="60" t="s">
        <v>225</v>
      </c>
      <c r="E9" s="60" t="s">
        <v>469</v>
      </c>
      <c r="F9" s="2" t="s">
        <v>486</v>
      </c>
      <c r="G9" s="60" t="s">
        <v>494</v>
      </c>
    </row>
    <row r="10" spans="1:8" x14ac:dyDescent="0.25">
      <c r="A10" s="60" t="s">
        <v>37</v>
      </c>
      <c r="B10" s="60" t="s">
        <v>47</v>
      </c>
      <c r="C10" s="60" t="s">
        <v>444</v>
      </c>
      <c r="D10" s="60" t="s">
        <v>225</v>
      </c>
      <c r="E10" s="60" t="s">
        <v>475</v>
      </c>
      <c r="F10" s="2" t="s">
        <v>486</v>
      </c>
      <c r="G10" s="60" t="s">
        <v>494</v>
      </c>
    </row>
    <row r="11" spans="1:8" x14ac:dyDescent="0.25">
      <c r="A11" s="60" t="s">
        <v>37</v>
      </c>
      <c r="B11" s="60" t="s">
        <v>47</v>
      </c>
      <c r="C11" s="2" t="s">
        <v>445</v>
      </c>
      <c r="D11" s="60" t="s">
        <v>225</v>
      </c>
      <c r="E11" s="60" t="s">
        <v>475</v>
      </c>
      <c r="F11" s="2" t="s">
        <v>486</v>
      </c>
      <c r="G11" s="60" t="s">
        <v>494</v>
      </c>
    </row>
    <row r="12" spans="1:8" x14ac:dyDescent="0.25">
      <c r="A12" s="60" t="s">
        <v>37</v>
      </c>
      <c r="B12" s="51" t="s">
        <v>42</v>
      </c>
      <c r="C12" s="2" t="s">
        <v>445</v>
      </c>
      <c r="D12" s="60" t="s">
        <v>8</v>
      </c>
      <c r="E12" s="60" t="s">
        <v>475</v>
      </c>
      <c r="F12" s="5" t="s">
        <v>474</v>
      </c>
      <c r="G12" s="60" t="s">
        <v>494</v>
      </c>
    </row>
    <row r="13" spans="1:8" x14ac:dyDescent="0.25">
      <c r="A13" s="60" t="s">
        <v>37</v>
      </c>
      <c r="B13" s="60" t="s">
        <v>46</v>
      </c>
      <c r="C13" s="2" t="s">
        <v>445</v>
      </c>
      <c r="D13" s="60" t="s">
        <v>8</v>
      </c>
      <c r="E13" s="60" t="s">
        <v>475</v>
      </c>
      <c r="F13" s="60" t="s">
        <v>485</v>
      </c>
      <c r="G13" s="60" t="s">
        <v>494</v>
      </c>
    </row>
    <row r="14" spans="1:8" x14ac:dyDescent="0.25">
      <c r="A14" s="60" t="s">
        <v>37</v>
      </c>
      <c r="B14" s="60" t="s">
        <v>46</v>
      </c>
      <c r="C14" s="51" t="s">
        <v>314</v>
      </c>
      <c r="D14" s="60" t="s">
        <v>8</v>
      </c>
      <c r="E14" s="60" t="s">
        <v>475</v>
      </c>
      <c r="F14" s="60" t="s">
        <v>485</v>
      </c>
    </row>
    <row r="15" spans="1:8" x14ac:dyDescent="0.25">
      <c r="A15" s="51" t="s">
        <v>14</v>
      </c>
      <c r="B15" s="60" t="s">
        <v>46</v>
      </c>
      <c r="C15" s="60" t="s">
        <v>448</v>
      </c>
      <c r="D15" s="60" t="s">
        <v>8</v>
      </c>
      <c r="E15" s="60" t="s">
        <v>475</v>
      </c>
      <c r="F15" s="60" t="s">
        <v>485</v>
      </c>
    </row>
    <row r="16" spans="1:8" x14ac:dyDescent="0.25">
      <c r="A16" s="60" t="s">
        <v>8</v>
      </c>
      <c r="B16" s="60" t="s">
        <v>46</v>
      </c>
      <c r="C16" s="60" t="s">
        <v>448</v>
      </c>
      <c r="D16" s="5" t="s">
        <v>262</v>
      </c>
      <c r="E16" s="60" t="s">
        <v>475</v>
      </c>
      <c r="F16" s="60" t="s">
        <v>485</v>
      </c>
    </row>
    <row r="17" spans="1:6" x14ac:dyDescent="0.25">
      <c r="A17" s="60" t="s">
        <v>8</v>
      </c>
      <c r="B17" s="60" t="s">
        <v>46</v>
      </c>
      <c r="C17" s="60" t="s">
        <v>448</v>
      </c>
      <c r="D17" s="60" t="s">
        <v>459</v>
      </c>
      <c r="E17" s="60" t="s">
        <v>475</v>
      </c>
      <c r="F17" s="60" t="s">
        <v>485</v>
      </c>
    </row>
    <row r="18" spans="1:6" x14ac:dyDescent="0.25">
      <c r="A18" s="60" t="s">
        <v>8</v>
      </c>
      <c r="B18" s="60" t="s">
        <v>46</v>
      </c>
      <c r="C18" s="60" t="s">
        <v>448</v>
      </c>
      <c r="D18" s="60" t="s">
        <v>459</v>
      </c>
      <c r="E18" s="60" t="s">
        <v>475</v>
      </c>
      <c r="F18" s="60" t="s">
        <v>485</v>
      </c>
    </row>
    <row r="19" spans="1:6" x14ac:dyDescent="0.25">
      <c r="A19" s="60" t="s">
        <v>8</v>
      </c>
      <c r="B19" s="60" t="s">
        <v>46</v>
      </c>
      <c r="C19" s="60" t="s">
        <v>448</v>
      </c>
      <c r="D19" s="5" t="s">
        <v>465</v>
      </c>
      <c r="E19" s="60" t="s">
        <v>475</v>
      </c>
      <c r="F19" s="60" t="s">
        <v>485</v>
      </c>
    </row>
    <row r="20" spans="1:6" x14ac:dyDescent="0.25">
      <c r="A20" s="60" t="s">
        <v>8</v>
      </c>
      <c r="B20" s="60" t="s">
        <v>46</v>
      </c>
      <c r="C20" t="s">
        <v>30</v>
      </c>
      <c r="D20" t="s">
        <v>96</v>
      </c>
      <c r="E20" s="60" t="s">
        <v>471</v>
      </c>
      <c r="F20" s="5" t="s">
        <v>457</v>
      </c>
    </row>
    <row r="21" spans="1:6" x14ac:dyDescent="0.25">
      <c r="A21" s="60" t="s">
        <v>8</v>
      </c>
      <c r="B21" s="60" t="s">
        <v>46</v>
      </c>
      <c r="C21" t="s">
        <v>30</v>
      </c>
      <c r="D21" t="s">
        <v>463</v>
      </c>
      <c r="E21" s="60" t="s">
        <v>471</v>
      </c>
      <c r="F21" s="60" t="s">
        <v>33</v>
      </c>
    </row>
    <row r="22" spans="1:6" x14ac:dyDescent="0.25">
      <c r="A22" s="60" t="s">
        <v>8</v>
      </c>
      <c r="B22" s="60" t="s">
        <v>46</v>
      </c>
      <c r="C22" t="s">
        <v>442</v>
      </c>
      <c r="D22" s="4" t="s">
        <v>10</v>
      </c>
      <c r="E22" s="60" t="s">
        <v>471</v>
      </c>
      <c r="F22" s="60" t="s">
        <v>33</v>
      </c>
    </row>
    <row r="23" spans="1:6" x14ac:dyDescent="0.25">
      <c r="A23" s="60" t="s">
        <v>8</v>
      </c>
      <c r="B23" s="60" t="s">
        <v>46</v>
      </c>
      <c r="C23" s="3" t="s">
        <v>1</v>
      </c>
      <c r="D23" s="4" t="s">
        <v>10</v>
      </c>
      <c r="E23" s="60" t="s">
        <v>471</v>
      </c>
      <c r="F23" s="60" t="s">
        <v>33</v>
      </c>
    </row>
    <row r="24" spans="1:6" x14ac:dyDescent="0.25">
      <c r="A24" s="60" t="s">
        <v>8</v>
      </c>
      <c r="B24" s="51" t="s">
        <v>43</v>
      </c>
      <c r="C24" s="3" t="s">
        <v>1</v>
      </c>
      <c r="D24" s="4" t="s">
        <v>10</v>
      </c>
      <c r="E24" s="60" t="s">
        <v>471</v>
      </c>
      <c r="F24" s="60" t="s">
        <v>33</v>
      </c>
    </row>
    <row r="25" spans="1:6" x14ac:dyDescent="0.25">
      <c r="A25" s="60" t="s">
        <v>8</v>
      </c>
      <c r="B25" s="60" t="s">
        <v>33</v>
      </c>
      <c r="C25" s="3" t="s">
        <v>1</v>
      </c>
      <c r="D25" s="51" t="s">
        <v>4</v>
      </c>
      <c r="E25" s="60" t="s">
        <v>471</v>
      </c>
      <c r="F25" s="60" t="s">
        <v>33</v>
      </c>
    </row>
    <row r="26" spans="1:6" x14ac:dyDescent="0.25">
      <c r="A26" s="60" t="s">
        <v>8</v>
      </c>
      <c r="B26" s="60" t="s">
        <v>33</v>
      </c>
      <c r="C26" s="3" t="s">
        <v>1</v>
      </c>
      <c r="D26" t="s">
        <v>141</v>
      </c>
      <c r="E26" s="60" t="s">
        <v>471</v>
      </c>
      <c r="F26" s="60" t="s">
        <v>33</v>
      </c>
    </row>
    <row r="27" spans="1:6" x14ac:dyDescent="0.25">
      <c r="A27" s="60" t="s">
        <v>8</v>
      </c>
      <c r="B27" s="60" t="s">
        <v>33</v>
      </c>
      <c r="C27" s="60" t="s">
        <v>449</v>
      </c>
      <c r="D27" s="60" t="s">
        <v>1</v>
      </c>
      <c r="E27" s="60" t="s">
        <v>471</v>
      </c>
      <c r="F27" s="60" t="s">
        <v>33</v>
      </c>
    </row>
    <row r="28" spans="1:6" x14ac:dyDescent="0.25">
      <c r="A28" s="60" t="s">
        <v>8</v>
      </c>
      <c r="B28" s="60" t="s">
        <v>33</v>
      </c>
      <c r="C28" s="60" t="s">
        <v>449</v>
      </c>
      <c r="D28" s="60" t="s">
        <v>1</v>
      </c>
      <c r="E28" s="60" t="s">
        <v>471</v>
      </c>
      <c r="F28" s="60" t="s">
        <v>33</v>
      </c>
    </row>
    <row r="29" spans="1:6" x14ac:dyDescent="0.25">
      <c r="A29" s="51" t="s">
        <v>40</v>
      </c>
      <c r="B29" s="60" t="s">
        <v>33</v>
      </c>
      <c r="C29" s="60" t="s">
        <v>449</v>
      </c>
      <c r="D29" s="60" t="s">
        <v>1</v>
      </c>
      <c r="E29" s="60" t="s">
        <v>476</v>
      </c>
      <c r="F29" s="60" t="s">
        <v>33</v>
      </c>
    </row>
    <row r="30" spans="1:6" x14ac:dyDescent="0.25">
      <c r="A30" t="s">
        <v>35</v>
      </c>
      <c r="B30" s="60" t="s">
        <v>33</v>
      </c>
      <c r="C30" s="60" t="s">
        <v>449</v>
      </c>
      <c r="D30" s="60" t="s">
        <v>1</v>
      </c>
      <c r="E30" s="60" t="s">
        <v>476</v>
      </c>
      <c r="F30" s="5" t="s">
        <v>45</v>
      </c>
    </row>
    <row r="31" spans="1:6" x14ac:dyDescent="0.25">
      <c r="A31" t="s">
        <v>22</v>
      </c>
      <c r="B31" s="60" t="s">
        <v>33</v>
      </c>
      <c r="C31" s="60" t="s">
        <v>449</v>
      </c>
      <c r="D31" s="60" t="s">
        <v>1</v>
      </c>
      <c r="E31" s="60" t="s">
        <v>476</v>
      </c>
      <c r="F31" s="60" t="s">
        <v>492</v>
      </c>
    </row>
    <row r="32" spans="1:6" x14ac:dyDescent="0.25">
      <c r="A32" s="51" t="s">
        <v>22</v>
      </c>
      <c r="B32" s="60" t="s">
        <v>33</v>
      </c>
      <c r="C32" s="60" t="s">
        <v>449</v>
      </c>
      <c r="D32" s="60" t="s">
        <v>1</v>
      </c>
      <c r="E32" s="60" t="s">
        <v>476</v>
      </c>
      <c r="F32" s="60" t="s">
        <v>492</v>
      </c>
    </row>
    <row r="33" spans="1:6" x14ac:dyDescent="0.25">
      <c r="A33" s="51" t="s">
        <v>3</v>
      </c>
      <c r="B33" s="60" t="s">
        <v>33</v>
      </c>
      <c r="C33" s="60" t="s">
        <v>449</v>
      </c>
      <c r="D33" s="60" t="s">
        <v>1</v>
      </c>
      <c r="E33" s="60" t="s">
        <v>474</v>
      </c>
      <c r="F33" s="60" t="s">
        <v>492</v>
      </c>
    </row>
    <row r="34" spans="1:6" x14ac:dyDescent="0.25">
      <c r="A34" s="51" t="s">
        <v>30</v>
      </c>
      <c r="B34" s="60" t="s">
        <v>33</v>
      </c>
      <c r="C34" s="4" t="s">
        <v>452</v>
      </c>
      <c r="D34" s="60" t="s">
        <v>1</v>
      </c>
      <c r="E34" s="60" t="s">
        <v>1</v>
      </c>
      <c r="F34" s="60" t="s">
        <v>492</v>
      </c>
    </row>
    <row r="35" spans="1:6" x14ac:dyDescent="0.25">
      <c r="A35" s="51" t="s">
        <v>30</v>
      </c>
      <c r="B35" s="60" t="s">
        <v>33</v>
      </c>
      <c r="C35" s="4" t="s">
        <v>452</v>
      </c>
      <c r="D35" s="60" t="s">
        <v>1</v>
      </c>
      <c r="E35" s="60" t="s">
        <v>1</v>
      </c>
      <c r="F35" s="60" t="s">
        <v>484</v>
      </c>
    </row>
    <row r="36" spans="1:6" x14ac:dyDescent="0.25">
      <c r="A36" t="s">
        <v>34</v>
      </c>
      <c r="B36" s="60" t="s">
        <v>33</v>
      </c>
      <c r="C36" s="4" t="s">
        <v>452</v>
      </c>
      <c r="D36" s="60" t="s">
        <v>1</v>
      </c>
      <c r="E36" s="60" t="s">
        <v>1</v>
      </c>
      <c r="F36" s="60" t="s">
        <v>484</v>
      </c>
    </row>
    <row r="37" spans="1:6" x14ac:dyDescent="0.25">
      <c r="A37" t="s">
        <v>17</v>
      </c>
      <c r="B37" s="60" t="s">
        <v>45</v>
      </c>
      <c r="C37" s="60" t="s">
        <v>9</v>
      </c>
      <c r="D37" s="60" t="s">
        <v>1</v>
      </c>
      <c r="E37" s="60" t="s">
        <v>1</v>
      </c>
      <c r="F37" s="60" t="s">
        <v>484</v>
      </c>
    </row>
    <row r="38" spans="1:6" x14ac:dyDescent="0.25">
      <c r="A38" s="60" t="s">
        <v>29</v>
      </c>
      <c r="B38" s="60" t="s">
        <v>45</v>
      </c>
      <c r="C38" s="60" t="s">
        <v>451</v>
      </c>
      <c r="D38" s="60" t="s">
        <v>1</v>
      </c>
      <c r="E38" s="60" t="s">
        <v>1</v>
      </c>
      <c r="F38" s="5" t="s">
        <v>482</v>
      </c>
    </row>
    <row r="39" spans="1:6" x14ac:dyDescent="0.25">
      <c r="A39" s="60" t="s">
        <v>29</v>
      </c>
      <c r="B39" s="60" t="s">
        <v>45</v>
      </c>
      <c r="C39" s="60" t="s">
        <v>451</v>
      </c>
      <c r="D39" s="60" t="s">
        <v>1</v>
      </c>
      <c r="E39" s="60" t="s">
        <v>1</v>
      </c>
      <c r="F39" s="60" t="s">
        <v>483</v>
      </c>
    </row>
    <row r="40" spans="1:6" x14ac:dyDescent="0.25">
      <c r="A40" s="60" t="s">
        <v>29</v>
      </c>
      <c r="B40" s="60" t="s">
        <v>45</v>
      </c>
      <c r="C40" s="60" t="s">
        <v>451</v>
      </c>
      <c r="D40" s="60" t="s">
        <v>458</v>
      </c>
      <c r="E40" s="60" t="s">
        <v>1</v>
      </c>
      <c r="F40" s="60" t="s">
        <v>483</v>
      </c>
    </row>
    <row r="41" spans="1:6" x14ac:dyDescent="0.25">
      <c r="A41" s="60" t="s">
        <v>29</v>
      </c>
      <c r="B41" s="60" t="s">
        <v>45</v>
      </c>
      <c r="C41" s="60" t="s">
        <v>451</v>
      </c>
      <c r="D41" s="60" t="s">
        <v>458</v>
      </c>
      <c r="E41" s="60" t="s">
        <v>1</v>
      </c>
      <c r="F41" s="60" t="s">
        <v>483</v>
      </c>
    </row>
    <row r="42" spans="1:6" x14ac:dyDescent="0.25">
      <c r="A42" s="60" t="s">
        <v>29</v>
      </c>
      <c r="B42" s="60" t="s">
        <v>45</v>
      </c>
      <c r="C42" s="60" t="s">
        <v>451</v>
      </c>
      <c r="D42" s="3" t="s">
        <v>457</v>
      </c>
      <c r="E42" s="60" t="s">
        <v>1</v>
      </c>
      <c r="F42" s="5" t="s">
        <v>461</v>
      </c>
    </row>
    <row r="43" spans="1:6" x14ac:dyDescent="0.25">
      <c r="A43" t="s">
        <v>39</v>
      </c>
      <c r="B43" s="60" t="s">
        <v>45</v>
      </c>
      <c r="C43" s="60" t="s">
        <v>451</v>
      </c>
      <c r="D43" s="3" t="s">
        <v>457</v>
      </c>
      <c r="E43" s="60" t="s">
        <v>1</v>
      </c>
      <c r="F43" s="5" t="s">
        <v>489</v>
      </c>
    </row>
    <row r="44" spans="1:6" x14ac:dyDescent="0.25">
      <c r="A44" t="s">
        <v>39</v>
      </c>
      <c r="B44" s="60" t="s">
        <v>45</v>
      </c>
      <c r="C44" s="60" t="s">
        <v>451</v>
      </c>
      <c r="D44" s="3" t="s">
        <v>457</v>
      </c>
      <c r="E44" s="60" t="s">
        <v>1</v>
      </c>
      <c r="F44" s="60" t="s">
        <v>124</v>
      </c>
    </row>
    <row r="45" spans="1:6" x14ac:dyDescent="0.25">
      <c r="A45" s="60" t="s">
        <v>10</v>
      </c>
      <c r="B45" s="60" t="s">
        <v>45</v>
      </c>
      <c r="C45" s="60" t="s">
        <v>451</v>
      </c>
      <c r="D45" s="3" t="s">
        <v>457</v>
      </c>
      <c r="E45" s="60" t="s">
        <v>457</v>
      </c>
      <c r="F45" s="60" t="s">
        <v>124</v>
      </c>
    </row>
    <row r="46" spans="1:6" x14ac:dyDescent="0.25">
      <c r="A46" s="60" t="s">
        <v>10</v>
      </c>
      <c r="B46" s="60" t="s">
        <v>51</v>
      </c>
      <c r="C46" s="60" t="s">
        <v>451</v>
      </c>
      <c r="D46" s="3" t="s">
        <v>457</v>
      </c>
      <c r="E46" s="60" t="s">
        <v>457</v>
      </c>
      <c r="F46" s="60" t="s">
        <v>124</v>
      </c>
    </row>
    <row r="47" spans="1:6" x14ac:dyDescent="0.25">
      <c r="A47" s="60" t="s">
        <v>10</v>
      </c>
      <c r="B47" s="60" t="s">
        <v>51</v>
      </c>
      <c r="C47" s="60" t="s">
        <v>451</v>
      </c>
      <c r="D47" t="s">
        <v>452</v>
      </c>
      <c r="E47" s="60" t="s">
        <v>457</v>
      </c>
      <c r="F47" s="60" t="s">
        <v>138</v>
      </c>
    </row>
    <row r="48" spans="1:6" x14ac:dyDescent="0.25">
      <c r="A48" s="60" t="s">
        <v>10</v>
      </c>
      <c r="B48" s="60" t="s">
        <v>50</v>
      </c>
      <c r="C48" s="60" t="s">
        <v>451</v>
      </c>
      <c r="D48" s="5" t="s">
        <v>452</v>
      </c>
      <c r="E48" s="5" t="s">
        <v>9</v>
      </c>
      <c r="F48" s="60" t="s">
        <v>138</v>
      </c>
    </row>
    <row r="49" spans="1:6" x14ac:dyDescent="0.25">
      <c r="A49" t="s">
        <v>11</v>
      </c>
      <c r="B49" s="60" t="s">
        <v>50</v>
      </c>
      <c r="C49" s="60" t="s">
        <v>451</v>
      </c>
      <c r="D49" s="5" t="s">
        <v>9</v>
      </c>
      <c r="E49" s="60" t="s">
        <v>223</v>
      </c>
      <c r="F49" s="60" t="s">
        <v>138</v>
      </c>
    </row>
    <row r="50" spans="1:6" x14ac:dyDescent="0.25">
      <c r="A50" t="s">
        <v>4</v>
      </c>
      <c r="B50" s="60" t="s">
        <v>50</v>
      </c>
      <c r="C50" t="s">
        <v>2</v>
      </c>
      <c r="D50" s="60" t="s">
        <v>33</v>
      </c>
      <c r="E50" s="60" t="s">
        <v>223</v>
      </c>
      <c r="F50" s="5" t="s">
        <v>488</v>
      </c>
    </row>
    <row r="51" spans="1:6" x14ac:dyDescent="0.25">
      <c r="A51" t="s">
        <v>4</v>
      </c>
      <c r="B51" s="60" t="s">
        <v>50</v>
      </c>
      <c r="C51" s="51" t="s">
        <v>446</v>
      </c>
      <c r="D51" s="60" t="s">
        <v>33</v>
      </c>
      <c r="E51" s="60" t="s">
        <v>472</v>
      </c>
      <c r="F51" s="60" t="s">
        <v>88</v>
      </c>
    </row>
    <row r="52" spans="1:6" x14ac:dyDescent="0.25">
      <c r="A52" s="60" t="s">
        <v>497</v>
      </c>
      <c r="B52" s="60" t="s">
        <v>50</v>
      </c>
      <c r="C52" s="60" t="s">
        <v>441</v>
      </c>
      <c r="D52" s="60" t="s">
        <v>33</v>
      </c>
      <c r="E52" s="60" t="s">
        <v>472</v>
      </c>
      <c r="F52" s="60" t="s">
        <v>88</v>
      </c>
    </row>
    <row r="53" spans="1:6" x14ac:dyDescent="0.25">
      <c r="A53" s="60" t="s">
        <v>497</v>
      </c>
      <c r="B53" s="60" t="s">
        <v>50</v>
      </c>
      <c r="C53" s="60" t="s">
        <v>441</v>
      </c>
      <c r="D53" s="60" t="s">
        <v>33</v>
      </c>
      <c r="E53" s="60" t="s">
        <v>472</v>
      </c>
      <c r="F53" s="60" t="s">
        <v>479</v>
      </c>
    </row>
    <row r="54" spans="1:6" x14ac:dyDescent="0.25">
      <c r="A54" s="60" t="s">
        <v>497</v>
      </c>
      <c r="B54" s="60" t="s">
        <v>44</v>
      </c>
      <c r="C54" s="60" t="s">
        <v>441</v>
      </c>
      <c r="D54" s="60" t="s">
        <v>33</v>
      </c>
      <c r="E54" s="60" t="s">
        <v>472</v>
      </c>
      <c r="F54" s="60" t="s">
        <v>479</v>
      </c>
    </row>
    <row r="55" spans="1:6" x14ac:dyDescent="0.25">
      <c r="A55" s="60" t="s">
        <v>497</v>
      </c>
      <c r="B55" s="60" t="s">
        <v>44</v>
      </c>
      <c r="C55" s="60" t="s">
        <v>441</v>
      </c>
      <c r="D55" s="51" t="s">
        <v>460</v>
      </c>
      <c r="E55" s="60" t="s">
        <v>470</v>
      </c>
      <c r="F55" s="60" t="s">
        <v>479</v>
      </c>
    </row>
    <row r="56" spans="1:6" x14ac:dyDescent="0.25">
      <c r="A56" s="60" t="s">
        <v>497</v>
      </c>
      <c r="B56" s="60" t="s">
        <v>44</v>
      </c>
      <c r="C56" s="60" t="s">
        <v>441</v>
      </c>
      <c r="D56" s="51" t="s">
        <v>460</v>
      </c>
      <c r="E56" s="60" t="s">
        <v>470</v>
      </c>
      <c r="F56" s="60" t="s">
        <v>479</v>
      </c>
    </row>
    <row r="57" spans="1:6" x14ac:dyDescent="0.25">
      <c r="A57" s="60" t="s">
        <v>497</v>
      </c>
      <c r="B57" s="60" t="s">
        <v>44</v>
      </c>
      <c r="C57" s="60" t="s">
        <v>441</v>
      </c>
      <c r="D57" s="51" t="s">
        <v>455</v>
      </c>
      <c r="E57" s="60" t="s">
        <v>470</v>
      </c>
      <c r="F57" s="60" t="s">
        <v>479</v>
      </c>
    </row>
    <row r="58" spans="1:6" x14ac:dyDescent="0.25">
      <c r="A58" s="60" t="s">
        <v>497</v>
      </c>
      <c r="B58" s="60" t="s">
        <v>44</v>
      </c>
      <c r="C58" s="60" t="s">
        <v>441</v>
      </c>
      <c r="D58" s="5" t="s">
        <v>2</v>
      </c>
      <c r="E58" s="60" t="s">
        <v>470</v>
      </c>
      <c r="F58" s="5" t="s">
        <v>127</v>
      </c>
    </row>
    <row r="59" spans="1:6" x14ac:dyDescent="0.25">
      <c r="A59" s="60" t="s">
        <v>497</v>
      </c>
      <c r="B59" s="60" t="s">
        <v>44</v>
      </c>
      <c r="C59" s="60" t="s">
        <v>441</v>
      </c>
      <c r="D59" s="5" t="s">
        <v>2</v>
      </c>
      <c r="E59" s="60" t="s">
        <v>470</v>
      </c>
      <c r="F59" s="5" t="s">
        <v>487</v>
      </c>
    </row>
    <row r="60" spans="1:6" x14ac:dyDescent="0.25">
      <c r="A60" s="60" t="s">
        <v>497</v>
      </c>
      <c r="B60" s="60" t="s">
        <v>44</v>
      </c>
      <c r="C60" s="60" t="s">
        <v>441</v>
      </c>
      <c r="D60" s="5" t="s">
        <v>464</v>
      </c>
      <c r="E60" s="60" t="s">
        <v>470</v>
      </c>
      <c r="F60" s="60" t="s">
        <v>481</v>
      </c>
    </row>
    <row r="61" spans="1:6" x14ac:dyDescent="0.25">
      <c r="A61" s="60" t="s">
        <v>497</v>
      </c>
      <c r="B61" s="60" t="s">
        <v>44</v>
      </c>
      <c r="C61" t="s">
        <v>443</v>
      </c>
      <c r="D61" s="5" t="s">
        <v>464</v>
      </c>
      <c r="E61" s="60" t="s">
        <v>470</v>
      </c>
      <c r="F61" s="60" t="s">
        <v>481</v>
      </c>
    </row>
    <row r="62" spans="1:6" x14ac:dyDescent="0.25">
      <c r="A62" s="60" t="s">
        <v>497</v>
      </c>
      <c r="B62" s="60" t="s">
        <v>44</v>
      </c>
      <c r="C62" t="s">
        <v>443</v>
      </c>
      <c r="D62" s="5" t="s">
        <v>443</v>
      </c>
      <c r="E62" s="60" t="s">
        <v>470</v>
      </c>
      <c r="F62" s="60" t="s">
        <v>481</v>
      </c>
    </row>
    <row r="63" spans="1:6" x14ac:dyDescent="0.25">
      <c r="A63" s="60" t="s">
        <v>497</v>
      </c>
      <c r="B63" s="60" t="s">
        <v>44</v>
      </c>
      <c r="C63" t="s">
        <v>440</v>
      </c>
      <c r="D63" s="5" t="s">
        <v>461</v>
      </c>
      <c r="E63" s="60" t="s">
        <v>441</v>
      </c>
      <c r="F63" s="60" t="s">
        <v>481</v>
      </c>
    </row>
    <row r="64" spans="1:6" x14ac:dyDescent="0.25">
      <c r="A64" s="60" t="s">
        <v>497</v>
      </c>
      <c r="B64" s="60" t="s">
        <v>44</v>
      </c>
      <c r="C64" t="s">
        <v>440</v>
      </c>
      <c r="D64" s="5" t="s">
        <v>133</v>
      </c>
      <c r="E64" s="5" t="s">
        <v>133</v>
      </c>
      <c r="F64" s="60" t="s">
        <v>481</v>
      </c>
    </row>
    <row r="65" spans="1:6" x14ac:dyDescent="0.25">
      <c r="A65" s="60" t="s">
        <v>497</v>
      </c>
      <c r="B65" s="60" t="s">
        <v>44</v>
      </c>
      <c r="C65" t="s">
        <v>127</v>
      </c>
      <c r="D65" s="5" t="s">
        <v>133</v>
      </c>
      <c r="E65" s="60" t="s">
        <v>124</v>
      </c>
      <c r="F65" s="60" t="s">
        <v>481</v>
      </c>
    </row>
    <row r="66" spans="1:6" x14ac:dyDescent="0.25">
      <c r="A66" s="60" t="s">
        <v>497</v>
      </c>
      <c r="B66" s="60" t="s">
        <v>44</v>
      </c>
      <c r="C66" s="4" t="s">
        <v>447</v>
      </c>
      <c r="D66" s="5" t="s">
        <v>456</v>
      </c>
      <c r="E66" s="60" t="s">
        <v>149</v>
      </c>
      <c r="F66" s="60" t="s">
        <v>27</v>
      </c>
    </row>
    <row r="67" spans="1:6" x14ac:dyDescent="0.25">
      <c r="A67" s="60" t="s">
        <v>497</v>
      </c>
      <c r="B67" s="60" t="s">
        <v>44</v>
      </c>
      <c r="C67" s="4" t="s">
        <v>447</v>
      </c>
      <c r="D67" s="5" t="s">
        <v>124</v>
      </c>
      <c r="E67" s="60" t="s">
        <v>149</v>
      </c>
      <c r="F67" s="60" t="s">
        <v>27</v>
      </c>
    </row>
    <row r="68" spans="1:6" x14ac:dyDescent="0.25">
      <c r="A68" s="60" t="s">
        <v>497</v>
      </c>
      <c r="B68" s="60" t="s">
        <v>44</v>
      </c>
      <c r="C68" s="4" t="s">
        <v>447</v>
      </c>
      <c r="D68" s="5" t="s">
        <v>124</v>
      </c>
      <c r="E68" s="60" t="s">
        <v>149</v>
      </c>
      <c r="F68" s="60" t="s">
        <v>27</v>
      </c>
    </row>
    <row r="69" spans="1:6" x14ac:dyDescent="0.25">
      <c r="A69" s="60" t="s">
        <v>497</v>
      </c>
      <c r="B69" s="60" t="s">
        <v>44</v>
      </c>
      <c r="C69" s="4" t="s">
        <v>447</v>
      </c>
      <c r="D69" s="5" t="s">
        <v>447</v>
      </c>
      <c r="E69" s="60" t="s">
        <v>149</v>
      </c>
      <c r="F69" s="60" t="s">
        <v>27</v>
      </c>
    </row>
    <row r="70" spans="1:6" x14ac:dyDescent="0.25">
      <c r="A70" s="60" t="s">
        <v>497</v>
      </c>
      <c r="B70" s="60" t="s">
        <v>48</v>
      </c>
      <c r="C70" s="4" t="s">
        <v>447</v>
      </c>
      <c r="D70" s="60" t="s">
        <v>466</v>
      </c>
      <c r="E70" s="60" t="s">
        <v>149</v>
      </c>
    </row>
    <row r="71" spans="1:6" x14ac:dyDescent="0.25">
      <c r="A71" s="60" t="s">
        <v>497</v>
      </c>
      <c r="B71" s="60" t="s">
        <v>48</v>
      </c>
      <c r="C71" s="4" t="s">
        <v>447</v>
      </c>
      <c r="D71" s="60" t="s">
        <v>466</v>
      </c>
      <c r="E71" s="60" t="s">
        <v>149</v>
      </c>
    </row>
    <row r="72" spans="1:6" x14ac:dyDescent="0.25">
      <c r="A72" s="60" t="s">
        <v>497</v>
      </c>
      <c r="C72" s="4" t="s">
        <v>447</v>
      </c>
      <c r="D72" s="60" t="s">
        <v>466</v>
      </c>
      <c r="E72" s="60" t="s">
        <v>473</v>
      </c>
    </row>
    <row r="73" spans="1:6" x14ac:dyDescent="0.25">
      <c r="A73" s="60" t="s">
        <v>497</v>
      </c>
      <c r="C73" s="4" t="s">
        <v>447</v>
      </c>
      <c r="D73" s="60" t="s">
        <v>466</v>
      </c>
      <c r="E73" s="60" t="s">
        <v>473</v>
      </c>
    </row>
    <row r="74" spans="1:6" x14ac:dyDescent="0.25">
      <c r="A74" s="60" t="s">
        <v>497</v>
      </c>
      <c r="C74" t="s">
        <v>450</v>
      </c>
      <c r="E74" s="60" t="s">
        <v>473</v>
      </c>
    </row>
    <row r="75" spans="1:6" x14ac:dyDescent="0.25">
      <c r="A75" s="60" t="s">
        <v>497</v>
      </c>
      <c r="C75" t="s">
        <v>450</v>
      </c>
      <c r="E75" s="60" t="s">
        <v>473</v>
      </c>
    </row>
    <row r="76" spans="1:6" x14ac:dyDescent="0.25">
      <c r="A76" s="60" t="s">
        <v>497</v>
      </c>
      <c r="E76" s="60" t="s">
        <v>235</v>
      </c>
    </row>
    <row r="77" spans="1:6" x14ac:dyDescent="0.25">
      <c r="A77" s="60" t="s">
        <v>497</v>
      </c>
      <c r="E77" s="60" t="s">
        <v>235</v>
      </c>
    </row>
    <row r="78" spans="1:6" x14ac:dyDescent="0.25">
      <c r="A78" s="60" t="s">
        <v>497</v>
      </c>
      <c r="E78" s="5" t="s">
        <v>450</v>
      </c>
    </row>
    <row r="79" spans="1:6" x14ac:dyDescent="0.25">
      <c r="A79" s="60" t="s">
        <v>497</v>
      </c>
    </row>
    <row r="80" spans="1:6" x14ac:dyDescent="0.25">
      <c r="A80" s="60" t="s">
        <v>497</v>
      </c>
    </row>
    <row r="81" spans="1:1" x14ac:dyDescent="0.25">
      <c r="A81" s="60" t="s">
        <v>497</v>
      </c>
    </row>
    <row r="82" spans="1:1" x14ac:dyDescent="0.25">
      <c r="A82" s="60" t="s">
        <v>497</v>
      </c>
    </row>
    <row r="83" spans="1:1" x14ac:dyDescent="0.25">
      <c r="A83" s="60" t="s">
        <v>497</v>
      </c>
    </row>
    <row r="84" spans="1:1" x14ac:dyDescent="0.25">
      <c r="A84" s="60" t="s">
        <v>497</v>
      </c>
    </row>
    <row r="85" spans="1:1" x14ac:dyDescent="0.25">
      <c r="A85" s="60" t="s">
        <v>497</v>
      </c>
    </row>
    <row r="86" spans="1:1" x14ac:dyDescent="0.25">
      <c r="A86" s="60" t="s">
        <v>38</v>
      </c>
    </row>
    <row r="87" spans="1:1" x14ac:dyDescent="0.25">
      <c r="A87" s="60" t="s">
        <v>38</v>
      </c>
    </row>
    <row r="88" spans="1:1" x14ac:dyDescent="0.25">
      <c r="A88" s="60" t="s">
        <v>38</v>
      </c>
    </row>
    <row r="89" spans="1:1" x14ac:dyDescent="0.25">
      <c r="A89" s="60" t="s">
        <v>38</v>
      </c>
    </row>
    <row r="90" spans="1:1" x14ac:dyDescent="0.25">
      <c r="A90" s="60" t="s">
        <v>38</v>
      </c>
    </row>
    <row r="91" spans="1:1" x14ac:dyDescent="0.25">
      <c r="A91" s="60" t="s">
        <v>38</v>
      </c>
    </row>
    <row r="92" spans="1:1" x14ac:dyDescent="0.25">
      <c r="A92" s="60" t="s">
        <v>38</v>
      </c>
    </row>
    <row r="93" spans="1:1" x14ac:dyDescent="0.25">
      <c r="A93" s="60" t="s">
        <v>38</v>
      </c>
    </row>
    <row r="94" spans="1:1" x14ac:dyDescent="0.25">
      <c r="A94" s="60" t="s">
        <v>38</v>
      </c>
    </row>
    <row r="95" spans="1:1" x14ac:dyDescent="0.25">
      <c r="A95" s="60" t="s">
        <v>20</v>
      </c>
    </row>
    <row r="96" spans="1:1" x14ac:dyDescent="0.25">
      <c r="A96" s="60" t="s">
        <v>20</v>
      </c>
    </row>
    <row r="97" spans="1:1" x14ac:dyDescent="0.25">
      <c r="A97" s="60" t="s">
        <v>20</v>
      </c>
    </row>
    <row r="98" spans="1:1" x14ac:dyDescent="0.25">
      <c r="A98" s="60" t="s">
        <v>25</v>
      </c>
    </row>
    <row r="99" spans="1:1" x14ac:dyDescent="0.25">
      <c r="A99" s="60" t="s">
        <v>25</v>
      </c>
    </row>
    <row r="100" spans="1:1" x14ac:dyDescent="0.25">
      <c r="A100" s="60" t="s">
        <v>25</v>
      </c>
    </row>
    <row r="101" spans="1:1" x14ac:dyDescent="0.25">
      <c r="A101" s="60" t="s">
        <v>9</v>
      </c>
    </row>
    <row r="102" spans="1:1" x14ac:dyDescent="0.25">
      <c r="A102" s="60" t="s">
        <v>9</v>
      </c>
    </row>
    <row r="103" spans="1:1" x14ac:dyDescent="0.25">
      <c r="A103" s="60" t="s">
        <v>9</v>
      </c>
    </row>
    <row r="104" spans="1:1" x14ac:dyDescent="0.25">
      <c r="A104" s="60" t="s">
        <v>9</v>
      </c>
    </row>
    <row r="105" spans="1:1" x14ac:dyDescent="0.25">
      <c r="A105" s="60" t="s">
        <v>9</v>
      </c>
    </row>
    <row r="106" spans="1:1" x14ac:dyDescent="0.25">
      <c r="A106" s="60" t="s">
        <v>9</v>
      </c>
    </row>
    <row r="107" spans="1:1" x14ac:dyDescent="0.25">
      <c r="A107" s="60" t="s">
        <v>9</v>
      </c>
    </row>
    <row r="108" spans="1:1" x14ac:dyDescent="0.25">
      <c r="A108" s="60" t="s">
        <v>9</v>
      </c>
    </row>
    <row r="109" spans="1:1" x14ac:dyDescent="0.25">
      <c r="A109" s="60" t="s">
        <v>9</v>
      </c>
    </row>
    <row r="110" spans="1:1" x14ac:dyDescent="0.25">
      <c r="A110" s="60" t="s">
        <v>36</v>
      </c>
    </row>
    <row r="111" spans="1:1" x14ac:dyDescent="0.25">
      <c r="A111" s="60" t="s">
        <v>21</v>
      </c>
    </row>
    <row r="112" spans="1:1" x14ac:dyDescent="0.25">
      <c r="A112" s="60" t="s">
        <v>33</v>
      </c>
    </row>
    <row r="113" spans="1:1" x14ac:dyDescent="0.25">
      <c r="A113" s="60" t="s">
        <v>33</v>
      </c>
    </row>
    <row r="114" spans="1:1" x14ac:dyDescent="0.25">
      <c r="A114" s="60" t="s">
        <v>33</v>
      </c>
    </row>
    <row r="115" spans="1:1" x14ac:dyDescent="0.25">
      <c r="A115" s="60" t="s">
        <v>33</v>
      </c>
    </row>
    <row r="116" spans="1:1" x14ac:dyDescent="0.25">
      <c r="A116" s="62" t="s">
        <v>24</v>
      </c>
    </row>
    <row r="117" spans="1:1" x14ac:dyDescent="0.25">
      <c r="A117" s="62" t="s">
        <v>24</v>
      </c>
    </row>
    <row r="118" spans="1:1" x14ac:dyDescent="0.25">
      <c r="A118" s="62" t="s">
        <v>24</v>
      </c>
    </row>
    <row r="119" spans="1:1" x14ac:dyDescent="0.25">
      <c r="A119" s="62" t="s">
        <v>24</v>
      </c>
    </row>
    <row r="120" spans="1:1" x14ac:dyDescent="0.25">
      <c r="A120" t="s">
        <v>13</v>
      </c>
    </row>
    <row r="121" spans="1:1" x14ac:dyDescent="0.25">
      <c r="A121" s="60" t="s">
        <v>0</v>
      </c>
    </row>
    <row r="122" spans="1:1" x14ac:dyDescent="0.25">
      <c r="A122" s="60" t="s">
        <v>0</v>
      </c>
    </row>
    <row r="123" spans="1:1" x14ac:dyDescent="0.25">
      <c r="A123" s="60" t="s">
        <v>0</v>
      </c>
    </row>
    <row r="124" spans="1:1" x14ac:dyDescent="0.25">
      <c r="A124" s="60" t="s">
        <v>0</v>
      </c>
    </row>
    <row r="125" spans="1:1" x14ac:dyDescent="0.25">
      <c r="A125" s="60" t="s">
        <v>0</v>
      </c>
    </row>
    <row r="126" spans="1:1" x14ac:dyDescent="0.25">
      <c r="A126" s="60" t="s">
        <v>31</v>
      </c>
    </row>
    <row r="127" spans="1:1" x14ac:dyDescent="0.25">
      <c r="A127" s="60" t="s">
        <v>2</v>
      </c>
    </row>
    <row r="128" spans="1:1" x14ac:dyDescent="0.25">
      <c r="A128" s="60" t="s">
        <v>2</v>
      </c>
    </row>
    <row r="129" spans="1:1" x14ac:dyDescent="0.25">
      <c r="A129" s="60" t="s">
        <v>18</v>
      </c>
    </row>
    <row r="130" spans="1:1" x14ac:dyDescent="0.25">
      <c r="A130" s="60" t="s">
        <v>18</v>
      </c>
    </row>
    <row r="131" spans="1:1" x14ac:dyDescent="0.25">
      <c r="A131" s="60" t="s">
        <v>18</v>
      </c>
    </row>
    <row r="132" spans="1:1" x14ac:dyDescent="0.25">
      <c r="A132" s="60" t="s">
        <v>18</v>
      </c>
    </row>
    <row r="133" spans="1:1" x14ac:dyDescent="0.25">
      <c r="A133" s="60" t="s">
        <v>18</v>
      </c>
    </row>
    <row r="134" spans="1:1" x14ac:dyDescent="0.25">
      <c r="A134" s="60" t="s">
        <v>26</v>
      </c>
    </row>
    <row r="135" spans="1:1" x14ac:dyDescent="0.25">
      <c r="A135" s="60" t="s">
        <v>26</v>
      </c>
    </row>
    <row r="136" spans="1:1" x14ac:dyDescent="0.25">
      <c r="A136" s="60" t="s">
        <v>26</v>
      </c>
    </row>
    <row r="137" spans="1:1" x14ac:dyDescent="0.25">
      <c r="A137" s="60" t="s">
        <v>26</v>
      </c>
    </row>
    <row r="138" spans="1:1" x14ac:dyDescent="0.25">
      <c r="A138" t="s">
        <v>5</v>
      </c>
    </row>
    <row r="139" spans="1:1" x14ac:dyDescent="0.25">
      <c r="A139" t="s">
        <v>23</v>
      </c>
    </row>
    <row r="140" spans="1:1" x14ac:dyDescent="0.25">
      <c r="A140" s="60" t="s">
        <v>12</v>
      </c>
    </row>
    <row r="141" spans="1:1" x14ac:dyDescent="0.25">
      <c r="A141" s="60" t="s">
        <v>12</v>
      </c>
    </row>
    <row r="142" spans="1:1" x14ac:dyDescent="0.25">
      <c r="A142" t="s">
        <v>6</v>
      </c>
    </row>
    <row r="143" spans="1:1" x14ac:dyDescent="0.25">
      <c r="A143" t="s">
        <v>15</v>
      </c>
    </row>
    <row r="144" spans="1:1" x14ac:dyDescent="0.25">
      <c r="A144" t="s">
        <v>32</v>
      </c>
    </row>
    <row r="145" spans="1:1" x14ac:dyDescent="0.25">
      <c r="A145" t="s">
        <v>28</v>
      </c>
    </row>
    <row r="146" spans="1:1" x14ac:dyDescent="0.25">
      <c r="A146" s="60" t="s">
        <v>27</v>
      </c>
    </row>
  </sheetData>
  <autoFilter ref="A3:H3"/>
  <sortState ref="F4:F70">
    <sortCondition ref="F4:F70"/>
  </sortState>
  <pageMargins left="0.7" right="0.7" top="0.75" bottom="0.75" header="0.3" footer="0.3"/>
  <pageSetup paperSize="17" scale="52" fitToWidth="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50"/>
  <sheetViews>
    <sheetView topLeftCell="A40" zoomScale="70" zoomScaleNormal="70" workbookViewId="0">
      <selection activeCell="C31" sqref="C31"/>
    </sheetView>
  </sheetViews>
  <sheetFormatPr defaultRowHeight="15" x14ac:dyDescent="0.25"/>
  <cols>
    <col min="1" max="1" width="48.7109375" bestFit="1" customWidth="1"/>
    <col min="2" max="2" width="54" bestFit="1" customWidth="1"/>
    <col min="3" max="3" width="47.42578125" customWidth="1"/>
    <col min="4" max="4" width="54" style="5" bestFit="1" customWidth="1"/>
    <col min="5" max="5" width="50.5703125" style="5" customWidth="1"/>
    <col min="6" max="6" width="42.5703125" customWidth="1"/>
  </cols>
  <sheetData>
    <row r="1" spans="1:6" x14ac:dyDescent="0.25">
      <c r="A1" s="6">
        <f>COUNTA(A5:A8,A11:A65,A68:A75,A78:A98,A101:A118,A120:A145,A149:A195)/COUNTA(A4:A197)</f>
        <v>0.92268041237113407</v>
      </c>
      <c r="B1" s="6">
        <f>COUNTA(B4:B128,B132:B186,B189:B234)/COUNTA(B4:B234)</f>
        <v>0.97835497835497831</v>
      </c>
      <c r="C1" s="6">
        <f>COUNTA(C8:C11,C13:C43,C45:C189,C192:C216)/COUNTA(C4:C221)</f>
        <v>0.94036697247706424</v>
      </c>
      <c r="D1" s="6">
        <f>COUNTA(D4:D36,D39:D101,D103:D133,D136:D149,D152:D174,D176:D249)/COUNTA(D4:D249)</f>
        <v>0.96747967479674801</v>
      </c>
      <c r="E1" s="6">
        <f>COUNTA(E4:E14,E17:E22,E25:E87,E89:E91,E94:E103)/COUNTA(E4:E249)</f>
        <v>0.93</v>
      </c>
      <c r="F1" s="6"/>
    </row>
    <row r="2" spans="1:6" x14ac:dyDescent="0.25">
      <c r="A2" s="7" t="s">
        <v>82</v>
      </c>
      <c r="B2" s="7" t="s">
        <v>105</v>
      </c>
      <c r="C2" s="7" t="s">
        <v>120</v>
      </c>
      <c r="D2" s="7" t="s">
        <v>134</v>
      </c>
      <c r="E2" s="7" t="s">
        <v>150</v>
      </c>
      <c r="F2" s="7"/>
    </row>
    <row r="3" spans="1:6" x14ac:dyDescent="0.25">
      <c r="A3" s="1" t="s">
        <v>54</v>
      </c>
      <c r="B3" s="1" t="s">
        <v>83</v>
      </c>
      <c r="C3" s="1" t="s">
        <v>106</v>
      </c>
      <c r="D3" s="10" t="s">
        <v>136</v>
      </c>
      <c r="E3" s="10" t="s">
        <v>135</v>
      </c>
      <c r="F3" s="10" t="s">
        <v>222</v>
      </c>
    </row>
    <row r="4" spans="1:6" x14ac:dyDescent="0.25">
      <c r="A4" s="5" t="s">
        <v>78</v>
      </c>
      <c r="B4" s="2" t="s">
        <v>103</v>
      </c>
      <c r="C4" t="s">
        <v>61</v>
      </c>
      <c r="D4" s="3" t="s">
        <v>125</v>
      </c>
      <c r="E4" s="2" t="s">
        <v>147</v>
      </c>
      <c r="F4" s="5" t="s">
        <v>233</v>
      </c>
    </row>
    <row r="5" spans="1:6" x14ac:dyDescent="0.25">
      <c r="A5" s="9" t="s">
        <v>61</v>
      </c>
      <c r="B5" s="2" t="s">
        <v>103</v>
      </c>
      <c r="C5" t="s">
        <v>61</v>
      </c>
      <c r="D5" s="3" t="s">
        <v>125</v>
      </c>
      <c r="E5" s="2" t="s">
        <v>147</v>
      </c>
      <c r="F5" s="5" t="s">
        <v>225</v>
      </c>
    </row>
    <row r="6" spans="1:6" x14ac:dyDescent="0.25">
      <c r="A6" s="9" t="s">
        <v>61</v>
      </c>
      <c r="B6" s="2" t="s">
        <v>103</v>
      </c>
      <c r="C6" t="s">
        <v>116</v>
      </c>
      <c r="D6" s="3" t="s">
        <v>125</v>
      </c>
      <c r="E6" s="2" t="s">
        <v>147</v>
      </c>
      <c r="F6" s="5" t="s">
        <v>225</v>
      </c>
    </row>
    <row r="7" spans="1:6" x14ac:dyDescent="0.25">
      <c r="A7" s="9" t="s">
        <v>61</v>
      </c>
      <c r="B7" s="2" t="s">
        <v>103</v>
      </c>
      <c r="C7" t="s">
        <v>118</v>
      </c>
      <c r="D7" s="3" t="s">
        <v>125</v>
      </c>
      <c r="E7" s="2" t="s">
        <v>147</v>
      </c>
      <c r="F7" s="5" t="s">
        <v>225</v>
      </c>
    </row>
    <row r="8" spans="1:6" x14ac:dyDescent="0.25">
      <c r="A8" s="9" t="s">
        <v>61</v>
      </c>
      <c r="B8" s="2" t="s">
        <v>103</v>
      </c>
      <c r="C8" s="9" t="s">
        <v>71</v>
      </c>
      <c r="D8" s="3" t="s">
        <v>125</v>
      </c>
      <c r="E8" s="2" t="s">
        <v>147</v>
      </c>
      <c r="F8" s="5" t="s">
        <v>225</v>
      </c>
    </row>
    <row r="9" spans="1:6" x14ac:dyDescent="0.25">
      <c r="A9" s="5" t="s">
        <v>56</v>
      </c>
      <c r="B9" s="2" t="s">
        <v>103</v>
      </c>
      <c r="C9" s="9" t="s">
        <v>71</v>
      </c>
      <c r="D9" s="3" t="s">
        <v>125</v>
      </c>
      <c r="E9" s="2" t="s">
        <v>147</v>
      </c>
      <c r="F9" s="5" t="s">
        <v>225</v>
      </c>
    </row>
    <row r="10" spans="1:6" x14ac:dyDescent="0.25">
      <c r="A10" t="s">
        <v>71</v>
      </c>
      <c r="B10" s="9" t="s">
        <v>96</v>
      </c>
      <c r="C10" s="9" t="s">
        <v>71</v>
      </c>
      <c r="D10" s="3" t="s">
        <v>125</v>
      </c>
      <c r="E10" s="9" t="s">
        <v>143</v>
      </c>
      <c r="F10" s="5" t="s">
        <v>225</v>
      </c>
    </row>
    <row r="11" spans="1:6" x14ac:dyDescent="0.25">
      <c r="A11" s="3" t="s">
        <v>69</v>
      </c>
      <c r="B11" s="9" t="s">
        <v>96</v>
      </c>
      <c r="C11" s="9" t="s">
        <v>71</v>
      </c>
      <c r="D11" s="3" t="s">
        <v>125</v>
      </c>
      <c r="E11" s="9" t="s">
        <v>143</v>
      </c>
      <c r="F11" s="5" t="s">
        <v>225</v>
      </c>
    </row>
    <row r="12" spans="1:6" x14ac:dyDescent="0.25">
      <c r="A12" s="3" t="s">
        <v>69</v>
      </c>
      <c r="B12" s="9" t="s">
        <v>96</v>
      </c>
      <c r="C12" t="s">
        <v>115</v>
      </c>
      <c r="D12" s="3" t="s">
        <v>125</v>
      </c>
      <c r="E12" s="9" t="s">
        <v>143</v>
      </c>
      <c r="F12" s="5" t="s">
        <v>225</v>
      </c>
    </row>
    <row r="13" spans="1:6" x14ac:dyDescent="0.25">
      <c r="A13" s="3" t="s">
        <v>69</v>
      </c>
      <c r="B13" s="9" t="s">
        <v>96</v>
      </c>
      <c r="C13" s="3" t="s">
        <v>107</v>
      </c>
      <c r="D13" s="2" t="s">
        <v>8</v>
      </c>
      <c r="E13" s="9" t="s">
        <v>143</v>
      </c>
      <c r="F13" s="5" t="s">
        <v>225</v>
      </c>
    </row>
    <row r="14" spans="1:6" x14ac:dyDescent="0.25">
      <c r="A14" s="3" t="s">
        <v>69</v>
      </c>
      <c r="B14" s="9" t="s">
        <v>96</v>
      </c>
      <c r="C14" s="3" t="s">
        <v>107</v>
      </c>
      <c r="D14" s="2" t="s">
        <v>8</v>
      </c>
      <c r="E14" s="9" t="s">
        <v>143</v>
      </c>
      <c r="F14" s="5" t="s">
        <v>225</v>
      </c>
    </row>
    <row r="15" spans="1:6" x14ac:dyDescent="0.25">
      <c r="A15" s="3" t="s">
        <v>69</v>
      </c>
      <c r="B15" s="9" t="s">
        <v>96</v>
      </c>
      <c r="C15" s="3" t="s">
        <v>107</v>
      </c>
      <c r="D15" s="2" t="s">
        <v>8</v>
      </c>
      <c r="E15" s="5" t="s">
        <v>144</v>
      </c>
      <c r="F15" s="5" t="s">
        <v>225</v>
      </c>
    </row>
    <row r="16" spans="1:6" x14ac:dyDescent="0.25">
      <c r="A16" s="9" t="s">
        <v>77</v>
      </c>
      <c r="B16" s="3" t="s">
        <v>89</v>
      </c>
      <c r="C16" s="3" t="s">
        <v>107</v>
      </c>
      <c r="D16" s="2" t="s">
        <v>8</v>
      </c>
      <c r="E16" s="5" t="s">
        <v>144</v>
      </c>
      <c r="F16" s="5" t="s">
        <v>225</v>
      </c>
    </row>
    <row r="17" spans="1:6" x14ac:dyDescent="0.25">
      <c r="A17" s="9" t="s">
        <v>77</v>
      </c>
      <c r="B17" s="3" t="s">
        <v>89</v>
      </c>
      <c r="C17" s="3" t="s">
        <v>107</v>
      </c>
      <c r="D17" s="2" t="s">
        <v>8</v>
      </c>
      <c r="E17" s="3" t="s">
        <v>141</v>
      </c>
      <c r="F17" s="5" t="s">
        <v>225</v>
      </c>
    </row>
    <row r="18" spans="1:6" x14ac:dyDescent="0.25">
      <c r="A18" s="9" t="s">
        <v>77</v>
      </c>
      <c r="B18" s="3" t="s">
        <v>89</v>
      </c>
      <c r="C18" s="3" t="s">
        <v>107</v>
      </c>
      <c r="D18" s="2" t="s">
        <v>8</v>
      </c>
      <c r="E18" s="3" t="s">
        <v>141</v>
      </c>
      <c r="F18" s="5" t="s">
        <v>225</v>
      </c>
    </row>
    <row r="19" spans="1:6" x14ac:dyDescent="0.25">
      <c r="A19" s="9" t="s">
        <v>77</v>
      </c>
      <c r="B19" s="3" t="s">
        <v>89</v>
      </c>
      <c r="C19" s="3" t="s">
        <v>107</v>
      </c>
      <c r="D19" s="2" t="s">
        <v>8</v>
      </c>
      <c r="E19" s="3" t="s">
        <v>141</v>
      </c>
      <c r="F19" s="5" t="s">
        <v>225</v>
      </c>
    </row>
    <row r="20" spans="1:6" x14ac:dyDescent="0.25">
      <c r="A20" s="9" t="s">
        <v>77</v>
      </c>
      <c r="B20" s="3" t="s">
        <v>89</v>
      </c>
      <c r="C20" s="3" t="s">
        <v>107</v>
      </c>
      <c r="D20" s="2" t="s">
        <v>8</v>
      </c>
      <c r="E20" s="3" t="s">
        <v>141</v>
      </c>
      <c r="F20" s="5" t="s">
        <v>225</v>
      </c>
    </row>
    <row r="21" spans="1:6" x14ac:dyDescent="0.25">
      <c r="A21" s="9" t="s">
        <v>77</v>
      </c>
      <c r="B21" s="3" t="s">
        <v>89</v>
      </c>
      <c r="C21" s="3" t="s">
        <v>107</v>
      </c>
      <c r="D21" s="2" t="s">
        <v>8</v>
      </c>
      <c r="E21" s="3" t="s">
        <v>141</v>
      </c>
      <c r="F21" s="5" t="s">
        <v>226</v>
      </c>
    </row>
    <row r="22" spans="1:6" x14ac:dyDescent="0.25">
      <c r="A22" s="9" t="s">
        <v>77</v>
      </c>
      <c r="B22" s="3" t="s">
        <v>89</v>
      </c>
      <c r="C22" s="3" t="s">
        <v>107</v>
      </c>
      <c r="D22" s="2" t="s">
        <v>8</v>
      </c>
      <c r="E22" s="3" t="s">
        <v>141</v>
      </c>
      <c r="F22" s="5" t="s">
        <v>226</v>
      </c>
    </row>
    <row r="23" spans="1:6" x14ac:dyDescent="0.25">
      <c r="A23" s="9" t="s">
        <v>77</v>
      </c>
      <c r="B23" s="3" t="s">
        <v>89</v>
      </c>
      <c r="C23" s="3" t="s">
        <v>107</v>
      </c>
      <c r="D23" s="2" t="s">
        <v>8</v>
      </c>
      <c r="E23" s="5" t="s">
        <v>142</v>
      </c>
      <c r="F23" s="5" t="s">
        <v>226</v>
      </c>
    </row>
    <row r="24" spans="1:6" x14ac:dyDescent="0.25">
      <c r="A24" s="9" t="s">
        <v>77</v>
      </c>
      <c r="B24" s="3" t="s">
        <v>89</v>
      </c>
      <c r="C24" s="3" t="s">
        <v>107</v>
      </c>
      <c r="D24" s="2" t="s">
        <v>8</v>
      </c>
      <c r="E24" s="5" t="s">
        <v>139</v>
      </c>
      <c r="F24" s="5" t="s">
        <v>226</v>
      </c>
    </row>
    <row r="25" spans="1:6" x14ac:dyDescent="0.25">
      <c r="A25" s="9" t="s">
        <v>77</v>
      </c>
      <c r="B25" s="3" t="s">
        <v>89</v>
      </c>
      <c r="C25" s="3" t="s">
        <v>107</v>
      </c>
      <c r="D25" s="2" t="s">
        <v>8</v>
      </c>
      <c r="E25" s="2" t="s">
        <v>33</v>
      </c>
      <c r="F25" s="5" t="s">
        <v>226</v>
      </c>
    </row>
    <row r="26" spans="1:6" x14ac:dyDescent="0.25">
      <c r="A26" s="9" t="s">
        <v>77</v>
      </c>
      <c r="B26" s="3" t="s">
        <v>89</v>
      </c>
      <c r="C26" s="2" t="s">
        <v>101</v>
      </c>
      <c r="D26" s="9" t="s">
        <v>129</v>
      </c>
      <c r="E26" s="2" t="s">
        <v>33</v>
      </c>
      <c r="F26" s="5" t="s">
        <v>226</v>
      </c>
    </row>
    <row r="27" spans="1:6" x14ac:dyDescent="0.25">
      <c r="A27" s="9" t="s">
        <v>77</v>
      </c>
      <c r="B27" s="3" t="s">
        <v>89</v>
      </c>
      <c r="C27" s="2" t="s">
        <v>101</v>
      </c>
      <c r="D27" s="9" t="s">
        <v>129</v>
      </c>
      <c r="E27" s="2" t="s">
        <v>33</v>
      </c>
      <c r="F27" s="5" t="s">
        <v>226</v>
      </c>
    </row>
    <row r="28" spans="1:6" x14ac:dyDescent="0.25">
      <c r="A28" s="2" t="s">
        <v>58</v>
      </c>
      <c r="B28" s="3" t="s">
        <v>89</v>
      </c>
      <c r="C28" s="2" t="s">
        <v>101</v>
      </c>
      <c r="D28" s="9" t="s">
        <v>129</v>
      </c>
      <c r="E28" s="2" t="s">
        <v>33</v>
      </c>
      <c r="F28" s="5" t="s">
        <v>226</v>
      </c>
    </row>
    <row r="29" spans="1:6" x14ac:dyDescent="0.25">
      <c r="A29" s="2" t="s">
        <v>58</v>
      </c>
      <c r="B29" s="2" t="s">
        <v>90</v>
      </c>
      <c r="C29" s="2" t="s">
        <v>101</v>
      </c>
      <c r="D29" s="9" t="s">
        <v>129</v>
      </c>
      <c r="E29" s="2" t="s">
        <v>33</v>
      </c>
      <c r="F29" s="5" t="s">
        <v>226</v>
      </c>
    </row>
    <row r="30" spans="1:6" x14ac:dyDescent="0.25">
      <c r="A30" s="2" t="s">
        <v>58</v>
      </c>
      <c r="B30" s="2" t="s">
        <v>90</v>
      </c>
      <c r="C30" s="2" t="s">
        <v>101</v>
      </c>
      <c r="D30" s="9" t="s">
        <v>129</v>
      </c>
      <c r="E30" s="2" t="s">
        <v>33</v>
      </c>
      <c r="F30" s="5" t="s">
        <v>226</v>
      </c>
    </row>
    <row r="31" spans="1:6" x14ac:dyDescent="0.25">
      <c r="A31" s="2" t="s">
        <v>58</v>
      </c>
      <c r="B31" s="2" t="s">
        <v>90</v>
      </c>
      <c r="C31" s="2" t="s">
        <v>101</v>
      </c>
      <c r="D31" s="3" t="s">
        <v>126</v>
      </c>
      <c r="E31" s="2" t="s">
        <v>33</v>
      </c>
      <c r="F31" s="5" t="s">
        <v>226</v>
      </c>
    </row>
    <row r="32" spans="1:6" x14ac:dyDescent="0.25">
      <c r="A32" s="2" t="s">
        <v>58</v>
      </c>
      <c r="B32" s="2" t="s">
        <v>90</v>
      </c>
      <c r="C32" s="2" t="s">
        <v>101</v>
      </c>
      <c r="D32" s="3" t="s">
        <v>126</v>
      </c>
      <c r="E32" s="2" t="s">
        <v>33</v>
      </c>
      <c r="F32" s="5" t="s">
        <v>226</v>
      </c>
    </row>
    <row r="33" spans="1:6" x14ac:dyDescent="0.25">
      <c r="A33" s="2" t="s">
        <v>58</v>
      </c>
      <c r="B33" s="2" t="s">
        <v>90</v>
      </c>
      <c r="C33" s="2" t="s">
        <v>101</v>
      </c>
      <c r="D33" s="3" t="s">
        <v>126</v>
      </c>
      <c r="E33" s="2" t="s">
        <v>33</v>
      </c>
      <c r="F33" s="5" t="s">
        <v>226</v>
      </c>
    </row>
    <row r="34" spans="1:6" x14ac:dyDescent="0.25">
      <c r="A34" s="2" t="s">
        <v>58</v>
      </c>
      <c r="B34" s="2" t="s">
        <v>90</v>
      </c>
      <c r="C34" s="2" t="s">
        <v>101</v>
      </c>
      <c r="D34" s="3" t="s">
        <v>126</v>
      </c>
      <c r="E34" s="2" t="s">
        <v>33</v>
      </c>
      <c r="F34" s="5" t="s">
        <v>226</v>
      </c>
    </row>
    <row r="35" spans="1:6" x14ac:dyDescent="0.25">
      <c r="A35" s="2" t="s">
        <v>58</v>
      </c>
      <c r="B35" s="2" t="s">
        <v>90</v>
      </c>
      <c r="C35" s="2" t="s">
        <v>101</v>
      </c>
      <c r="D35" s="3" t="s">
        <v>126</v>
      </c>
      <c r="E35" s="2" t="s">
        <v>33</v>
      </c>
      <c r="F35" s="5" t="s">
        <v>228</v>
      </c>
    </row>
    <row r="36" spans="1:6" x14ac:dyDescent="0.25">
      <c r="A36" s="2" t="s">
        <v>58</v>
      </c>
      <c r="B36" s="2" t="s">
        <v>90</v>
      </c>
      <c r="C36" s="2" t="s">
        <v>101</v>
      </c>
      <c r="D36" s="3" t="s">
        <v>126</v>
      </c>
      <c r="E36" s="2" t="s">
        <v>33</v>
      </c>
      <c r="F36" s="5" t="s">
        <v>228</v>
      </c>
    </row>
    <row r="37" spans="1:6" x14ac:dyDescent="0.25">
      <c r="A37" s="2" t="s">
        <v>58</v>
      </c>
      <c r="B37" s="2" t="s">
        <v>90</v>
      </c>
      <c r="C37" s="2" t="s">
        <v>101</v>
      </c>
      <c r="D37" s="5" t="s">
        <v>47</v>
      </c>
      <c r="E37" s="2" t="s">
        <v>33</v>
      </c>
      <c r="F37" s="5" t="s">
        <v>228</v>
      </c>
    </row>
    <row r="38" spans="1:6" x14ac:dyDescent="0.25">
      <c r="A38" s="2" t="s">
        <v>58</v>
      </c>
      <c r="B38" s="2" t="s">
        <v>90</v>
      </c>
      <c r="C38" s="2" t="s">
        <v>101</v>
      </c>
      <c r="D38" t="s">
        <v>47</v>
      </c>
      <c r="E38" s="2" t="s">
        <v>33</v>
      </c>
      <c r="F38" s="5" t="s">
        <v>228</v>
      </c>
    </row>
    <row r="39" spans="1:6" x14ac:dyDescent="0.25">
      <c r="A39" s="2" t="s">
        <v>58</v>
      </c>
      <c r="B39" s="2" t="s">
        <v>90</v>
      </c>
      <c r="C39" s="2" t="s">
        <v>101</v>
      </c>
      <c r="D39" s="2" t="s">
        <v>42</v>
      </c>
      <c r="E39" s="2" t="s">
        <v>33</v>
      </c>
      <c r="F39" s="5" t="s">
        <v>229</v>
      </c>
    </row>
    <row r="40" spans="1:6" x14ac:dyDescent="0.25">
      <c r="A40" s="2" t="s">
        <v>58</v>
      </c>
      <c r="B40" s="2" t="s">
        <v>90</v>
      </c>
      <c r="C40" s="2" t="s">
        <v>101</v>
      </c>
      <c r="D40" s="2" t="s">
        <v>42</v>
      </c>
      <c r="E40" s="2" t="s">
        <v>33</v>
      </c>
      <c r="F40" s="5" t="s">
        <v>234</v>
      </c>
    </row>
    <row r="41" spans="1:6" x14ac:dyDescent="0.25">
      <c r="A41" s="9" t="s">
        <v>55</v>
      </c>
      <c r="B41" s="2" t="s">
        <v>90</v>
      </c>
      <c r="C41" s="2" t="s">
        <v>101</v>
      </c>
      <c r="D41" s="2" t="s">
        <v>42</v>
      </c>
      <c r="E41" s="2" t="s">
        <v>33</v>
      </c>
      <c r="F41" s="5" t="s">
        <v>234</v>
      </c>
    </row>
    <row r="42" spans="1:6" x14ac:dyDescent="0.25">
      <c r="A42" s="9" t="s">
        <v>55</v>
      </c>
      <c r="B42" s="2" t="s">
        <v>90</v>
      </c>
      <c r="C42" s="2" t="s">
        <v>101</v>
      </c>
      <c r="D42" s="2" t="s">
        <v>42</v>
      </c>
      <c r="E42" s="2" t="s">
        <v>33</v>
      </c>
      <c r="F42" s="5" t="s">
        <v>223</v>
      </c>
    </row>
    <row r="43" spans="1:6" x14ac:dyDescent="0.25">
      <c r="A43" s="9" t="s">
        <v>55</v>
      </c>
      <c r="B43" s="9" t="s">
        <v>1</v>
      </c>
      <c r="C43" s="2" t="s">
        <v>101</v>
      </c>
      <c r="D43" s="9" t="s">
        <v>10</v>
      </c>
      <c r="E43" s="9" t="s">
        <v>109</v>
      </c>
      <c r="F43" s="5" t="s">
        <v>223</v>
      </c>
    </row>
    <row r="44" spans="1:6" x14ac:dyDescent="0.25">
      <c r="A44" s="9" t="s">
        <v>55</v>
      </c>
      <c r="B44" s="9" t="s">
        <v>1</v>
      </c>
      <c r="C44" t="s">
        <v>117</v>
      </c>
      <c r="D44" s="9" t="s">
        <v>10</v>
      </c>
      <c r="E44" s="9" t="s">
        <v>109</v>
      </c>
      <c r="F44" s="5" t="s">
        <v>223</v>
      </c>
    </row>
    <row r="45" spans="1:6" x14ac:dyDescent="0.25">
      <c r="A45" s="9" t="s">
        <v>55</v>
      </c>
      <c r="B45" s="9" t="s">
        <v>1</v>
      </c>
      <c r="C45" s="9" t="s">
        <v>93</v>
      </c>
      <c r="D45" s="9" t="s">
        <v>10</v>
      </c>
      <c r="E45" s="9" t="s">
        <v>109</v>
      </c>
      <c r="F45" s="5" t="s">
        <v>223</v>
      </c>
    </row>
    <row r="46" spans="1:6" x14ac:dyDescent="0.25">
      <c r="A46" s="9" t="s">
        <v>55</v>
      </c>
      <c r="B46" s="9" t="s">
        <v>1</v>
      </c>
      <c r="C46" s="9" t="s">
        <v>93</v>
      </c>
      <c r="D46" s="9" t="s">
        <v>10</v>
      </c>
      <c r="E46" s="3" t="s">
        <v>72</v>
      </c>
      <c r="F46" s="5" t="s">
        <v>223</v>
      </c>
    </row>
    <row r="47" spans="1:6" x14ac:dyDescent="0.25">
      <c r="A47" s="9" t="s">
        <v>55</v>
      </c>
      <c r="B47" s="3" t="s">
        <v>101</v>
      </c>
      <c r="C47" s="9" t="s">
        <v>93</v>
      </c>
      <c r="D47" s="3" t="s">
        <v>131</v>
      </c>
      <c r="E47" s="3" t="s">
        <v>72</v>
      </c>
      <c r="F47" s="5" t="s">
        <v>227</v>
      </c>
    </row>
    <row r="48" spans="1:6" x14ac:dyDescent="0.25">
      <c r="A48" s="9" t="s">
        <v>55</v>
      </c>
      <c r="B48" s="3" t="s">
        <v>101</v>
      </c>
      <c r="C48" s="9" t="s">
        <v>93</v>
      </c>
      <c r="D48" s="3" t="s">
        <v>131</v>
      </c>
      <c r="E48" s="3" t="s">
        <v>72</v>
      </c>
      <c r="F48" s="5" t="s">
        <v>227</v>
      </c>
    </row>
    <row r="49" spans="1:6" x14ac:dyDescent="0.25">
      <c r="A49" s="9" t="s">
        <v>55</v>
      </c>
      <c r="B49" s="3" t="s">
        <v>101</v>
      </c>
      <c r="C49" s="9" t="s">
        <v>93</v>
      </c>
      <c r="D49" s="3" t="s">
        <v>131</v>
      </c>
      <c r="E49" s="2" t="s">
        <v>137</v>
      </c>
      <c r="F49" s="5" t="s">
        <v>227</v>
      </c>
    </row>
    <row r="50" spans="1:6" x14ac:dyDescent="0.25">
      <c r="A50" s="9" t="s">
        <v>55</v>
      </c>
      <c r="B50" s="3" t="s">
        <v>101</v>
      </c>
      <c r="C50" s="9" t="s">
        <v>93</v>
      </c>
      <c r="D50" s="2" t="s">
        <v>46</v>
      </c>
      <c r="E50" s="2" t="s">
        <v>137</v>
      </c>
      <c r="F50" s="5" t="s">
        <v>227</v>
      </c>
    </row>
    <row r="51" spans="1:6" x14ac:dyDescent="0.25">
      <c r="A51" s="9" t="s">
        <v>55</v>
      </c>
      <c r="B51" s="3" t="s">
        <v>101</v>
      </c>
      <c r="C51" s="9" t="s">
        <v>93</v>
      </c>
      <c r="D51" s="2" t="s">
        <v>46</v>
      </c>
      <c r="E51" s="2" t="s">
        <v>137</v>
      </c>
      <c r="F51" s="5" t="s">
        <v>231</v>
      </c>
    </row>
    <row r="52" spans="1:6" x14ac:dyDescent="0.25">
      <c r="A52" s="9" t="s">
        <v>55</v>
      </c>
      <c r="B52" s="3" t="s">
        <v>101</v>
      </c>
      <c r="C52" s="9" t="s">
        <v>93</v>
      </c>
      <c r="D52" s="2" t="s">
        <v>46</v>
      </c>
      <c r="E52" s="2" t="s">
        <v>137</v>
      </c>
      <c r="F52" s="5" t="s">
        <v>231</v>
      </c>
    </row>
    <row r="53" spans="1:6" x14ac:dyDescent="0.25">
      <c r="A53" s="9" t="s">
        <v>55</v>
      </c>
      <c r="B53" s="3" t="s">
        <v>101</v>
      </c>
      <c r="C53" s="9" t="s">
        <v>93</v>
      </c>
      <c r="D53" s="2" t="s">
        <v>46</v>
      </c>
      <c r="E53" s="2" t="s">
        <v>137</v>
      </c>
      <c r="F53" s="5" t="s">
        <v>231</v>
      </c>
    </row>
    <row r="54" spans="1:6" x14ac:dyDescent="0.25">
      <c r="A54" s="9" t="s">
        <v>55</v>
      </c>
      <c r="B54" s="3" t="s">
        <v>101</v>
      </c>
      <c r="C54" s="9" t="s">
        <v>93</v>
      </c>
      <c r="D54" s="2" t="s">
        <v>46</v>
      </c>
      <c r="E54" s="2" t="s">
        <v>137</v>
      </c>
      <c r="F54" s="5" t="s">
        <v>231</v>
      </c>
    </row>
    <row r="55" spans="1:6" x14ac:dyDescent="0.25">
      <c r="A55" s="9" t="s">
        <v>55</v>
      </c>
      <c r="B55" s="2" t="s">
        <v>93</v>
      </c>
      <c r="C55" s="9" t="s">
        <v>93</v>
      </c>
      <c r="D55" s="2" t="s">
        <v>46</v>
      </c>
      <c r="E55" s="2" t="s">
        <v>137</v>
      </c>
      <c r="F55" s="5" t="s">
        <v>231</v>
      </c>
    </row>
    <row r="56" spans="1:6" x14ac:dyDescent="0.25">
      <c r="A56" s="9" t="s">
        <v>55</v>
      </c>
      <c r="B56" s="2" t="s">
        <v>93</v>
      </c>
      <c r="C56" s="9" t="s">
        <v>93</v>
      </c>
      <c r="D56" s="2" t="s">
        <v>46</v>
      </c>
      <c r="E56" s="2" t="s">
        <v>137</v>
      </c>
      <c r="F56" s="5" t="s">
        <v>231</v>
      </c>
    </row>
    <row r="57" spans="1:6" x14ac:dyDescent="0.25">
      <c r="A57" s="9" t="s">
        <v>55</v>
      </c>
      <c r="B57" s="2" t="s">
        <v>93</v>
      </c>
      <c r="C57" s="9" t="s">
        <v>93</v>
      </c>
      <c r="D57" s="2" t="s">
        <v>46</v>
      </c>
      <c r="E57" s="9" t="s">
        <v>111</v>
      </c>
      <c r="F57" s="5" t="s">
        <v>231</v>
      </c>
    </row>
    <row r="58" spans="1:6" x14ac:dyDescent="0.25">
      <c r="A58" s="3" t="s">
        <v>67</v>
      </c>
      <c r="B58" s="2" t="s">
        <v>93</v>
      </c>
      <c r="C58" s="9" t="s">
        <v>93</v>
      </c>
      <c r="D58" s="2" t="s">
        <v>46</v>
      </c>
      <c r="E58" s="9" t="s">
        <v>111</v>
      </c>
      <c r="F58" s="5" t="s">
        <v>149</v>
      </c>
    </row>
    <row r="59" spans="1:6" x14ac:dyDescent="0.25">
      <c r="A59" s="3" t="s">
        <v>67</v>
      </c>
      <c r="B59" s="2" t="s">
        <v>93</v>
      </c>
      <c r="C59" s="3" t="s">
        <v>57</v>
      </c>
      <c r="D59" s="2" t="s">
        <v>46</v>
      </c>
      <c r="E59" s="9" t="s">
        <v>111</v>
      </c>
      <c r="F59" s="5" t="s">
        <v>149</v>
      </c>
    </row>
    <row r="60" spans="1:6" x14ac:dyDescent="0.25">
      <c r="A60" s="3" t="s">
        <v>67</v>
      </c>
      <c r="B60" s="2" t="s">
        <v>93</v>
      </c>
      <c r="C60" s="3" t="s">
        <v>57</v>
      </c>
      <c r="D60" s="2" t="s">
        <v>46</v>
      </c>
      <c r="E60" s="9" t="s">
        <v>111</v>
      </c>
      <c r="F60" s="5" t="s">
        <v>149</v>
      </c>
    </row>
    <row r="61" spans="1:6" x14ac:dyDescent="0.25">
      <c r="A61" s="3" t="s">
        <v>67</v>
      </c>
      <c r="B61" s="2" t="s">
        <v>93</v>
      </c>
      <c r="C61" s="3" t="s">
        <v>57</v>
      </c>
      <c r="D61" s="2" t="s">
        <v>46</v>
      </c>
      <c r="E61" s="9" t="s">
        <v>111</v>
      </c>
      <c r="F61" s="5" t="s">
        <v>149</v>
      </c>
    </row>
    <row r="62" spans="1:6" x14ac:dyDescent="0.25">
      <c r="A62" s="3" t="s">
        <v>67</v>
      </c>
      <c r="B62" s="2" t="s">
        <v>93</v>
      </c>
      <c r="C62" s="3" t="s">
        <v>57</v>
      </c>
      <c r="D62" s="2" t="s">
        <v>46</v>
      </c>
      <c r="E62" s="9" t="s">
        <v>111</v>
      </c>
      <c r="F62" s="5" t="s">
        <v>149</v>
      </c>
    </row>
    <row r="63" spans="1:6" x14ac:dyDescent="0.25">
      <c r="A63" s="3" t="s">
        <v>67</v>
      </c>
      <c r="B63" s="2" t="s">
        <v>93</v>
      </c>
      <c r="C63" s="3" t="s">
        <v>57</v>
      </c>
      <c r="D63" s="2" t="s">
        <v>46</v>
      </c>
      <c r="E63" s="9" t="s">
        <v>111</v>
      </c>
      <c r="F63" s="5" t="s">
        <v>224</v>
      </c>
    </row>
    <row r="64" spans="1:6" x14ac:dyDescent="0.25">
      <c r="A64" s="3" t="s">
        <v>67</v>
      </c>
      <c r="B64" s="2" t="s">
        <v>93</v>
      </c>
      <c r="C64" s="3" t="s">
        <v>57</v>
      </c>
      <c r="D64" s="2" t="s">
        <v>46</v>
      </c>
      <c r="E64" s="9" t="s">
        <v>111</v>
      </c>
      <c r="F64" s="5" t="s">
        <v>235</v>
      </c>
    </row>
    <row r="65" spans="1:6" x14ac:dyDescent="0.25">
      <c r="A65" s="3" t="s">
        <v>67</v>
      </c>
      <c r="B65" s="2" t="s">
        <v>93</v>
      </c>
      <c r="C65" s="3" t="s">
        <v>57</v>
      </c>
      <c r="D65" s="2" t="s">
        <v>46</v>
      </c>
      <c r="E65" s="9" t="s">
        <v>111</v>
      </c>
      <c r="F65" s="5" t="s">
        <v>232</v>
      </c>
    </row>
    <row r="66" spans="1:6" x14ac:dyDescent="0.25">
      <c r="A66" s="5" t="s">
        <v>75</v>
      </c>
      <c r="B66" s="2" t="s">
        <v>93</v>
      </c>
      <c r="C66" s="3" t="s">
        <v>57</v>
      </c>
      <c r="D66" s="2" t="s">
        <v>46</v>
      </c>
      <c r="E66" s="9" t="s">
        <v>111</v>
      </c>
      <c r="F66" s="5" t="s">
        <v>232</v>
      </c>
    </row>
    <row r="67" spans="1:6" x14ac:dyDescent="0.25">
      <c r="A67" s="5" t="s">
        <v>75</v>
      </c>
      <c r="B67" s="2" t="s">
        <v>93</v>
      </c>
      <c r="C67" s="3" t="s">
        <v>57</v>
      </c>
      <c r="D67" s="2" t="s">
        <v>46</v>
      </c>
      <c r="E67" s="9" t="s">
        <v>111</v>
      </c>
      <c r="F67" s="5" t="s">
        <v>232</v>
      </c>
    </row>
    <row r="68" spans="1:6" x14ac:dyDescent="0.25">
      <c r="A68" s="9" t="s">
        <v>57</v>
      </c>
      <c r="B68" s="2" t="s">
        <v>93</v>
      </c>
      <c r="C68" s="3" t="s">
        <v>57</v>
      </c>
      <c r="D68" s="9" t="s">
        <v>132</v>
      </c>
      <c r="E68" s="9" t="s">
        <v>111</v>
      </c>
    </row>
    <row r="69" spans="1:6" x14ac:dyDescent="0.25">
      <c r="A69" s="9" t="s">
        <v>57</v>
      </c>
      <c r="B69" s="2" t="s">
        <v>93</v>
      </c>
      <c r="C69" s="3" t="s">
        <v>57</v>
      </c>
      <c r="D69" s="9" t="s">
        <v>132</v>
      </c>
      <c r="E69" s="9" t="s">
        <v>111</v>
      </c>
    </row>
    <row r="70" spans="1:6" x14ac:dyDescent="0.25">
      <c r="A70" s="9" t="s">
        <v>57</v>
      </c>
      <c r="B70" s="2" t="s">
        <v>93</v>
      </c>
      <c r="C70" s="3" t="s">
        <v>57</v>
      </c>
      <c r="D70" s="9" t="s">
        <v>132</v>
      </c>
      <c r="E70" s="9" t="s">
        <v>111</v>
      </c>
    </row>
    <row r="71" spans="1:6" x14ac:dyDescent="0.25">
      <c r="A71" s="9" t="s">
        <v>57</v>
      </c>
      <c r="B71" s="2" t="s">
        <v>93</v>
      </c>
      <c r="C71" s="2" t="s">
        <v>109</v>
      </c>
      <c r="D71" s="9" t="s">
        <v>132</v>
      </c>
      <c r="E71" s="9" t="s">
        <v>111</v>
      </c>
    </row>
    <row r="72" spans="1:6" x14ac:dyDescent="0.25">
      <c r="A72" s="9" t="s">
        <v>57</v>
      </c>
      <c r="B72" s="2" t="s">
        <v>93</v>
      </c>
      <c r="C72" s="2" t="s">
        <v>109</v>
      </c>
      <c r="D72" s="9" t="s">
        <v>132</v>
      </c>
      <c r="E72" s="9" t="s">
        <v>111</v>
      </c>
    </row>
    <row r="73" spans="1:6" x14ac:dyDescent="0.25">
      <c r="A73" s="9" t="s">
        <v>57</v>
      </c>
      <c r="B73" s="2" t="s">
        <v>93</v>
      </c>
      <c r="C73" s="2" t="s">
        <v>109</v>
      </c>
      <c r="D73" s="9" t="s">
        <v>132</v>
      </c>
      <c r="E73" s="9" t="s">
        <v>111</v>
      </c>
    </row>
    <row r="74" spans="1:6" x14ac:dyDescent="0.25">
      <c r="A74" s="9" t="s">
        <v>57</v>
      </c>
      <c r="B74" s="2" t="s">
        <v>93</v>
      </c>
      <c r="C74" s="2" t="s">
        <v>109</v>
      </c>
      <c r="D74" s="9" t="s">
        <v>132</v>
      </c>
      <c r="E74" s="9" t="s">
        <v>111</v>
      </c>
    </row>
    <row r="75" spans="1:6" x14ac:dyDescent="0.25">
      <c r="A75" s="9" t="s">
        <v>57</v>
      </c>
      <c r="B75" s="2" t="s">
        <v>93</v>
      </c>
      <c r="C75" s="2" t="s">
        <v>109</v>
      </c>
      <c r="D75" s="9" t="s">
        <v>132</v>
      </c>
      <c r="E75" s="9" t="s">
        <v>111</v>
      </c>
    </row>
    <row r="76" spans="1:6" x14ac:dyDescent="0.25">
      <c r="A76" s="5" t="s">
        <v>80</v>
      </c>
      <c r="B76" s="2" t="s">
        <v>93</v>
      </c>
      <c r="C76" s="2" t="s">
        <v>109</v>
      </c>
      <c r="D76" s="9" t="s">
        <v>132</v>
      </c>
      <c r="E76" s="9" t="s">
        <v>111</v>
      </c>
    </row>
    <row r="77" spans="1:6" x14ac:dyDescent="0.25">
      <c r="A77" s="5" t="s">
        <v>74</v>
      </c>
      <c r="B77" s="2" t="s">
        <v>93</v>
      </c>
      <c r="C77" s="2" t="s">
        <v>109</v>
      </c>
      <c r="D77" s="3" t="s">
        <v>33</v>
      </c>
      <c r="E77" s="9" t="s">
        <v>111</v>
      </c>
    </row>
    <row r="78" spans="1:6" x14ac:dyDescent="0.25">
      <c r="A78" s="2" t="s">
        <v>62</v>
      </c>
      <c r="B78" s="2" t="s">
        <v>93</v>
      </c>
      <c r="C78" s="2" t="s">
        <v>109</v>
      </c>
      <c r="D78" s="3" t="s">
        <v>33</v>
      </c>
      <c r="E78" s="9" t="s">
        <v>111</v>
      </c>
    </row>
    <row r="79" spans="1:6" x14ac:dyDescent="0.25">
      <c r="A79" s="2" t="s">
        <v>62</v>
      </c>
      <c r="B79" s="2" t="s">
        <v>93</v>
      </c>
      <c r="C79" s="2" t="s">
        <v>109</v>
      </c>
      <c r="D79" s="3" t="s">
        <v>33</v>
      </c>
      <c r="E79" s="9" t="s">
        <v>111</v>
      </c>
    </row>
    <row r="80" spans="1:6" x14ac:dyDescent="0.25">
      <c r="A80" s="2" t="s">
        <v>62</v>
      </c>
      <c r="B80" s="2" t="s">
        <v>93</v>
      </c>
      <c r="C80" s="2" t="s">
        <v>109</v>
      </c>
      <c r="D80" s="3" t="s">
        <v>33</v>
      </c>
      <c r="E80" s="3" t="s">
        <v>140</v>
      </c>
    </row>
    <row r="81" spans="1:5" x14ac:dyDescent="0.25">
      <c r="A81" s="2" t="s">
        <v>62</v>
      </c>
      <c r="B81" s="2" t="s">
        <v>93</v>
      </c>
      <c r="C81" s="2" t="s">
        <v>109</v>
      </c>
      <c r="D81" s="3" t="s">
        <v>33</v>
      </c>
      <c r="E81" s="3" t="s">
        <v>140</v>
      </c>
    </row>
    <row r="82" spans="1:5" x14ac:dyDescent="0.25">
      <c r="A82" s="2" t="s">
        <v>62</v>
      </c>
      <c r="B82" s="2" t="s">
        <v>93</v>
      </c>
      <c r="C82" s="2" t="s">
        <v>109</v>
      </c>
      <c r="D82" s="3" t="s">
        <v>33</v>
      </c>
      <c r="E82" s="3" t="s">
        <v>140</v>
      </c>
    </row>
    <row r="83" spans="1:5" x14ac:dyDescent="0.25">
      <c r="A83" s="2" t="s">
        <v>62</v>
      </c>
      <c r="B83" s="2" t="s">
        <v>93</v>
      </c>
      <c r="C83" s="2" t="s">
        <v>109</v>
      </c>
      <c r="D83" s="3" t="s">
        <v>33</v>
      </c>
      <c r="E83" s="3" t="s">
        <v>140</v>
      </c>
    </row>
    <row r="84" spans="1:5" x14ac:dyDescent="0.25">
      <c r="A84" s="2" t="s">
        <v>62</v>
      </c>
      <c r="B84" s="2" t="s">
        <v>93</v>
      </c>
      <c r="C84" s="2" t="s">
        <v>109</v>
      </c>
      <c r="D84" s="3" t="s">
        <v>33</v>
      </c>
      <c r="E84" s="3" t="s">
        <v>140</v>
      </c>
    </row>
    <row r="85" spans="1:5" x14ac:dyDescent="0.25">
      <c r="A85" s="2" t="s">
        <v>62</v>
      </c>
      <c r="B85" s="2" t="s">
        <v>93</v>
      </c>
      <c r="C85" s="9" t="s">
        <v>87</v>
      </c>
      <c r="D85" s="3" t="s">
        <v>33</v>
      </c>
      <c r="E85" s="2" t="s">
        <v>148</v>
      </c>
    </row>
    <row r="86" spans="1:5" x14ac:dyDescent="0.25">
      <c r="A86" s="2" t="s">
        <v>62</v>
      </c>
      <c r="B86" s="9" t="s">
        <v>104</v>
      </c>
      <c r="C86" s="9" t="s">
        <v>87</v>
      </c>
      <c r="D86" s="3" t="s">
        <v>33</v>
      </c>
      <c r="E86" s="2" t="s">
        <v>148</v>
      </c>
    </row>
    <row r="87" spans="1:5" x14ac:dyDescent="0.25">
      <c r="A87" s="2" t="s">
        <v>62</v>
      </c>
      <c r="B87" s="9" t="s">
        <v>104</v>
      </c>
      <c r="C87" s="9" t="s">
        <v>87</v>
      </c>
      <c r="D87" s="3" t="s">
        <v>33</v>
      </c>
      <c r="E87" s="2" t="s">
        <v>148</v>
      </c>
    </row>
    <row r="88" spans="1:5" x14ac:dyDescent="0.25">
      <c r="A88" s="2" t="s">
        <v>62</v>
      </c>
      <c r="B88" s="9" t="s">
        <v>104</v>
      </c>
      <c r="C88" s="9" t="s">
        <v>87</v>
      </c>
      <c r="D88" s="3" t="s">
        <v>33</v>
      </c>
      <c r="E88" s="5" t="s">
        <v>124</v>
      </c>
    </row>
    <row r="89" spans="1:5" x14ac:dyDescent="0.25">
      <c r="A89" s="2" t="s">
        <v>62</v>
      </c>
      <c r="B89" s="9" t="s">
        <v>104</v>
      </c>
      <c r="C89" s="9" t="s">
        <v>87</v>
      </c>
      <c r="D89" s="3" t="s">
        <v>33</v>
      </c>
      <c r="E89" s="9" t="s">
        <v>138</v>
      </c>
    </row>
    <row r="90" spans="1:5" x14ac:dyDescent="0.25">
      <c r="A90" s="2" t="s">
        <v>62</v>
      </c>
      <c r="B90" s="3" t="s">
        <v>87</v>
      </c>
      <c r="C90" s="9" t="s">
        <v>87</v>
      </c>
      <c r="D90" s="3" t="s">
        <v>33</v>
      </c>
      <c r="E90" s="9" t="s">
        <v>138</v>
      </c>
    </row>
    <row r="91" spans="1:5" x14ac:dyDescent="0.25">
      <c r="A91" s="2" t="s">
        <v>62</v>
      </c>
      <c r="B91" s="3" t="s">
        <v>87</v>
      </c>
      <c r="C91" s="9" t="s">
        <v>87</v>
      </c>
      <c r="D91" s="3" t="s">
        <v>33</v>
      </c>
      <c r="E91" s="9" t="s">
        <v>138</v>
      </c>
    </row>
    <row r="92" spans="1:5" x14ac:dyDescent="0.25">
      <c r="A92" s="2" t="s">
        <v>62</v>
      </c>
      <c r="B92" s="3" t="s">
        <v>87</v>
      </c>
      <c r="C92" s="9" t="s">
        <v>87</v>
      </c>
      <c r="D92" s="3" t="s">
        <v>33</v>
      </c>
      <c r="E92" s="5" t="s">
        <v>149</v>
      </c>
    </row>
    <row r="93" spans="1:5" x14ac:dyDescent="0.25">
      <c r="A93" s="2" t="s">
        <v>62</v>
      </c>
      <c r="B93" s="3" t="s">
        <v>87</v>
      </c>
      <c r="C93" s="3" t="s">
        <v>74</v>
      </c>
      <c r="D93" s="3" t="s">
        <v>33</v>
      </c>
      <c r="E93" s="5" t="s">
        <v>145</v>
      </c>
    </row>
    <row r="94" spans="1:5" x14ac:dyDescent="0.25">
      <c r="A94" s="2" t="s">
        <v>62</v>
      </c>
      <c r="B94" s="3" t="s">
        <v>87</v>
      </c>
      <c r="C94" s="3" t="s">
        <v>74</v>
      </c>
      <c r="D94" s="3" t="s">
        <v>33</v>
      </c>
      <c r="E94" s="3" t="s">
        <v>88</v>
      </c>
    </row>
    <row r="95" spans="1:5" x14ac:dyDescent="0.25">
      <c r="A95" s="2" t="s">
        <v>62</v>
      </c>
      <c r="B95" s="3" t="s">
        <v>87</v>
      </c>
      <c r="C95" s="3" t="s">
        <v>74</v>
      </c>
      <c r="D95" s="3" t="s">
        <v>33</v>
      </c>
      <c r="E95" s="3" t="s">
        <v>88</v>
      </c>
    </row>
    <row r="96" spans="1:5" x14ac:dyDescent="0.25">
      <c r="A96" s="2" t="s">
        <v>62</v>
      </c>
      <c r="B96" s="3" t="s">
        <v>87</v>
      </c>
      <c r="C96" s="2" t="s">
        <v>84</v>
      </c>
      <c r="D96" s="3" t="s">
        <v>33</v>
      </c>
      <c r="E96" s="3" t="s">
        <v>88</v>
      </c>
    </row>
    <row r="97" spans="1:5" x14ac:dyDescent="0.25">
      <c r="A97" s="2" t="s">
        <v>62</v>
      </c>
      <c r="B97" s="3" t="s">
        <v>87</v>
      </c>
      <c r="C97" s="2" t="s">
        <v>84</v>
      </c>
      <c r="D97" s="3" t="s">
        <v>33</v>
      </c>
      <c r="E97" s="2" t="s">
        <v>146</v>
      </c>
    </row>
    <row r="98" spans="1:5" x14ac:dyDescent="0.25">
      <c r="A98" s="2" t="s">
        <v>62</v>
      </c>
      <c r="B98" s="3" t="s">
        <v>87</v>
      </c>
      <c r="C98" s="2" t="s">
        <v>84</v>
      </c>
      <c r="D98" s="2" t="s">
        <v>45</v>
      </c>
      <c r="E98" s="2" t="s">
        <v>146</v>
      </c>
    </row>
    <row r="99" spans="1:5" x14ac:dyDescent="0.25">
      <c r="A99" t="s">
        <v>72</v>
      </c>
      <c r="B99" s="2" t="s">
        <v>98</v>
      </c>
      <c r="C99" s="2" t="s">
        <v>84</v>
      </c>
      <c r="D99" s="2" t="s">
        <v>45</v>
      </c>
      <c r="E99" s="2" t="s">
        <v>146</v>
      </c>
    </row>
    <row r="100" spans="1:5" x14ac:dyDescent="0.25">
      <c r="A100" s="5" t="s">
        <v>72</v>
      </c>
      <c r="B100" s="2" t="s">
        <v>98</v>
      </c>
      <c r="C100" s="2" t="s">
        <v>84</v>
      </c>
      <c r="D100" s="2" t="s">
        <v>45</v>
      </c>
      <c r="E100" s="2" t="s">
        <v>146</v>
      </c>
    </row>
    <row r="101" spans="1:5" x14ac:dyDescent="0.25">
      <c r="A101" s="3" t="s">
        <v>68</v>
      </c>
      <c r="B101" s="2" t="s">
        <v>98</v>
      </c>
      <c r="C101" s="2" t="s">
        <v>84</v>
      </c>
      <c r="D101" s="2" t="s">
        <v>45</v>
      </c>
      <c r="E101" s="2" t="s">
        <v>146</v>
      </c>
    </row>
    <row r="102" spans="1:5" x14ac:dyDescent="0.25">
      <c r="A102" s="3" t="s">
        <v>68</v>
      </c>
      <c r="B102" s="2" t="s">
        <v>98</v>
      </c>
      <c r="C102" s="2" t="s">
        <v>84</v>
      </c>
      <c r="D102" s="5" t="s">
        <v>128</v>
      </c>
      <c r="E102" s="2" t="s">
        <v>146</v>
      </c>
    </row>
    <row r="103" spans="1:5" x14ac:dyDescent="0.25">
      <c r="A103" s="3" t="s">
        <v>68</v>
      </c>
      <c r="B103" s="2" t="s">
        <v>98</v>
      </c>
      <c r="C103" s="2" t="s">
        <v>84</v>
      </c>
      <c r="D103" s="9" t="s">
        <v>122</v>
      </c>
      <c r="E103" s="2" t="s">
        <v>146</v>
      </c>
    </row>
    <row r="104" spans="1:5" x14ac:dyDescent="0.25">
      <c r="A104" s="3" t="s">
        <v>68</v>
      </c>
      <c r="B104" s="2" t="s">
        <v>98</v>
      </c>
      <c r="C104" s="2" t="s">
        <v>84</v>
      </c>
      <c r="D104" s="9" t="s">
        <v>122</v>
      </c>
    </row>
    <row r="105" spans="1:5" x14ac:dyDescent="0.25">
      <c r="A105" s="3" t="s">
        <v>68</v>
      </c>
      <c r="B105" s="2" t="s">
        <v>98</v>
      </c>
      <c r="C105" s="2" t="s">
        <v>84</v>
      </c>
      <c r="D105" s="9" t="s">
        <v>122</v>
      </c>
    </row>
    <row r="106" spans="1:5" x14ac:dyDescent="0.25">
      <c r="A106" s="3" t="s">
        <v>68</v>
      </c>
      <c r="B106" s="2" t="s">
        <v>98</v>
      </c>
      <c r="C106" s="2" t="s">
        <v>84</v>
      </c>
      <c r="D106" s="9" t="s">
        <v>122</v>
      </c>
    </row>
    <row r="107" spans="1:5" x14ac:dyDescent="0.25">
      <c r="A107" s="9" t="s">
        <v>60</v>
      </c>
      <c r="B107" s="2" t="s">
        <v>98</v>
      </c>
      <c r="C107" s="2" t="s">
        <v>84</v>
      </c>
      <c r="D107" s="3" t="s">
        <v>24</v>
      </c>
    </row>
    <row r="108" spans="1:5" x14ac:dyDescent="0.25">
      <c r="A108" s="9" t="s">
        <v>60</v>
      </c>
      <c r="B108" s="2" t="s">
        <v>98</v>
      </c>
      <c r="C108" s="2" t="s">
        <v>84</v>
      </c>
      <c r="D108" s="3" t="s">
        <v>24</v>
      </c>
    </row>
    <row r="109" spans="1:5" x14ac:dyDescent="0.25">
      <c r="A109" s="9" t="s">
        <v>60</v>
      </c>
      <c r="B109" s="2" t="s">
        <v>98</v>
      </c>
      <c r="C109" s="2" t="s">
        <v>84</v>
      </c>
      <c r="D109" s="3" t="s">
        <v>24</v>
      </c>
    </row>
    <row r="110" spans="1:5" x14ac:dyDescent="0.25">
      <c r="A110" s="9" t="s">
        <v>60</v>
      </c>
      <c r="B110" s="2" t="s">
        <v>98</v>
      </c>
      <c r="C110" s="2" t="s">
        <v>84</v>
      </c>
      <c r="D110" s="3" t="s">
        <v>24</v>
      </c>
    </row>
    <row r="111" spans="1:5" x14ac:dyDescent="0.25">
      <c r="A111" s="9" t="s">
        <v>60</v>
      </c>
      <c r="B111" s="2" t="s">
        <v>98</v>
      </c>
      <c r="C111" s="2" t="s">
        <v>84</v>
      </c>
      <c r="D111" s="3" t="s">
        <v>24</v>
      </c>
    </row>
    <row r="112" spans="1:5" x14ac:dyDescent="0.25">
      <c r="A112" s="9" t="s">
        <v>60</v>
      </c>
      <c r="B112" s="2" t="s">
        <v>98</v>
      </c>
      <c r="C112" s="2" t="s">
        <v>84</v>
      </c>
      <c r="D112" s="3" t="s">
        <v>24</v>
      </c>
    </row>
    <row r="113" spans="1:4" x14ac:dyDescent="0.25">
      <c r="A113" s="9" t="s">
        <v>60</v>
      </c>
      <c r="B113" s="2" t="s">
        <v>98</v>
      </c>
      <c r="C113" s="2" t="s">
        <v>84</v>
      </c>
      <c r="D113" s="3" t="s">
        <v>24</v>
      </c>
    </row>
    <row r="114" spans="1:4" x14ac:dyDescent="0.25">
      <c r="A114" s="9" t="s">
        <v>60</v>
      </c>
      <c r="B114" s="9" t="s">
        <v>84</v>
      </c>
      <c r="C114" s="2" t="s">
        <v>84</v>
      </c>
      <c r="D114" s="3" t="s">
        <v>24</v>
      </c>
    </row>
    <row r="115" spans="1:4" x14ac:dyDescent="0.25">
      <c r="A115" s="9" t="s">
        <v>60</v>
      </c>
      <c r="B115" s="9" t="s">
        <v>84</v>
      </c>
      <c r="C115" s="2" t="s">
        <v>84</v>
      </c>
      <c r="D115" s="3" t="s">
        <v>24</v>
      </c>
    </row>
    <row r="116" spans="1:4" x14ac:dyDescent="0.25">
      <c r="A116" s="9" t="s">
        <v>60</v>
      </c>
      <c r="B116" s="9" t="s">
        <v>84</v>
      </c>
      <c r="C116" s="2" t="s">
        <v>84</v>
      </c>
      <c r="D116" s="3" t="s">
        <v>24</v>
      </c>
    </row>
    <row r="117" spans="1:4" x14ac:dyDescent="0.25">
      <c r="A117" s="9" t="s">
        <v>60</v>
      </c>
      <c r="B117" s="9" t="s">
        <v>84</v>
      </c>
      <c r="C117" s="2" t="s">
        <v>84</v>
      </c>
      <c r="D117" s="3" t="s">
        <v>24</v>
      </c>
    </row>
    <row r="118" spans="1:4" x14ac:dyDescent="0.25">
      <c r="A118" s="9" t="s">
        <v>60</v>
      </c>
      <c r="B118" s="9" t="s">
        <v>84</v>
      </c>
      <c r="C118" s="2" t="s">
        <v>84</v>
      </c>
      <c r="D118" s="3" t="s">
        <v>24</v>
      </c>
    </row>
    <row r="119" spans="1:4" x14ac:dyDescent="0.25">
      <c r="A119" s="5" t="s">
        <v>79</v>
      </c>
      <c r="B119" s="9" t="s">
        <v>84</v>
      </c>
      <c r="C119" s="2" t="s">
        <v>84</v>
      </c>
      <c r="D119" s="3" t="s">
        <v>24</v>
      </c>
    </row>
    <row r="120" spans="1:4" x14ac:dyDescent="0.25">
      <c r="A120" s="3" t="s">
        <v>65</v>
      </c>
      <c r="B120" s="9" t="s">
        <v>84</v>
      </c>
      <c r="C120" s="2" t="s">
        <v>84</v>
      </c>
      <c r="D120" s="3" t="s">
        <v>24</v>
      </c>
    </row>
    <row r="121" spans="1:4" x14ac:dyDescent="0.25">
      <c r="A121" s="3" t="s">
        <v>65</v>
      </c>
      <c r="B121" s="9" t="s">
        <v>84</v>
      </c>
      <c r="C121" s="2" t="s">
        <v>84</v>
      </c>
      <c r="D121" s="3" t="s">
        <v>24</v>
      </c>
    </row>
    <row r="122" spans="1:4" x14ac:dyDescent="0.25">
      <c r="A122" s="3" t="s">
        <v>65</v>
      </c>
      <c r="B122" s="9" t="s">
        <v>84</v>
      </c>
      <c r="C122" s="2" t="s">
        <v>84</v>
      </c>
      <c r="D122" s="3" t="s">
        <v>24</v>
      </c>
    </row>
    <row r="123" spans="1:4" x14ac:dyDescent="0.25">
      <c r="A123" s="3" t="s">
        <v>65</v>
      </c>
      <c r="B123" s="9" t="s">
        <v>84</v>
      </c>
      <c r="C123" s="9" t="s">
        <v>72</v>
      </c>
      <c r="D123" s="3" t="s">
        <v>24</v>
      </c>
    </row>
    <row r="124" spans="1:4" x14ac:dyDescent="0.25">
      <c r="A124" s="3" t="s">
        <v>65</v>
      </c>
      <c r="B124" s="9" t="s">
        <v>84</v>
      </c>
      <c r="C124" s="9" t="s">
        <v>72</v>
      </c>
      <c r="D124" s="3" t="s">
        <v>24</v>
      </c>
    </row>
    <row r="125" spans="1:4" x14ac:dyDescent="0.25">
      <c r="A125" s="3" t="s">
        <v>65</v>
      </c>
      <c r="B125" s="9" t="s">
        <v>84</v>
      </c>
      <c r="C125" s="9" t="s">
        <v>72</v>
      </c>
      <c r="D125" s="3" t="s">
        <v>24</v>
      </c>
    </row>
    <row r="126" spans="1:4" x14ac:dyDescent="0.25">
      <c r="A126" s="3" t="s">
        <v>65</v>
      </c>
      <c r="B126" s="9" t="s">
        <v>84</v>
      </c>
      <c r="C126" s="9" t="s">
        <v>72</v>
      </c>
      <c r="D126" s="3" t="s">
        <v>24</v>
      </c>
    </row>
    <row r="127" spans="1:4" x14ac:dyDescent="0.25">
      <c r="A127" s="9" t="s">
        <v>63</v>
      </c>
      <c r="B127" s="9" t="s">
        <v>84</v>
      </c>
      <c r="C127" s="9" t="s">
        <v>72</v>
      </c>
      <c r="D127" s="3" t="s">
        <v>24</v>
      </c>
    </row>
    <row r="128" spans="1:4" x14ac:dyDescent="0.25">
      <c r="A128" s="9" t="s">
        <v>63</v>
      </c>
      <c r="B128" s="9" t="s">
        <v>84</v>
      </c>
      <c r="C128" s="3" t="s">
        <v>111</v>
      </c>
      <c r="D128" s="3" t="s">
        <v>24</v>
      </c>
    </row>
    <row r="129" spans="1:4" x14ac:dyDescent="0.25">
      <c r="A129" s="9" t="s">
        <v>63</v>
      </c>
      <c r="B129" t="s">
        <v>72</v>
      </c>
      <c r="C129" s="3" t="s">
        <v>111</v>
      </c>
      <c r="D129" s="3" t="s">
        <v>24</v>
      </c>
    </row>
    <row r="130" spans="1:4" x14ac:dyDescent="0.25">
      <c r="A130" s="9" t="s">
        <v>63</v>
      </c>
      <c r="B130" t="s">
        <v>95</v>
      </c>
      <c r="C130" s="3" t="s">
        <v>111</v>
      </c>
      <c r="D130" s="3" t="s">
        <v>24</v>
      </c>
    </row>
    <row r="131" spans="1:4" x14ac:dyDescent="0.25">
      <c r="A131" s="9" t="s">
        <v>63</v>
      </c>
      <c r="B131" t="s">
        <v>95</v>
      </c>
      <c r="C131" s="3" t="s">
        <v>111</v>
      </c>
      <c r="D131" s="3" t="s">
        <v>24</v>
      </c>
    </row>
    <row r="132" spans="1:4" x14ac:dyDescent="0.25">
      <c r="A132" s="9" t="s">
        <v>63</v>
      </c>
      <c r="B132" s="3" t="s">
        <v>60</v>
      </c>
      <c r="C132" s="3" t="s">
        <v>111</v>
      </c>
      <c r="D132" s="3" t="s">
        <v>24</v>
      </c>
    </row>
    <row r="133" spans="1:4" x14ac:dyDescent="0.25">
      <c r="A133" s="9" t="s">
        <v>63</v>
      </c>
      <c r="B133" s="3" t="s">
        <v>60</v>
      </c>
      <c r="C133" s="3" t="s">
        <v>111</v>
      </c>
      <c r="D133" s="3" t="s">
        <v>24</v>
      </c>
    </row>
    <row r="134" spans="1:4" x14ac:dyDescent="0.25">
      <c r="A134" s="9" t="s">
        <v>63</v>
      </c>
      <c r="B134" s="3" t="s">
        <v>60</v>
      </c>
      <c r="C134" s="3" t="s">
        <v>111</v>
      </c>
      <c r="D134" s="5" t="s">
        <v>72</v>
      </c>
    </row>
    <row r="135" spans="1:4" x14ac:dyDescent="0.25">
      <c r="A135" s="9" t="s">
        <v>63</v>
      </c>
      <c r="B135" s="3" t="s">
        <v>60</v>
      </c>
      <c r="C135" s="3" t="s">
        <v>111</v>
      </c>
      <c r="D135" s="5" t="s">
        <v>72</v>
      </c>
    </row>
    <row r="136" spans="1:4" x14ac:dyDescent="0.25">
      <c r="A136" s="9" t="s">
        <v>63</v>
      </c>
      <c r="B136" s="3" t="s">
        <v>60</v>
      </c>
      <c r="C136" s="3" t="s">
        <v>111</v>
      </c>
      <c r="D136" s="2" t="s">
        <v>123</v>
      </c>
    </row>
    <row r="137" spans="1:4" x14ac:dyDescent="0.25">
      <c r="A137" s="9" t="s">
        <v>63</v>
      </c>
      <c r="B137" s="3" t="s">
        <v>60</v>
      </c>
      <c r="C137" s="3" t="s">
        <v>111</v>
      </c>
      <c r="D137" s="2" t="s">
        <v>123</v>
      </c>
    </row>
    <row r="138" spans="1:4" x14ac:dyDescent="0.25">
      <c r="A138" s="9" t="s">
        <v>63</v>
      </c>
      <c r="B138" s="3" t="s">
        <v>60</v>
      </c>
      <c r="C138" s="3" t="s">
        <v>111</v>
      </c>
      <c r="D138" s="2" t="s">
        <v>123</v>
      </c>
    </row>
    <row r="139" spans="1:4" x14ac:dyDescent="0.25">
      <c r="A139" s="9" t="s">
        <v>63</v>
      </c>
      <c r="B139" s="3" t="s">
        <v>60</v>
      </c>
      <c r="C139" s="3" t="s">
        <v>111</v>
      </c>
      <c r="D139" s="2" t="s">
        <v>123</v>
      </c>
    </row>
    <row r="140" spans="1:4" x14ac:dyDescent="0.25">
      <c r="A140" s="9" t="s">
        <v>63</v>
      </c>
      <c r="B140" s="3" t="s">
        <v>60</v>
      </c>
      <c r="C140" s="3" t="s">
        <v>111</v>
      </c>
      <c r="D140" s="2" t="s">
        <v>123</v>
      </c>
    </row>
    <row r="141" spans="1:4" x14ac:dyDescent="0.25">
      <c r="A141" s="9" t="s">
        <v>63</v>
      </c>
      <c r="B141" s="3" t="s">
        <v>60</v>
      </c>
      <c r="C141" s="3" t="s">
        <v>111</v>
      </c>
      <c r="D141" s="2" t="s">
        <v>123</v>
      </c>
    </row>
    <row r="142" spans="1:4" x14ac:dyDescent="0.25">
      <c r="A142" s="9" t="s">
        <v>63</v>
      </c>
      <c r="B142" s="3" t="s">
        <v>60</v>
      </c>
      <c r="C142" s="3" t="s">
        <v>111</v>
      </c>
      <c r="D142" s="2" t="s">
        <v>123</v>
      </c>
    </row>
    <row r="143" spans="1:4" x14ac:dyDescent="0.25">
      <c r="A143" s="9" t="s">
        <v>63</v>
      </c>
      <c r="B143" s="3" t="s">
        <v>60</v>
      </c>
      <c r="C143" s="3" t="s">
        <v>111</v>
      </c>
      <c r="D143" s="2" t="s">
        <v>123</v>
      </c>
    </row>
    <row r="144" spans="1:4" x14ac:dyDescent="0.25">
      <c r="A144" s="9" t="s">
        <v>63</v>
      </c>
      <c r="B144" s="3" t="s">
        <v>60</v>
      </c>
      <c r="C144" s="3" t="s">
        <v>111</v>
      </c>
      <c r="D144" s="2" t="s">
        <v>123</v>
      </c>
    </row>
    <row r="145" spans="1:4" x14ac:dyDescent="0.25">
      <c r="A145" s="9" t="s">
        <v>63</v>
      </c>
      <c r="B145" s="2" t="s">
        <v>102</v>
      </c>
      <c r="C145" s="3" t="s">
        <v>111</v>
      </c>
      <c r="D145" s="2" t="s">
        <v>123</v>
      </c>
    </row>
    <row r="146" spans="1:4" x14ac:dyDescent="0.25">
      <c r="A146" s="5" t="s">
        <v>81</v>
      </c>
      <c r="B146" s="2" t="s">
        <v>102</v>
      </c>
      <c r="C146" s="3" t="s">
        <v>111</v>
      </c>
      <c r="D146" s="2" t="s">
        <v>123</v>
      </c>
    </row>
    <row r="147" spans="1:4" x14ac:dyDescent="0.25">
      <c r="A147" s="5" t="s">
        <v>76</v>
      </c>
      <c r="B147" s="2" t="s">
        <v>102</v>
      </c>
      <c r="C147" s="3" t="s">
        <v>111</v>
      </c>
      <c r="D147" s="2" t="s">
        <v>123</v>
      </c>
    </row>
    <row r="148" spans="1:4" x14ac:dyDescent="0.25">
      <c r="A148" s="5" t="s">
        <v>76</v>
      </c>
      <c r="B148" s="2" t="s">
        <v>102</v>
      </c>
      <c r="C148" s="3" t="s">
        <v>111</v>
      </c>
      <c r="D148" s="2" t="s">
        <v>123</v>
      </c>
    </row>
    <row r="149" spans="1:4" x14ac:dyDescent="0.25">
      <c r="A149" s="2" t="s">
        <v>64</v>
      </c>
      <c r="B149" s="9" t="s">
        <v>85</v>
      </c>
      <c r="C149" s="3" t="s">
        <v>111</v>
      </c>
      <c r="D149" s="2" t="s">
        <v>123</v>
      </c>
    </row>
    <row r="150" spans="1:4" x14ac:dyDescent="0.25">
      <c r="A150" s="2" t="s">
        <v>64</v>
      </c>
      <c r="B150" s="9" t="s">
        <v>85</v>
      </c>
      <c r="C150" s="3" t="s">
        <v>111</v>
      </c>
      <c r="D150" s="5" t="s">
        <v>51</v>
      </c>
    </row>
    <row r="151" spans="1:4" x14ac:dyDescent="0.25">
      <c r="A151" s="2" t="s">
        <v>64</v>
      </c>
      <c r="B151" s="9" t="s">
        <v>85</v>
      </c>
      <c r="C151" s="3" t="s">
        <v>111</v>
      </c>
      <c r="D151" t="s">
        <v>133</v>
      </c>
    </row>
    <row r="152" spans="1:4" x14ac:dyDescent="0.25">
      <c r="A152" s="2" t="s">
        <v>64</v>
      </c>
      <c r="B152" s="9" t="s">
        <v>85</v>
      </c>
      <c r="C152" s="3" t="s">
        <v>111</v>
      </c>
      <c r="D152" s="9" t="s">
        <v>124</v>
      </c>
    </row>
    <row r="153" spans="1:4" x14ac:dyDescent="0.25">
      <c r="A153" s="2" t="s">
        <v>64</v>
      </c>
      <c r="B153" s="9" t="s">
        <v>85</v>
      </c>
      <c r="C153" s="3" t="s">
        <v>111</v>
      </c>
      <c r="D153" s="9" t="s">
        <v>124</v>
      </c>
    </row>
    <row r="154" spans="1:4" x14ac:dyDescent="0.25">
      <c r="A154" s="2" t="s">
        <v>64</v>
      </c>
      <c r="B154" s="9" t="s">
        <v>85</v>
      </c>
      <c r="C154" s="3" t="s">
        <v>111</v>
      </c>
      <c r="D154" s="9" t="s">
        <v>124</v>
      </c>
    </row>
    <row r="155" spans="1:4" x14ac:dyDescent="0.25">
      <c r="A155" s="2" t="s">
        <v>64</v>
      </c>
      <c r="B155" s="9" t="s">
        <v>85</v>
      </c>
      <c r="C155" s="3" t="s">
        <v>111</v>
      </c>
      <c r="D155" s="9" t="s">
        <v>124</v>
      </c>
    </row>
    <row r="156" spans="1:4" x14ac:dyDescent="0.25">
      <c r="A156" s="2" t="s">
        <v>64</v>
      </c>
      <c r="B156" s="9" t="s">
        <v>85</v>
      </c>
      <c r="C156" s="3" t="s">
        <v>111</v>
      </c>
      <c r="D156" s="9" t="s">
        <v>124</v>
      </c>
    </row>
    <row r="157" spans="1:4" x14ac:dyDescent="0.25">
      <c r="A157" s="2" t="s">
        <v>64</v>
      </c>
      <c r="B157" s="9" t="s">
        <v>85</v>
      </c>
      <c r="C157" s="3" t="s">
        <v>111</v>
      </c>
      <c r="D157" s="9" t="s">
        <v>124</v>
      </c>
    </row>
    <row r="158" spans="1:4" x14ac:dyDescent="0.25">
      <c r="A158" s="2" t="s">
        <v>64</v>
      </c>
      <c r="B158" s="9" t="s">
        <v>85</v>
      </c>
      <c r="C158" s="3" t="s">
        <v>111</v>
      </c>
      <c r="D158" s="9" t="s">
        <v>124</v>
      </c>
    </row>
    <row r="159" spans="1:4" x14ac:dyDescent="0.25">
      <c r="A159" s="2" t="s">
        <v>64</v>
      </c>
      <c r="B159" s="9" t="s">
        <v>85</v>
      </c>
      <c r="C159" s="3" t="s">
        <v>111</v>
      </c>
      <c r="D159" s="9" t="s">
        <v>124</v>
      </c>
    </row>
    <row r="160" spans="1:4" x14ac:dyDescent="0.25">
      <c r="A160" s="2" t="s">
        <v>64</v>
      </c>
      <c r="B160" s="9" t="s">
        <v>85</v>
      </c>
      <c r="C160" s="3" t="s">
        <v>111</v>
      </c>
      <c r="D160" s="9" t="s">
        <v>124</v>
      </c>
    </row>
    <row r="161" spans="1:4" x14ac:dyDescent="0.25">
      <c r="A161" s="2" t="s">
        <v>64</v>
      </c>
      <c r="B161" s="9" t="s">
        <v>85</v>
      </c>
      <c r="C161" s="3" t="s">
        <v>111</v>
      </c>
      <c r="D161" s="9" t="s">
        <v>124</v>
      </c>
    </row>
    <row r="162" spans="1:4" x14ac:dyDescent="0.25">
      <c r="A162" s="2" t="s">
        <v>64</v>
      </c>
      <c r="B162" s="9" t="s">
        <v>85</v>
      </c>
      <c r="C162" s="3" t="s">
        <v>111</v>
      </c>
      <c r="D162" s="9" t="s">
        <v>124</v>
      </c>
    </row>
    <row r="163" spans="1:4" x14ac:dyDescent="0.25">
      <c r="A163" s="2" t="s">
        <v>64</v>
      </c>
      <c r="B163" s="9" t="s">
        <v>85</v>
      </c>
      <c r="C163" s="3" t="s">
        <v>111</v>
      </c>
      <c r="D163" s="9" t="s">
        <v>124</v>
      </c>
    </row>
    <row r="164" spans="1:4" x14ac:dyDescent="0.25">
      <c r="A164" s="2" t="s">
        <v>64</v>
      </c>
      <c r="B164" s="9" t="s">
        <v>85</v>
      </c>
      <c r="C164" s="3" t="s">
        <v>111</v>
      </c>
      <c r="D164" s="9" t="s">
        <v>124</v>
      </c>
    </row>
    <row r="165" spans="1:4" x14ac:dyDescent="0.25">
      <c r="A165" s="2" t="s">
        <v>64</v>
      </c>
      <c r="B165" s="9" t="s">
        <v>85</v>
      </c>
      <c r="C165" s="3" t="s">
        <v>111</v>
      </c>
      <c r="D165" s="9" t="s">
        <v>124</v>
      </c>
    </row>
    <row r="166" spans="1:4" x14ac:dyDescent="0.25">
      <c r="A166" s="2" t="s">
        <v>64</v>
      </c>
      <c r="B166" s="9" t="s">
        <v>85</v>
      </c>
      <c r="C166" s="3" t="s">
        <v>111</v>
      </c>
      <c r="D166" s="9" t="s">
        <v>124</v>
      </c>
    </row>
    <row r="167" spans="1:4" x14ac:dyDescent="0.25">
      <c r="A167" s="2" t="s">
        <v>64</v>
      </c>
      <c r="B167" s="9" t="s">
        <v>85</v>
      </c>
      <c r="C167" s="3" t="s">
        <v>111</v>
      </c>
      <c r="D167" s="9" t="s">
        <v>124</v>
      </c>
    </row>
    <row r="168" spans="1:4" x14ac:dyDescent="0.25">
      <c r="A168" s="2" t="s">
        <v>64</v>
      </c>
      <c r="B168" s="3" t="s">
        <v>86</v>
      </c>
      <c r="C168" s="3" t="s">
        <v>111</v>
      </c>
      <c r="D168" s="9" t="s">
        <v>124</v>
      </c>
    </row>
    <row r="169" spans="1:4" x14ac:dyDescent="0.25">
      <c r="A169" s="2" t="s">
        <v>64</v>
      </c>
      <c r="B169" s="3" t="s">
        <v>86</v>
      </c>
      <c r="C169" s="3" t="s">
        <v>111</v>
      </c>
      <c r="D169" s="9" t="s">
        <v>124</v>
      </c>
    </row>
    <row r="170" spans="1:4" x14ac:dyDescent="0.25">
      <c r="A170" s="2" t="s">
        <v>64</v>
      </c>
      <c r="B170" s="3" t="s">
        <v>86</v>
      </c>
      <c r="C170" s="3" t="s">
        <v>111</v>
      </c>
      <c r="D170" s="9" t="s">
        <v>124</v>
      </c>
    </row>
    <row r="171" spans="1:4" x14ac:dyDescent="0.25">
      <c r="A171" s="2" t="s">
        <v>64</v>
      </c>
      <c r="B171" s="3" t="s">
        <v>86</v>
      </c>
      <c r="C171" s="2" t="s">
        <v>112</v>
      </c>
      <c r="D171" s="9" t="s">
        <v>124</v>
      </c>
    </row>
    <row r="172" spans="1:4" x14ac:dyDescent="0.25">
      <c r="A172" s="2" t="s">
        <v>64</v>
      </c>
      <c r="B172" s="2" t="s">
        <v>92</v>
      </c>
      <c r="C172" s="2" t="s">
        <v>112</v>
      </c>
      <c r="D172" s="9" t="s">
        <v>124</v>
      </c>
    </row>
    <row r="173" spans="1:4" x14ac:dyDescent="0.25">
      <c r="A173" s="2" t="s">
        <v>64</v>
      </c>
      <c r="B173" s="2" t="s">
        <v>92</v>
      </c>
      <c r="C173" s="2" t="s">
        <v>112</v>
      </c>
      <c r="D173" s="9" t="s">
        <v>124</v>
      </c>
    </row>
    <row r="174" spans="1:4" x14ac:dyDescent="0.25">
      <c r="A174" s="2" t="s">
        <v>64</v>
      </c>
      <c r="B174" s="2" t="s">
        <v>92</v>
      </c>
      <c r="C174" s="2" t="s">
        <v>112</v>
      </c>
      <c r="D174" s="9" t="s">
        <v>124</v>
      </c>
    </row>
    <row r="175" spans="1:4" x14ac:dyDescent="0.25">
      <c r="A175" s="2" t="s">
        <v>64</v>
      </c>
      <c r="B175" s="2" t="s">
        <v>92</v>
      </c>
      <c r="C175" s="2" t="s">
        <v>112</v>
      </c>
      <c r="D175" s="5" t="s">
        <v>127</v>
      </c>
    </row>
    <row r="176" spans="1:4" x14ac:dyDescent="0.25">
      <c r="A176" s="2" t="s">
        <v>64</v>
      </c>
      <c r="B176" s="2" t="s">
        <v>92</v>
      </c>
      <c r="C176" s="2" t="s">
        <v>112</v>
      </c>
      <c r="D176" s="3" t="s">
        <v>44</v>
      </c>
    </row>
    <row r="177" spans="1:4" x14ac:dyDescent="0.25">
      <c r="A177" s="2" t="s">
        <v>64</v>
      </c>
      <c r="B177" s="2" t="s">
        <v>92</v>
      </c>
      <c r="C177" s="9" t="s">
        <v>65</v>
      </c>
      <c r="D177" s="3" t="s">
        <v>44</v>
      </c>
    </row>
    <row r="178" spans="1:4" x14ac:dyDescent="0.25">
      <c r="A178" s="9" t="s">
        <v>59</v>
      </c>
      <c r="B178" s="2" t="s">
        <v>92</v>
      </c>
      <c r="C178" s="9" t="s">
        <v>65</v>
      </c>
      <c r="D178" s="3" t="s">
        <v>44</v>
      </c>
    </row>
    <row r="179" spans="1:4" x14ac:dyDescent="0.25">
      <c r="A179" s="9" t="s">
        <v>59</v>
      </c>
      <c r="B179" s="2" t="s">
        <v>92</v>
      </c>
      <c r="C179" s="9" t="s">
        <v>65</v>
      </c>
      <c r="D179" s="3" t="s">
        <v>44</v>
      </c>
    </row>
    <row r="180" spans="1:4" x14ac:dyDescent="0.25">
      <c r="A180" s="9" t="s">
        <v>59</v>
      </c>
      <c r="B180" s="2" t="s">
        <v>92</v>
      </c>
      <c r="C180" s="9" t="s">
        <v>65</v>
      </c>
      <c r="D180" s="3" t="s">
        <v>44</v>
      </c>
    </row>
    <row r="181" spans="1:4" x14ac:dyDescent="0.25">
      <c r="A181" s="9" t="s">
        <v>59</v>
      </c>
      <c r="B181" s="2" t="s">
        <v>92</v>
      </c>
      <c r="C181" s="9" t="s">
        <v>65</v>
      </c>
      <c r="D181" s="3" t="s">
        <v>44</v>
      </c>
    </row>
    <row r="182" spans="1:4" x14ac:dyDescent="0.25">
      <c r="A182" s="3" t="s">
        <v>73</v>
      </c>
      <c r="B182" s="2" t="s">
        <v>92</v>
      </c>
      <c r="C182" s="9" t="s">
        <v>65</v>
      </c>
      <c r="D182" s="3" t="s">
        <v>44</v>
      </c>
    </row>
    <row r="183" spans="1:4" x14ac:dyDescent="0.25">
      <c r="A183" s="3" t="s">
        <v>73</v>
      </c>
      <c r="B183" s="2" t="s">
        <v>92</v>
      </c>
      <c r="C183" s="9" t="s">
        <v>65</v>
      </c>
      <c r="D183" s="3" t="s">
        <v>44</v>
      </c>
    </row>
    <row r="184" spans="1:4" x14ac:dyDescent="0.25">
      <c r="A184" s="3" t="s">
        <v>73</v>
      </c>
      <c r="B184" s="9" t="s">
        <v>88</v>
      </c>
      <c r="C184" s="9" t="s">
        <v>65</v>
      </c>
      <c r="D184" s="3" t="s">
        <v>44</v>
      </c>
    </row>
    <row r="185" spans="1:4" x14ac:dyDescent="0.25">
      <c r="A185" s="3" t="s">
        <v>73</v>
      </c>
      <c r="B185" s="9" t="s">
        <v>88</v>
      </c>
      <c r="C185" s="9" t="s">
        <v>65</v>
      </c>
      <c r="D185" s="3" t="s">
        <v>44</v>
      </c>
    </row>
    <row r="186" spans="1:4" x14ac:dyDescent="0.25">
      <c r="A186" s="3" t="s">
        <v>73</v>
      </c>
      <c r="B186" s="9" t="s">
        <v>88</v>
      </c>
      <c r="C186" s="9" t="s">
        <v>65</v>
      </c>
      <c r="D186" s="3" t="s">
        <v>44</v>
      </c>
    </row>
    <row r="187" spans="1:4" x14ac:dyDescent="0.25">
      <c r="A187" s="3" t="s">
        <v>73</v>
      </c>
      <c r="B187" t="s">
        <v>100</v>
      </c>
      <c r="C187" s="9" t="s">
        <v>65</v>
      </c>
      <c r="D187" s="3" t="s">
        <v>44</v>
      </c>
    </row>
    <row r="188" spans="1:4" x14ac:dyDescent="0.25">
      <c r="A188" s="2" t="s">
        <v>66</v>
      </c>
      <c r="B188" t="s">
        <v>100</v>
      </c>
      <c r="C188" s="9" t="s">
        <v>65</v>
      </c>
      <c r="D188" s="3" t="s">
        <v>44</v>
      </c>
    </row>
    <row r="189" spans="1:4" x14ac:dyDescent="0.25">
      <c r="A189" s="2" t="s">
        <v>66</v>
      </c>
      <c r="B189" s="3" t="s">
        <v>97</v>
      </c>
      <c r="C189" s="9" t="s">
        <v>65</v>
      </c>
      <c r="D189" s="3" t="s">
        <v>44</v>
      </c>
    </row>
    <row r="190" spans="1:4" x14ac:dyDescent="0.25">
      <c r="A190" s="2" t="s">
        <v>66</v>
      </c>
      <c r="B190" s="3" t="s">
        <v>97</v>
      </c>
      <c r="C190" t="s">
        <v>108</v>
      </c>
      <c r="D190" s="3" t="s">
        <v>44</v>
      </c>
    </row>
    <row r="191" spans="1:4" x14ac:dyDescent="0.25">
      <c r="A191" s="2" t="s">
        <v>66</v>
      </c>
      <c r="B191" s="3" t="s">
        <v>97</v>
      </c>
      <c r="C191" t="s">
        <v>113</v>
      </c>
      <c r="D191" s="3" t="s">
        <v>44</v>
      </c>
    </row>
    <row r="192" spans="1:4" x14ac:dyDescent="0.25">
      <c r="A192" s="2" t="s">
        <v>66</v>
      </c>
      <c r="B192" s="3" t="s">
        <v>97</v>
      </c>
      <c r="C192" s="3" t="s">
        <v>114</v>
      </c>
      <c r="D192" s="3" t="s">
        <v>44</v>
      </c>
    </row>
    <row r="193" spans="1:4" x14ac:dyDescent="0.25">
      <c r="A193" s="2" t="s">
        <v>66</v>
      </c>
      <c r="B193" s="3" t="s">
        <v>97</v>
      </c>
      <c r="C193" s="3" t="s">
        <v>114</v>
      </c>
      <c r="D193" s="2" t="s">
        <v>121</v>
      </c>
    </row>
    <row r="194" spans="1:4" x14ac:dyDescent="0.25">
      <c r="A194" s="2" t="s">
        <v>66</v>
      </c>
      <c r="B194" s="3" t="s">
        <v>97</v>
      </c>
      <c r="C194" s="3" t="s">
        <v>114</v>
      </c>
      <c r="D194" s="2" t="s">
        <v>121</v>
      </c>
    </row>
    <row r="195" spans="1:4" x14ac:dyDescent="0.25">
      <c r="A195" s="2" t="s">
        <v>66</v>
      </c>
      <c r="B195" s="2" t="s">
        <v>99</v>
      </c>
      <c r="C195" s="3" t="s">
        <v>114</v>
      </c>
      <c r="D195" s="2" t="s">
        <v>121</v>
      </c>
    </row>
    <row r="196" spans="1:4" x14ac:dyDescent="0.25">
      <c r="A196" t="s">
        <v>70</v>
      </c>
      <c r="B196" s="2" t="s">
        <v>99</v>
      </c>
      <c r="C196" s="3" t="s">
        <v>114</v>
      </c>
      <c r="D196" s="2" t="s">
        <v>121</v>
      </c>
    </row>
    <row r="197" spans="1:4" x14ac:dyDescent="0.25">
      <c r="A197" s="5" t="s">
        <v>70</v>
      </c>
      <c r="B197" s="2" t="s">
        <v>99</v>
      </c>
      <c r="C197" s="2" t="s">
        <v>88</v>
      </c>
      <c r="D197" s="2" t="s">
        <v>121</v>
      </c>
    </row>
    <row r="198" spans="1:4" x14ac:dyDescent="0.25">
      <c r="B198" s="2" t="s">
        <v>99</v>
      </c>
      <c r="C198" s="2" t="s">
        <v>88</v>
      </c>
      <c r="D198" s="2" t="s">
        <v>121</v>
      </c>
    </row>
    <row r="199" spans="1:4" x14ac:dyDescent="0.25">
      <c r="B199" s="2" t="s">
        <v>99</v>
      </c>
      <c r="C199" s="2" t="s">
        <v>88</v>
      </c>
      <c r="D199" s="2" t="s">
        <v>121</v>
      </c>
    </row>
    <row r="200" spans="1:4" x14ac:dyDescent="0.25">
      <c r="B200" s="2" t="s">
        <v>99</v>
      </c>
      <c r="C200" s="2" t="s">
        <v>88</v>
      </c>
      <c r="D200" s="2" t="s">
        <v>121</v>
      </c>
    </row>
    <row r="201" spans="1:4" x14ac:dyDescent="0.25">
      <c r="B201" s="2" t="s">
        <v>99</v>
      </c>
      <c r="C201" s="2" t="s">
        <v>88</v>
      </c>
      <c r="D201" s="2" t="s">
        <v>121</v>
      </c>
    </row>
    <row r="202" spans="1:4" x14ac:dyDescent="0.25">
      <c r="B202" s="2" t="s">
        <v>99</v>
      </c>
      <c r="C202" s="2" t="s">
        <v>88</v>
      </c>
      <c r="D202" s="2" t="s">
        <v>121</v>
      </c>
    </row>
    <row r="203" spans="1:4" x14ac:dyDescent="0.25">
      <c r="B203" s="2" t="s">
        <v>99</v>
      </c>
      <c r="C203" s="2" t="s">
        <v>88</v>
      </c>
      <c r="D203" s="2" t="s">
        <v>121</v>
      </c>
    </row>
    <row r="204" spans="1:4" x14ac:dyDescent="0.25">
      <c r="B204" s="2" t="s">
        <v>99</v>
      </c>
      <c r="C204" s="2" t="s">
        <v>88</v>
      </c>
      <c r="D204" s="2" t="s">
        <v>121</v>
      </c>
    </row>
    <row r="205" spans="1:4" x14ac:dyDescent="0.25">
      <c r="B205" s="2" t="s">
        <v>99</v>
      </c>
      <c r="C205" s="2" t="s">
        <v>88</v>
      </c>
      <c r="D205" s="2" t="s">
        <v>121</v>
      </c>
    </row>
    <row r="206" spans="1:4" x14ac:dyDescent="0.25">
      <c r="B206" s="2" t="s">
        <v>99</v>
      </c>
      <c r="C206" s="2" t="s">
        <v>88</v>
      </c>
      <c r="D206" s="9" t="s">
        <v>130</v>
      </c>
    </row>
    <row r="207" spans="1:4" x14ac:dyDescent="0.25">
      <c r="B207" s="2" t="s">
        <v>99</v>
      </c>
      <c r="C207" s="9" t="s">
        <v>97</v>
      </c>
      <c r="D207" s="9" t="s">
        <v>130</v>
      </c>
    </row>
    <row r="208" spans="1:4" x14ac:dyDescent="0.25">
      <c r="B208" s="2" t="s">
        <v>99</v>
      </c>
      <c r="C208" s="9" t="s">
        <v>97</v>
      </c>
      <c r="D208" s="9" t="s">
        <v>130</v>
      </c>
    </row>
    <row r="209" spans="2:4" x14ac:dyDescent="0.25">
      <c r="B209" s="2" t="s">
        <v>99</v>
      </c>
      <c r="C209" s="9" t="s">
        <v>97</v>
      </c>
      <c r="D209" s="9" t="s">
        <v>130</v>
      </c>
    </row>
    <row r="210" spans="2:4" x14ac:dyDescent="0.25">
      <c r="B210" s="2" t="s">
        <v>99</v>
      </c>
      <c r="C210" s="3" t="s">
        <v>91</v>
      </c>
      <c r="D210" s="9" t="s">
        <v>130</v>
      </c>
    </row>
    <row r="211" spans="2:4" x14ac:dyDescent="0.25">
      <c r="B211" s="2" t="s">
        <v>99</v>
      </c>
      <c r="C211" s="3" t="s">
        <v>91</v>
      </c>
      <c r="D211" s="9" t="s">
        <v>130</v>
      </c>
    </row>
    <row r="212" spans="2:4" x14ac:dyDescent="0.25">
      <c r="B212" s="9" t="s">
        <v>91</v>
      </c>
      <c r="C212" s="3" t="s">
        <v>91</v>
      </c>
      <c r="D212" s="9" t="s">
        <v>130</v>
      </c>
    </row>
    <row r="213" spans="2:4" x14ac:dyDescent="0.25">
      <c r="B213" s="9" t="s">
        <v>91</v>
      </c>
      <c r="C213" s="2" t="s">
        <v>110</v>
      </c>
      <c r="D213" s="3" t="s">
        <v>48</v>
      </c>
    </row>
    <row r="214" spans="2:4" x14ac:dyDescent="0.25">
      <c r="B214" s="9" t="s">
        <v>91</v>
      </c>
      <c r="C214" s="2" t="s">
        <v>110</v>
      </c>
      <c r="D214" s="11" t="s">
        <v>48</v>
      </c>
    </row>
    <row r="215" spans="2:4" x14ac:dyDescent="0.25">
      <c r="B215" s="3" t="s">
        <v>94</v>
      </c>
      <c r="C215" s="2" t="s">
        <v>110</v>
      </c>
      <c r="D215" s="3" t="s">
        <v>48</v>
      </c>
    </row>
    <row r="216" spans="2:4" x14ac:dyDescent="0.25">
      <c r="B216" s="3" t="s">
        <v>94</v>
      </c>
      <c r="C216" s="2" t="s">
        <v>110</v>
      </c>
      <c r="D216" s="3" t="s">
        <v>48</v>
      </c>
    </row>
    <row r="217" spans="2:4" x14ac:dyDescent="0.25">
      <c r="B217" s="3" t="s">
        <v>94</v>
      </c>
      <c r="C217" t="s">
        <v>119</v>
      </c>
      <c r="D217" s="3" t="s">
        <v>48</v>
      </c>
    </row>
    <row r="218" spans="2:4" x14ac:dyDescent="0.25">
      <c r="B218" s="3" t="s">
        <v>94</v>
      </c>
      <c r="C218" t="s">
        <v>94</v>
      </c>
      <c r="D218" s="3" t="s">
        <v>48</v>
      </c>
    </row>
    <row r="219" spans="2:4" x14ac:dyDescent="0.25">
      <c r="B219" s="3" t="s">
        <v>94</v>
      </c>
      <c r="C219" t="s">
        <v>94</v>
      </c>
      <c r="D219" s="3" t="s">
        <v>48</v>
      </c>
    </row>
    <row r="220" spans="2:4" x14ac:dyDescent="0.25">
      <c r="B220" s="3" t="s">
        <v>94</v>
      </c>
      <c r="C220" t="s">
        <v>70</v>
      </c>
      <c r="D220" s="3" t="s">
        <v>48</v>
      </c>
    </row>
    <row r="221" spans="2:4" x14ac:dyDescent="0.25">
      <c r="B221" s="3" t="s">
        <v>94</v>
      </c>
      <c r="C221" t="s">
        <v>70</v>
      </c>
      <c r="D221" s="3" t="s">
        <v>48</v>
      </c>
    </row>
    <row r="222" spans="2:4" x14ac:dyDescent="0.25">
      <c r="B222" s="3" t="s">
        <v>94</v>
      </c>
      <c r="D222" s="3" t="s">
        <v>48</v>
      </c>
    </row>
    <row r="223" spans="2:4" x14ac:dyDescent="0.25">
      <c r="B223" s="3" t="s">
        <v>94</v>
      </c>
      <c r="D223" s="3" t="s">
        <v>48</v>
      </c>
    </row>
    <row r="224" spans="2:4" x14ac:dyDescent="0.25">
      <c r="B224" s="3" t="s">
        <v>94</v>
      </c>
      <c r="D224" s="3" t="s">
        <v>48</v>
      </c>
    </row>
    <row r="225" spans="2:4" x14ac:dyDescent="0.25">
      <c r="B225" s="3" t="s">
        <v>94</v>
      </c>
      <c r="D225" s="3" t="s">
        <v>48</v>
      </c>
    </row>
    <row r="226" spans="2:4" x14ac:dyDescent="0.25">
      <c r="B226" s="3" t="s">
        <v>94</v>
      </c>
      <c r="D226" s="3" t="s">
        <v>48</v>
      </c>
    </row>
    <row r="227" spans="2:4" x14ac:dyDescent="0.25">
      <c r="B227" s="3" t="s">
        <v>94</v>
      </c>
      <c r="D227" s="3" t="s">
        <v>48</v>
      </c>
    </row>
    <row r="228" spans="2:4" x14ac:dyDescent="0.25">
      <c r="B228" s="3" t="s">
        <v>94</v>
      </c>
      <c r="D228" s="3" t="s">
        <v>48</v>
      </c>
    </row>
    <row r="229" spans="2:4" x14ac:dyDescent="0.25">
      <c r="B229" s="3" t="s">
        <v>94</v>
      </c>
      <c r="D229" s="3" t="s">
        <v>48</v>
      </c>
    </row>
    <row r="230" spans="2:4" x14ac:dyDescent="0.25">
      <c r="B230" s="3" t="s">
        <v>94</v>
      </c>
      <c r="D230" s="3" t="s">
        <v>48</v>
      </c>
    </row>
    <row r="231" spans="2:4" x14ac:dyDescent="0.25">
      <c r="B231" s="3" t="s">
        <v>94</v>
      </c>
      <c r="D231" s="3" t="s">
        <v>48</v>
      </c>
    </row>
    <row r="232" spans="2:4" x14ac:dyDescent="0.25">
      <c r="B232" s="3" t="s">
        <v>94</v>
      </c>
      <c r="D232" s="3" t="s">
        <v>48</v>
      </c>
    </row>
    <row r="233" spans="2:4" x14ac:dyDescent="0.25">
      <c r="B233" s="3" t="s">
        <v>94</v>
      </c>
      <c r="D233" s="3" t="s">
        <v>48</v>
      </c>
    </row>
    <row r="234" spans="2:4" x14ac:dyDescent="0.25">
      <c r="B234" s="3" t="s">
        <v>94</v>
      </c>
      <c r="D234" s="3" t="s">
        <v>48</v>
      </c>
    </row>
    <row r="235" spans="2:4" x14ac:dyDescent="0.25">
      <c r="D235" s="3" t="s">
        <v>48</v>
      </c>
    </row>
    <row r="236" spans="2:4" x14ac:dyDescent="0.25">
      <c r="D236" s="3" t="s">
        <v>48</v>
      </c>
    </row>
    <row r="237" spans="2:4" x14ac:dyDescent="0.25">
      <c r="D237" s="3" t="s">
        <v>48</v>
      </c>
    </row>
    <row r="238" spans="2:4" x14ac:dyDescent="0.25">
      <c r="D238" s="3" t="s">
        <v>48</v>
      </c>
    </row>
    <row r="239" spans="2:4" x14ac:dyDescent="0.25">
      <c r="D239" s="3" t="s">
        <v>48</v>
      </c>
    </row>
    <row r="240" spans="2:4" x14ac:dyDescent="0.25">
      <c r="D240" s="3" t="s">
        <v>48</v>
      </c>
    </row>
    <row r="241" spans="4:4" x14ac:dyDescent="0.25">
      <c r="D241" s="3" t="s">
        <v>48</v>
      </c>
    </row>
    <row r="242" spans="4:4" x14ac:dyDescent="0.25">
      <c r="D242" s="3" t="s">
        <v>48</v>
      </c>
    </row>
    <row r="243" spans="4:4" x14ac:dyDescent="0.25">
      <c r="D243" s="3" t="s">
        <v>48</v>
      </c>
    </row>
    <row r="244" spans="4:4" x14ac:dyDescent="0.25">
      <c r="D244" s="3" t="s">
        <v>48</v>
      </c>
    </row>
    <row r="245" spans="4:4" x14ac:dyDescent="0.25">
      <c r="D245" s="3" t="s">
        <v>48</v>
      </c>
    </row>
    <row r="246" spans="4:4" x14ac:dyDescent="0.25">
      <c r="D246" s="3" t="s">
        <v>48</v>
      </c>
    </row>
    <row r="247" spans="4:4" x14ac:dyDescent="0.25">
      <c r="D247" s="3" t="s">
        <v>48</v>
      </c>
    </row>
    <row r="248" spans="4:4" x14ac:dyDescent="0.25">
      <c r="D248" s="3" t="s">
        <v>48</v>
      </c>
    </row>
    <row r="249" spans="4:4" x14ac:dyDescent="0.25">
      <c r="D249" s="3" t="s">
        <v>48</v>
      </c>
    </row>
    <row r="250" spans="4:4" x14ac:dyDescent="0.25">
      <c r="D250"/>
    </row>
  </sheetData>
  <sortState ref="F4:F67">
    <sortCondition ref="F67"/>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9"/>
  <sheetViews>
    <sheetView zoomScale="85" zoomScaleNormal="85" workbookViewId="0">
      <selection activeCell="C36" sqref="C36"/>
    </sheetView>
  </sheetViews>
  <sheetFormatPr defaultRowHeight="15" x14ac:dyDescent="0.25"/>
  <cols>
    <col min="1" max="1" width="2.7109375" customWidth="1"/>
    <col min="2" max="2" width="32.140625" customWidth="1"/>
    <col min="3" max="3" width="30" customWidth="1"/>
    <col min="4" max="4" width="1.42578125" customWidth="1"/>
    <col min="5" max="5" width="54" bestFit="1" customWidth="1"/>
    <col min="6" max="6" width="14.140625" bestFit="1" customWidth="1"/>
    <col min="7" max="7" width="1.7109375" customWidth="1"/>
    <col min="8" max="8" width="44.42578125" bestFit="1" customWidth="1"/>
    <col min="9" max="9" width="14.140625" bestFit="1" customWidth="1"/>
    <col min="10" max="10" width="1.5703125" customWidth="1"/>
    <col min="11" max="11" width="35.42578125" bestFit="1" customWidth="1"/>
    <col min="12" max="12" width="19.140625" customWidth="1"/>
    <col min="13" max="13" width="1.42578125" customWidth="1"/>
    <col min="14" max="14" width="28.7109375" bestFit="1" customWidth="1"/>
    <col min="15" max="15" width="18.5703125" bestFit="1" customWidth="1"/>
  </cols>
  <sheetData>
    <row r="3" spans="2:15" x14ac:dyDescent="0.25">
      <c r="B3" s="13" t="s">
        <v>153</v>
      </c>
      <c r="C3" t="s">
        <v>152</v>
      </c>
      <c r="E3" s="13" t="s">
        <v>83</v>
      </c>
      <c r="F3" t="s">
        <v>155</v>
      </c>
      <c r="H3" s="13" t="s">
        <v>106</v>
      </c>
      <c r="I3" t="s">
        <v>156</v>
      </c>
      <c r="K3" s="13" t="s">
        <v>158</v>
      </c>
      <c r="L3" t="s">
        <v>157</v>
      </c>
      <c r="N3" s="13" t="s">
        <v>135</v>
      </c>
      <c r="O3" t="s">
        <v>159</v>
      </c>
    </row>
    <row r="4" spans="2:15" x14ac:dyDescent="0.25">
      <c r="B4" s="14" t="s">
        <v>78</v>
      </c>
      <c r="C4" s="15">
        <v>1</v>
      </c>
      <c r="E4" s="14" t="s">
        <v>103</v>
      </c>
      <c r="F4" s="15">
        <v>6</v>
      </c>
      <c r="H4" s="14" t="s">
        <v>61</v>
      </c>
      <c r="I4" s="15">
        <v>2</v>
      </c>
      <c r="K4" s="14" t="s">
        <v>125</v>
      </c>
      <c r="L4" s="15">
        <v>9</v>
      </c>
      <c r="N4" s="14" t="s">
        <v>147</v>
      </c>
      <c r="O4" s="15">
        <v>6</v>
      </c>
    </row>
    <row r="5" spans="2:15" x14ac:dyDescent="0.25">
      <c r="B5" s="14" t="s">
        <v>61</v>
      </c>
      <c r="C5" s="15">
        <v>4</v>
      </c>
      <c r="E5" s="14" t="s">
        <v>96</v>
      </c>
      <c r="F5" s="15">
        <v>6</v>
      </c>
      <c r="H5" s="14" t="s">
        <v>116</v>
      </c>
      <c r="I5" s="15">
        <v>1</v>
      </c>
      <c r="K5" s="14" t="s">
        <v>8</v>
      </c>
      <c r="L5" s="15">
        <v>13</v>
      </c>
      <c r="N5" s="14" t="s">
        <v>143</v>
      </c>
      <c r="O5" s="15">
        <v>5</v>
      </c>
    </row>
    <row r="6" spans="2:15" x14ac:dyDescent="0.25">
      <c r="B6" s="14" t="s">
        <v>56</v>
      </c>
      <c r="C6" s="15">
        <v>1</v>
      </c>
      <c r="E6" s="14" t="s">
        <v>89</v>
      </c>
      <c r="F6" s="15">
        <v>13</v>
      </c>
      <c r="H6" s="14" t="s">
        <v>118</v>
      </c>
      <c r="I6" s="15">
        <v>1</v>
      </c>
      <c r="K6" s="14" t="s">
        <v>129</v>
      </c>
      <c r="L6" s="15">
        <v>5</v>
      </c>
      <c r="N6" s="14" t="s">
        <v>144</v>
      </c>
      <c r="O6" s="15">
        <v>2</v>
      </c>
    </row>
    <row r="7" spans="2:15" x14ac:dyDescent="0.25">
      <c r="B7" s="14" t="s">
        <v>71</v>
      </c>
      <c r="C7" s="15">
        <v>1</v>
      </c>
      <c r="E7" s="14" t="s">
        <v>90</v>
      </c>
      <c r="F7" s="15">
        <v>14</v>
      </c>
      <c r="H7" s="14" t="s">
        <v>71</v>
      </c>
      <c r="I7" s="15">
        <v>4</v>
      </c>
      <c r="K7" s="14" t="s">
        <v>126</v>
      </c>
      <c r="L7" s="15">
        <v>6</v>
      </c>
      <c r="N7" s="14" t="s">
        <v>141</v>
      </c>
      <c r="O7" s="15">
        <v>6</v>
      </c>
    </row>
    <row r="8" spans="2:15" x14ac:dyDescent="0.25">
      <c r="B8" s="14" t="s">
        <v>69</v>
      </c>
      <c r="C8" s="15">
        <v>5</v>
      </c>
      <c r="E8" s="14" t="s">
        <v>1</v>
      </c>
      <c r="F8" s="15">
        <v>4</v>
      </c>
      <c r="H8" s="14" t="s">
        <v>115</v>
      </c>
      <c r="I8" s="15">
        <v>1</v>
      </c>
      <c r="K8" s="14" t="s">
        <v>47</v>
      </c>
      <c r="L8" s="15">
        <v>2</v>
      </c>
      <c r="N8" s="14" t="s">
        <v>142</v>
      </c>
      <c r="O8" s="15">
        <v>1</v>
      </c>
    </row>
    <row r="9" spans="2:15" x14ac:dyDescent="0.25">
      <c r="B9" s="14" t="s">
        <v>77</v>
      </c>
      <c r="C9" s="15">
        <v>12</v>
      </c>
      <c r="E9" s="14" t="s">
        <v>101</v>
      </c>
      <c r="F9" s="15">
        <v>8</v>
      </c>
      <c r="H9" s="14" t="s">
        <v>107</v>
      </c>
      <c r="I9" s="15">
        <v>13</v>
      </c>
      <c r="K9" s="14" t="s">
        <v>42</v>
      </c>
      <c r="L9" s="15">
        <v>4</v>
      </c>
      <c r="N9" s="14" t="s">
        <v>139</v>
      </c>
      <c r="O9" s="15">
        <v>1</v>
      </c>
    </row>
    <row r="10" spans="2:15" x14ac:dyDescent="0.25">
      <c r="B10" s="14" t="s">
        <v>58</v>
      </c>
      <c r="C10" s="15">
        <v>13</v>
      </c>
      <c r="E10" s="14" t="s">
        <v>93</v>
      </c>
      <c r="F10" s="15">
        <v>31</v>
      </c>
      <c r="H10" s="14" t="s">
        <v>101</v>
      </c>
      <c r="I10" s="15">
        <v>18</v>
      </c>
      <c r="K10" s="14" t="s">
        <v>10</v>
      </c>
      <c r="L10" s="15">
        <v>4</v>
      </c>
      <c r="N10" s="14" t="s">
        <v>33</v>
      </c>
      <c r="O10" s="15">
        <v>18</v>
      </c>
    </row>
    <row r="11" spans="2:15" x14ac:dyDescent="0.25">
      <c r="B11" s="14" t="s">
        <v>55</v>
      </c>
      <c r="C11" s="15">
        <v>17</v>
      </c>
      <c r="E11" s="14" t="s">
        <v>104</v>
      </c>
      <c r="F11" s="15">
        <v>4</v>
      </c>
      <c r="H11" s="14" t="s">
        <v>117</v>
      </c>
      <c r="I11" s="15">
        <v>1</v>
      </c>
      <c r="K11" s="14" t="s">
        <v>131</v>
      </c>
      <c r="L11" s="15">
        <v>3</v>
      </c>
      <c r="N11" s="14" t="s">
        <v>109</v>
      </c>
      <c r="O11" s="15">
        <v>3</v>
      </c>
    </row>
    <row r="12" spans="2:15" x14ac:dyDescent="0.25">
      <c r="B12" s="14" t="s">
        <v>67</v>
      </c>
      <c r="C12" s="15">
        <v>8</v>
      </c>
      <c r="E12" s="14" t="s">
        <v>87</v>
      </c>
      <c r="F12" s="15">
        <v>9</v>
      </c>
      <c r="H12" s="14" t="s">
        <v>93</v>
      </c>
      <c r="I12" s="15">
        <v>14</v>
      </c>
      <c r="K12" s="14" t="s">
        <v>46</v>
      </c>
      <c r="L12" s="15">
        <v>18</v>
      </c>
      <c r="N12" s="14" t="s">
        <v>72</v>
      </c>
      <c r="O12" s="15">
        <v>3</v>
      </c>
    </row>
    <row r="13" spans="2:15" x14ac:dyDescent="0.25">
      <c r="B13" s="14" t="s">
        <v>75</v>
      </c>
      <c r="C13" s="15">
        <v>2</v>
      </c>
      <c r="E13" s="14" t="s">
        <v>98</v>
      </c>
      <c r="F13" s="15">
        <v>15</v>
      </c>
      <c r="H13" s="14" t="s">
        <v>57</v>
      </c>
      <c r="I13" s="15">
        <v>12</v>
      </c>
      <c r="K13" s="14" t="s">
        <v>132</v>
      </c>
      <c r="L13" s="15">
        <v>9</v>
      </c>
      <c r="N13" s="14" t="s">
        <v>137</v>
      </c>
      <c r="O13" s="15">
        <v>8</v>
      </c>
    </row>
    <row r="14" spans="2:15" x14ac:dyDescent="0.25">
      <c r="B14" s="14" t="s">
        <v>57</v>
      </c>
      <c r="C14" s="15">
        <v>8</v>
      </c>
      <c r="E14" s="14" t="s">
        <v>84</v>
      </c>
      <c r="F14" s="15">
        <v>15</v>
      </c>
      <c r="H14" s="14" t="s">
        <v>109</v>
      </c>
      <c r="I14" s="15">
        <v>14</v>
      </c>
      <c r="K14" s="14" t="s">
        <v>33</v>
      </c>
      <c r="L14" s="15">
        <v>21</v>
      </c>
      <c r="N14" s="14" t="s">
        <v>111</v>
      </c>
      <c r="O14" s="15">
        <v>23</v>
      </c>
    </row>
    <row r="15" spans="2:15" x14ac:dyDescent="0.25">
      <c r="B15" s="14" t="s">
        <v>80</v>
      </c>
      <c r="C15" s="15">
        <v>1</v>
      </c>
      <c r="E15" s="14" t="s">
        <v>72</v>
      </c>
      <c r="F15" s="15">
        <v>1</v>
      </c>
      <c r="H15" s="14" t="s">
        <v>87</v>
      </c>
      <c r="I15" s="15">
        <v>8</v>
      </c>
      <c r="K15" s="14" t="s">
        <v>45</v>
      </c>
      <c r="L15" s="15">
        <v>4</v>
      </c>
      <c r="N15" s="14" t="s">
        <v>140</v>
      </c>
      <c r="O15" s="15">
        <v>5</v>
      </c>
    </row>
    <row r="16" spans="2:15" x14ac:dyDescent="0.25">
      <c r="B16" s="14" t="s">
        <v>74</v>
      </c>
      <c r="C16" s="15">
        <v>1</v>
      </c>
      <c r="E16" s="14" t="s">
        <v>95</v>
      </c>
      <c r="F16" s="15">
        <v>2</v>
      </c>
      <c r="H16" s="14" t="s">
        <v>74</v>
      </c>
      <c r="I16" s="15">
        <v>3</v>
      </c>
      <c r="K16" s="14" t="s">
        <v>128</v>
      </c>
      <c r="L16" s="15">
        <v>1</v>
      </c>
      <c r="N16" s="14" t="s">
        <v>148</v>
      </c>
      <c r="O16" s="15">
        <v>3</v>
      </c>
    </row>
    <row r="17" spans="2:15" x14ac:dyDescent="0.25">
      <c r="B17" s="14" t="s">
        <v>62</v>
      </c>
      <c r="C17" s="15">
        <v>21</v>
      </c>
      <c r="E17" s="14" t="s">
        <v>60</v>
      </c>
      <c r="F17" s="15">
        <v>13</v>
      </c>
      <c r="H17" s="14" t="s">
        <v>84</v>
      </c>
      <c r="I17" s="15">
        <v>27</v>
      </c>
      <c r="K17" s="14" t="s">
        <v>122</v>
      </c>
      <c r="L17" s="15">
        <v>4</v>
      </c>
      <c r="N17" s="14" t="s">
        <v>124</v>
      </c>
      <c r="O17" s="15">
        <v>1</v>
      </c>
    </row>
    <row r="18" spans="2:15" x14ac:dyDescent="0.25">
      <c r="B18" s="14" t="s">
        <v>72</v>
      </c>
      <c r="C18" s="15">
        <v>2</v>
      </c>
      <c r="E18" s="14" t="s">
        <v>102</v>
      </c>
      <c r="F18" s="15">
        <v>4</v>
      </c>
      <c r="H18" s="14" t="s">
        <v>72</v>
      </c>
      <c r="I18" s="15">
        <v>5</v>
      </c>
      <c r="K18" s="14" t="s">
        <v>24</v>
      </c>
      <c r="L18" s="15">
        <v>27</v>
      </c>
      <c r="N18" s="14" t="s">
        <v>138</v>
      </c>
      <c r="O18" s="15">
        <v>3</v>
      </c>
    </row>
    <row r="19" spans="2:15" x14ac:dyDescent="0.25">
      <c r="B19" s="14" t="s">
        <v>68</v>
      </c>
      <c r="C19" s="15">
        <v>6</v>
      </c>
      <c r="E19" s="14" t="s">
        <v>85</v>
      </c>
      <c r="F19" s="15">
        <v>19</v>
      </c>
      <c r="H19" s="14" t="s">
        <v>111</v>
      </c>
      <c r="I19" s="15">
        <v>43</v>
      </c>
      <c r="K19" s="14" t="s">
        <v>72</v>
      </c>
      <c r="L19" s="15">
        <v>2</v>
      </c>
      <c r="N19" s="14" t="s">
        <v>149</v>
      </c>
      <c r="O19" s="15">
        <v>1</v>
      </c>
    </row>
    <row r="20" spans="2:15" x14ac:dyDescent="0.25">
      <c r="B20" s="14" t="s">
        <v>60</v>
      </c>
      <c r="C20" s="15">
        <v>12</v>
      </c>
      <c r="E20" s="14" t="s">
        <v>86</v>
      </c>
      <c r="F20" s="15">
        <v>4</v>
      </c>
      <c r="H20" s="14" t="s">
        <v>112</v>
      </c>
      <c r="I20" s="15">
        <v>6</v>
      </c>
      <c r="K20" s="14" t="s">
        <v>123</v>
      </c>
      <c r="L20" s="15">
        <v>14</v>
      </c>
      <c r="N20" s="14" t="s">
        <v>145</v>
      </c>
      <c r="O20" s="15">
        <v>1</v>
      </c>
    </row>
    <row r="21" spans="2:15" x14ac:dyDescent="0.25">
      <c r="B21" s="14" t="s">
        <v>79</v>
      </c>
      <c r="C21" s="15">
        <v>1</v>
      </c>
      <c r="E21" s="14" t="s">
        <v>92</v>
      </c>
      <c r="F21" s="15">
        <v>12</v>
      </c>
      <c r="H21" s="14" t="s">
        <v>65</v>
      </c>
      <c r="I21" s="15">
        <v>13</v>
      </c>
      <c r="K21" s="14" t="s">
        <v>51</v>
      </c>
      <c r="L21" s="15">
        <v>1</v>
      </c>
      <c r="N21" s="14" t="s">
        <v>88</v>
      </c>
      <c r="O21" s="15">
        <v>3</v>
      </c>
    </row>
    <row r="22" spans="2:15" x14ac:dyDescent="0.25">
      <c r="B22" s="14" t="s">
        <v>65</v>
      </c>
      <c r="C22" s="15">
        <v>7</v>
      </c>
      <c r="E22" s="14" t="s">
        <v>88</v>
      </c>
      <c r="F22" s="15">
        <v>3</v>
      </c>
      <c r="H22" s="14" t="s">
        <v>108</v>
      </c>
      <c r="I22" s="15">
        <v>1</v>
      </c>
      <c r="K22" s="14" t="s">
        <v>133</v>
      </c>
      <c r="L22" s="15">
        <v>1</v>
      </c>
      <c r="N22" s="14" t="s">
        <v>146</v>
      </c>
      <c r="O22" s="15">
        <v>7</v>
      </c>
    </row>
    <row r="23" spans="2:15" x14ac:dyDescent="0.25">
      <c r="B23" s="14" t="s">
        <v>63</v>
      </c>
      <c r="C23" s="15">
        <v>19</v>
      </c>
      <c r="E23" s="14" t="s">
        <v>100</v>
      </c>
      <c r="F23" s="15">
        <v>2</v>
      </c>
      <c r="H23" s="14" t="s">
        <v>113</v>
      </c>
      <c r="I23" s="15">
        <v>1</v>
      </c>
      <c r="K23" s="14" t="s">
        <v>124</v>
      </c>
      <c r="L23" s="15">
        <v>23</v>
      </c>
      <c r="N23" s="14" t="s">
        <v>151</v>
      </c>
      <c r="O23" s="15">
        <v>100</v>
      </c>
    </row>
    <row r="24" spans="2:15" x14ac:dyDescent="0.25">
      <c r="B24" s="14" t="s">
        <v>81</v>
      </c>
      <c r="C24" s="15">
        <v>1</v>
      </c>
      <c r="E24" s="14" t="s">
        <v>97</v>
      </c>
      <c r="F24" s="15">
        <v>6</v>
      </c>
      <c r="H24" s="14" t="s">
        <v>114</v>
      </c>
      <c r="I24" s="15">
        <v>5</v>
      </c>
      <c r="K24" s="14" t="s">
        <v>127</v>
      </c>
      <c r="L24" s="15">
        <v>1</v>
      </c>
    </row>
    <row r="25" spans="2:15" x14ac:dyDescent="0.25">
      <c r="B25" s="14" t="s">
        <v>76</v>
      </c>
      <c r="C25" s="15">
        <v>2</v>
      </c>
      <c r="E25" s="14" t="s">
        <v>99</v>
      </c>
      <c r="F25" s="15">
        <v>17</v>
      </c>
      <c r="H25" s="14" t="s">
        <v>88</v>
      </c>
      <c r="I25" s="15">
        <v>10</v>
      </c>
      <c r="K25" s="14" t="s">
        <v>44</v>
      </c>
      <c r="L25" s="15">
        <v>17</v>
      </c>
    </row>
    <row r="26" spans="2:15" x14ac:dyDescent="0.25">
      <c r="B26" s="14" t="s">
        <v>64</v>
      </c>
      <c r="C26" s="15">
        <v>29</v>
      </c>
      <c r="E26" s="14" t="s">
        <v>91</v>
      </c>
      <c r="F26" s="15">
        <v>3</v>
      </c>
      <c r="H26" s="14" t="s">
        <v>97</v>
      </c>
      <c r="I26" s="15">
        <v>3</v>
      </c>
      <c r="K26" s="14" t="s">
        <v>121</v>
      </c>
      <c r="L26" s="15">
        <v>13</v>
      </c>
    </row>
    <row r="27" spans="2:15" x14ac:dyDescent="0.25">
      <c r="B27" s="14" t="s">
        <v>59</v>
      </c>
      <c r="C27" s="15">
        <v>4</v>
      </c>
      <c r="E27" s="14" t="s">
        <v>94</v>
      </c>
      <c r="F27" s="15">
        <v>20</v>
      </c>
      <c r="H27" s="14" t="s">
        <v>91</v>
      </c>
      <c r="I27" s="15">
        <v>3</v>
      </c>
      <c r="K27" s="14" t="s">
        <v>130</v>
      </c>
      <c r="L27" s="15">
        <v>7</v>
      </c>
    </row>
    <row r="28" spans="2:15" x14ac:dyDescent="0.25">
      <c r="B28" s="14" t="s">
        <v>73</v>
      </c>
      <c r="C28" s="15">
        <v>6</v>
      </c>
      <c r="E28" s="14" t="s">
        <v>151</v>
      </c>
      <c r="F28" s="15">
        <v>231</v>
      </c>
      <c r="H28" s="14" t="s">
        <v>110</v>
      </c>
      <c r="I28" s="15">
        <v>4</v>
      </c>
      <c r="K28" s="14" t="s">
        <v>48</v>
      </c>
      <c r="L28" s="15">
        <v>37</v>
      </c>
    </row>
    <row r="29" spans="2:15" x14ac:dyDescent="0.25">
      <c r="B29" s="14" t="s">
        <v>66</v>
      </c>
      <c r="C29" s="15">
        <v>8</v>
      </c>
      <c r="H29" s="14" t="s">
        <v>119</v>
      </c>
      <c r="I29" s="15">
        <v>1</v>
      </c>
      <c r="K29" s="14" t="s">
        <v>151</v>
      </c>
      <c r="L29" s="15">
        <v>246</v>
      </c>
    </row>
    <row r="30" spans="2:15" x14ac:dyDescent="0.25">
      <c r="B30" s="14" t="s">
        <v>70</v>
      </c>
      <c r="C30" s="15">
        <v>2</v>
      </c>
      <c r="H30" s="14" t="s">
        <v>94</v>
      </c>
      <c r="I30" s="15">
        <v>2</v>
      </c>
    </row>
    <row r="31" spans="2:15" x14ac:dyDescent="0.25">
      <c r="B31" s="14" t="s">
        <v>151</v>
      </c>
      <c r="C31" s="15">
        <v>194</v>
      </c>
      <c r="H31" s="14" t="s">
        <v>70</v>
      </c>
      <c r="I31" s="15">
        <v>2</v>
      </c>
    </row>
    <row r="32" spans="2:15" x14ac:dyDescent="0.25">
      <c r="H32" s="14" t="s">
        <v>151</v>
      </c>
      <c r="I32" s="15">
        <v>218</v>
      </c>
    </row>
    <row r="36" spans="2:3" x14ac:dyDescent="0.25">
      <c r="B36" s="13" t="s">
        <v>317</v>
      </c>
      <c r="C36" t="s">
        <v>236</v>
      </c>
    </row>
    <row r="37" spans="2:3" x14ac:dyDescent="0.25">
      <c r="B37" s="14" t="s">
        <v>225</v>
      </c>
      <c r="C37" s="15">
        <v>16</v>
      </c>
    </row>
    <row r="38" spans="2:3" x14ac:dyDescent="0.25">
      <c r="B38" s="14" t="s">
        <v>226</v>
      </c>
      <c r="C38" s="15">
        <v>14</v>
      </c>
    </row>
    <row r="39" spans="2:3" x14ac:dyDescent="0.25">
      <c r="B39" s="14" t="s">
        <v>228</v>
      </c>
      <c r="C39" s="15">
        <v>4</v>
      </c>
    </row>
    <row r="40" spans="2:3" x14ac:dyDescent="0.25">
      <c r="B40" s="14" t="s">
        <v>229</v>
      </c>
      <c r="C40" s="15">
        <v>1</v>
      </c>
    </row>
    <row r="41" spans="2:3" x14ac:dyDescent="0.25">
      <c r="B41" s="14" t="s">
        <v>234</v>
      </c>
      <c r="C41" s="15">
        <v>2</v>
      </c>
    </row>
    <row r="42" spans="2:3" x14ac:dyDescent="0.25">
      <c r="B42" s="14" t="s">
        <v>223</v>
      </c>
      <c r="C42" s="15">
        <v>5</v>
      </c>
    </row>
    <row r="43" spans="2:3" x14ac:dyDescent="0.25">
      <c r="B43" s="14" t="s">
        <v>227</v>
      </c>
      <c r="C43" s="15">
        <v>4</v>
      </c>
    </row>
    <row r="44" spans="2:3" x14ac:dyDescent="0.25">
      <c r="B44" s="14" t="s">
        <v>231</v>
      </c>
      <c r="C44" s="15">
        <v>7</v>
      </c>
    </row>
    <row r="45" spans="2:3" x14ac:dyDescent="0.25">
      <c r="B45" s="14" t="s">
        <v>149</v>
      </c>
      <c r="C45" s="15">
        <v>5</v>
      </c>
    </row>
    <row r="46" spans="2:3" x14ac:dyDescent="0.25">
      <c r="B46" s="14" t="s">
        <v>224</v>
      </c>
      <c r="C46" s="15">
        <v>1</v>
      </c>
    </row>
    <row r="47" spans="2:3" x14ac:dyDescent="0.25">
      <c r="B47" s="14" t="s">
        <v>235</v>
      </c>
      <c r="C47" s="15">
        <v>1</v>
      </c>
    </row>
    <row r="48" spans="2:3" x14ac:dyDescent="0.25">
      <c r="B48" s="14" t="s">
        <v>232</v>
      </c>
      <c r="C48" s="15">
        <v>3</v>
      </c>
    </row>
    <row r="49" spans="2:3" x14ac:dyDescent="0.25">
      <c r="B49" s="14" t="s">
        <v>151</v>
      </c>
      <c r="C49" s="15">
        <v>63</v>
      </c>
    </row>
  </sheetData>
  <conditionalFormatting pivot="1" sqref="C4:C30">
    <cfRule type="colorScale" priority="6">
      <colorScale>
        <cfvo type="min"/>
        <cfvo type="percentile" val="50"/>
        <cfvo type="max"/>
        <color rgb="FF63BE7B"/>
        <color rgb="FFFFEB84"/>
        <color rgb="FFF8696B"/>
      </colorScale>
    </cfRule>
  </conditionalFormatting>
  <conditionalFormatting pivot="1" sqref="F4:F27">
    <cfRule type="colorScale" priority="5">
      <colorScale>
        <cfvo type="min"/>
        <cfvo type="percentile" val="50"/>
        <cfvo type="max"/>
        <color rgb="FF63BE7B"/>
        <color rgb="FFFFEB84"/>
        <color rgb="FFF8696B"/>
      </colorScale>
    </cfRule>
  </conditionalFormatting>
  <conditionalFormatting pivot="1" sqref="I4:I31">
    <cfRule type="colorScale" priority="4">
      <colorScale>
        <cfvo type="min"/>
        <cfvo type="percentile" val="50"/>
        <cfvo type="max"/>
        <color rgb="FF63BE7B"/>
        <color rgb="FFFFEB84"/>
        <color rgb="FFF8696B"/>
      </colorScale>
    </cfRule>
  </conditionalFormatting>
  <conditionalFormatting pivot="1" sqref="L4:L28">
    <cfRule type="colorScale" priority="3">
      <colorScale>
        <cfvo type="min"/>
        <cfvo type="percentile" val="50"/>
        <cfvo type="max"/>
        <color rgb="FF63BE7B"/>
        <color rgb="FFFFEB84"/>
        <color rgb="FFF8696B"/>
      </colorScale>
    </cfRule>
  </conditionalFormatting>
  <conditionalFormatting pivot="1" sqref="O4:O22">
    <cfRule type="colorScale" priority="2">
      <colorScale>
        <cfvo type="min"/>
        <cfvo type="percentile" val="50"/>
        <cfvo type="max"/>
        <color rgb="FF63BE7B"/>
        <color rgb="FFFFEB84"/>
        <color rgb="FFF8696B"/>
      </colorScale>
    </cfRule>
  </conditionalFormatting>
  <conditionalFormatting pivot="1" sqref="C37:C48">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92"/>
  <sheetViews>
    <sheetView topLeftCell="A76" zoomScale="85" zoomScaleNormal="85" workbookViewId="0">
      <pane xSplit="3" topLeftCell="N1" activePane="topRight" state="frozen"/>
      <selection pane="topRight" activeCell="A165" sqref="A165"/>
    </sheetView>
  </sheetViews>
  <sheetFormatPr defaultRowHeight="15" x14ac:dyDescent="0.25"/>
  <cols>
    <col min="1" max="1" width="49.140625" bestFit="1" customWidth="1"/>
    <col min="2" max="2" width="6.7109375" customWidth="1"/>
    <col min="3" max="3" width="1.28515625" customWidth="1"/>
    <col min="4" max="8" width="60.7109375" style="19" customWidth="1"/>
    <col min="9" max="9" width="61.140625" style="19" customWidth="1"/>
    <col min="10" max="30" width="60.7109375" style="19" customWidth="1"/>
    <col min="31" max="39" width="60.7109375" customWidth="1"/>
  </cols>
  <sheetData>
    <row r="1" spans="1:30" x14ac:dyDescent="0.25">
      <c r="A1" s="1" t="s">
        <v>153</v>
      </c>
      <c r="D1" s="20" t="s">
        <v>154</v>
      </c>
    </row>
    <row r="2" spans="1:30" x14ac:dyDescent="0.25">
      <c r="A2" s="17" t="s">
        <v>64</v>
      </c>
      <c r="B2" s="17">
        <v>29</v>
      </c>
      <c r="D2" s="30" t="s">
        <v>64</v>
      </c>
      <c r="E2" s="30" t="s">
        <v>62</v>
      </c>
      <c r="F2" s="30" t="s">
        <v>63</v>
      </c>
      <c r="G2" s="30" t="s">
        <v>55</v>
      </c>
      <c r="H2" s="30" t="s">
        <v>58</v>
      </c>
      <c r="I2" s="30" t="s">
        <v>77</v>
      </c>
      <c r="J2" s="30" t="s">
        <v>60</v>
      </c>
      <c r="K2" s="30" t="s">
        <v>67</v>
      </c>
      <c r="L2" s="30" t="s">
        <v>338</v>
      </c>
      <c r="M2" s="30" t="s">
        <v>66</v>
      </c>
      <c r="N2" s="30" t="s">
        <v>65</v>
      </c>
      <c r="O2" s="30" t="s">
        <v>68</v>
      </c>
      <c r="P2" s="30" t="s">
        <v>73</v>
      </c>
      <c r="Q2" s="30" t="s">
        <v>69</v>
      </c>
      <c r="R2" s="30" t="s">
        <v>61</v>
      </c>
      <c r="S2" s="30" t="s">
        <v>59</v>
      </c>
      <c r="T2" s="45" t="s">
        <v>75</v>
      </c>
      <c r="U2" s="45" t="s">
        <v>72</v>
      </c>
      <c r="V2" s="45" t="s">
        <v>76</v>
      </c>
      <c r="W2" s="45" t="s">
        <v>70</v>
      </c>
      <c r="X2" s="45" t="s">
        <v>78</v>
      </c>
      <c r="Y2" s="45" t="s">
        <v>359</v>
      </c>
      <c r="Z2" s="45" t="s">
        <v>71</v>
      </c>
      <c r="AA2" s="45" t="s">
        <v>80</v>
      </c>
      <c r="AB2" s="45" t="s">
        <v>74</v>
      </c>
      <c r="AC2" s="45" t="s">
        <v>79</v>
      </c>
      <c r="AD2" s="45" t="s">
        <v>81</v>
      </c>
    </row>
    <row r="3" spans="1:30" ht="105" x14ac:dyDescent="0.25">
      <c r="A3" s="17" t="s">
        <v>62</v>
      </c>
      <c r="B3" s="17">
        <v>21</v>
      </c>
      <c r="D3" s="19" t="s">
        <v>318</v>
      </c>
      <c r="E3" s="19" t="s">
        <v>320</v>
      </c>
      <c r="F3" s="19" t="s">
        <v>319</v>
      </c>
      <c r="G3" s="19" t="s">
        <v>321</v>
      </c>
      <c r="H3" s="19" t="s">
        <v>322</v>
      </c>
      <c r="I3" s="19" t="s">
        <v>323</v>
      </c>
      <c r="J3" s="19" t="s">
        <v>331</v>
      </c>
      <c r="K3" s="19" t="s">
        <v>334</v>
      </c>
      <c r="L3" s="19" t="s">
        <v>337</v>
      </c>
      <c r="M3" s="19" t="s">
        <v>343</v>
      </c>
      <c r="N3" s="19" t="s">
        <v>347</v>
      </c>
      <c r="O3" s="19" t="s">
        <v>349</v>
      </c>
      <c r="P3" s="19" t="s">
        <v>350</v>
      </c>
      <c r="Q3" s="19" t="s">
        <v>352</v>
      </c>
      <c r="R3" s="34" t="s">
        <v>353</v>
      </c>
      <c r="S3" s="19" t="s">
        <v>354</v>
      </c>
      <c r="T3" s="19" t="s">
        <v>356</v>
      </c>
      <c r="U3" s="19" t="s">
        <v>357</v>
      </c>
      <c r="V3" s="19" t="s">
        <v>339</v>
      </c>
      <c r="W3" s="19" t="s">
        <v>339</v>
      </c>
      <c r="X3" s="19" t="s">
        <v>358</v>
      </c>
      <c r="Y3" s="19" t="s">
        <v>360</v>
      </c>
      <c r="Z3" s="19" t="s">
        <v>179</v>
      </c>
      <c r="AA3" s="19" t="s">
        <v>361</v>
      </c>
      <c r="AB3" s="19" t="s">
        <v>339</v>
      </c>
      <c r="AC3" s="19" t="s">
        <v>362</v>
      </c>
      <c r="AD3" s="19" t="s">
        <v>179</v>
      </c>
    </row>
    <row r="4" spans="1:30" ht="45" x14ac:dyDescent="0.25">
      <c r="A4" s="17" t="s">
        <v>63</v>
      </c>
      <c r="B4" s="17">
        <v>19</v>
      </c>
      <c r="E4" s="19" t="s">
        <v>165</v>
      </c>
      <c r="J4" s="19" t="s">
        <v>325</v>
      </c>
      <c r="K4" s="19" t="s">
        <v>335</v>
      </c>
      <c r="L4" s="19" t="s">
        <v>340</v>
      </c>
      <c r="M4" s="19" t="s">
        <v>344</v>
      </c>
      <c r="N4" s="19" t="s">
        <v>346</v>
      </c>
      <c r="P4" s="19" t="s">
        <v>351</v>
      </c>
    </row>
    <row r="5" spans="1:30" ht="45" x14ac:dyDescent="0.25">
      <c r="A5" s="17" t="s">
        <v>55</v>
      </c>
      <c r="B5" s="17">
        <v>17</v>
      </c>
      <c r="E5" s="19" t="s">
        <v>166</v>
      </c>
      <c r="J5" s="19" t="s">
        <v>329</v>
      </c>
      <c r="K5" s="19" t="s">
        <v>336</v>
      </c>
      <c r="L5" s="19" t="s">
        <v>341</v>
      </c>
      <c r="M5" s="19" t="s">
        <v>345</v>
      </c>
      <c r="N5" s="19" t="s">
        <v>348</v>
      </c>
    </row>
    <row r="6" spans="1:30" ht="30" x14ac:dyDescent="0.25">
      <c r="A6" s="17" t="s">
        <v>58</v>
      </c>
      <c r="B6" s="17">
        <v>13</v>
      </c>
      <c r="J6" s="44" t="s">
        <v>355</v>
      </c>
      <c r="L6" s="19" t="s">
        <v>342</v>
      </c>
    </row>
    <row r="7" spans="1:30" ht="30" x14ac:dyDescent="0.25">
      <c r="A7" s="17" t="s">
        <v>77</v>
      </c>
      <c r="B7" s="17">
        <v>12</v>
      </c>
      <c r="J7" s="44" t="s">
        <v>324</v>
      </c>
    </row>
    <row r="8" spans="1:30" ht="60" x14ac:dyDescent="0.25">
      <c r="A8" s="17" t="s">
        <v>60</v>
      </c>
      <c r="B8" s="17">
        <v>12</v>
      </c>
      <c r="J8" s="44" t="s">
        <v>332</v>
      </c>
    </row>
    <row r="9" spans="1:30" x14ac:dyDescent="0.25">
      <c r="A9" s="17" t="s">
        <v>67</v>
      </c>
      <c r="B9" s="17">
        <v>8</v>
      </c>
      <c r="J9" s="44" t="s">
        <v>333</v>
      </c>
    </row>
    <row r="10" spans="1:30" ht="46.5" customHeight="1" x14ac:dyDescent="0.25">
      <c r="A10" s="17" t="s">
        <v>57</v>
      </c>
      <c r="B10" s="17">
        <v>8</v>
      </c>
      <c r="J10" s="44" t="s">
        <v>326</v>
      </c>
    </row>
    <row r="11" spans="1:30" ht="30" x14ac:dyDescent="0.25">
      <c r="A11" s="17" t="s">
        <v>66</v>
      </c>
      <c r="B11" s="17">
        <v>8</v>
      </c>
      <c r="J11" s="44" t="s">
        <v>327</v>
      </c>
    </row>
    <row r="12" spans="1:30" ht="30" x14ac:dyDescent="0.25">
      <c r="A12" s="17" t="s">
        <v>65</v>
      </c>
      <c r="B12" s="17">
        <v>7</v>
      </c>
      <c r="J12" s="44" t="s">
        <v>328</v>
      </c>
    </row>
    <row r="13" spans="1:30" x14ac:dyDescent="0.25">
      <c r="A13" s="17" t="s">
        <v>68</v>
      </c>
      <c r="B13" s="17">
        <v>6</v>
      </c>
    </row>
    <row r="14" spans="1:30" x14ac:dyDescent="0.25">
      <c r="A14" s="17" t="s">
        <v>73</v>
      </c>
      <c r="B14" s="17">
        <v>6</v>
      </c>
      <c r="J14" s="37" t="s">
        <v>330</v>
      </c>
    </row>
    <row r="15" spans="1:30" x14ac:dyDescent="0.25">
      <c r="A15" s="17" t="s">
        <v>69</v>
      </c>
      <c r="B15" s="17">
        <v>5</v>
      </c>
    </row>
    <row r="16" spans="1:30" x14ac:dyDescent="0.25">
      <c r="A16" s="17" t="s">
        <v>61</v>
      </c>
      <c r="B16" s="17">
        <v>4</v>
      </c>
    </row>
    <row r="17" spans="1:30" x14ac:dyDescent="0.25">
      <c r="A17" s="17" t="s">
        <v>59</v>
      </c>
      <c r="B17" s="17">
        <v>4</v>
      </c>
    </row>
    <row r="18" spans="1:30" x14ac:dyDescent="0.25">
      <c r="A18" s="17" t="s">
        <v>75</v>
      </c>
      <c r="B18" s="17">
        <v>2</v>
      </c>
    </row>
    <row r="19" spans="1:30" x14ac:dyDescent="0.25">
      <c r="A19" s="17" t="s">
        <v>72</v>
      </c>
      <c r="B19" s="17">
        <v>2</v>
      </c>
    </row>
    <row r="20" spans="1:30" x14ac:dyDescent="0.25">
      <c r="A20" s="17" t="s">
        <v>76</v>
      </c>
      <c r="B20" s="17">
        <v>2</v>
      </c>
    </row>
    <row r="21" spans="1:30" x14ac:dyDescent="0.25">
      <c r="A21" s="17" t="s">
        <v>70</v>
      </c>
      <c r="B21" s="17">
        <v>2</v>
      </c>
    </row>
    <row r="22" spans="1:30" x14ac:dyDescent="0.25">
      <c r="A22" s="17" t="s">
        <v>78</v>
      </c>
      <c r="B22" s="17">
        <v>1</v>
      </c>
    </row>
    <row r="23" spans="1:30" x14ac:dyDescent="0.25">
      <c r="A23" s="17" t="s">
        <v>56</v>
      </c>
      <c r="B23" s="17">
        <v>1</v>
      </c>
    </row>
    <row r="24" spans="1:30" x14ac:dyDescent="0.25">
      <c r="A24" s="17" t="s">
        <v>71</v>
      </c>
      <c r="B24" s="17">
        <v>1</v>
      </c>
    </row>
    <row r="25" spans="1:30" x14ac:dyDescent="0.25">
      <c r="A25" s="17" t="s">
        <v>80</v>
      </c>
      <c r="B25" s="17">
        <v>1</v>
      </c>
    </row>
    <row r="26" spans="1:30" x14ac:dyDescent="0.25">
      <c r="A26" s="17" t="s">
        <v>74</v>
      </c>
      <c r="B26" s="17">
        <v>1</v>
      </c>
    </row>
    <row r="27" spans="1:30" x14ac:dyDescent="0.25">
      <c r="A27" s="17" t="s">
        <v>79</v>
      </c>
      <c r="B27" s="17">
        <v>1</v>
      </c>
    </row>
    <row r="28" spans="1:30" x14ac:dyDescent="0.25">
      <c r="A28" s="17" t="s">
        <v>81</v>
      </c>
      <c r="B28" s="17">
        <v>1</v>
      </c>
    </row>
    <row r="29" spans="1:30" s="12" customFormat="1" x14ac:dyDescent="0.25">
      <c r="D29" s="31"/>
      <c r="E29" s="31"/>
      <c r="F29" s="31"/>
      <c r="G29" s="31"/>
      <c r="H29" s="31"/>
      <c r="I29" s="31"/>
      <c r="J29" s="31"/>
      <c r="K29" s="31"/>
      <c r="L29" s="31"/>
      <c r="M29" s="31"/>
      <c r="N29" s="31"/>
      <c r="O29" s="31"/>
      <c r="P29" s="31"/>
      <c r="Q29" s="31"/>
      <c r="R29" s="31"/>
      <c r="S29" s="31"/>
      <c r="T29" s="31"/>
      <c r="U29" s="31"/>
      <c r="V29" s="31"/>
      <c r="W29" s="31"/>
      <c r="X29" s="31"/>
      <c r="Y29" s="31"/>
      <c r="Z29" s="31"/>
      <c r="AA29" s="31"/>
      <c r="AB29" s="31"/>
      <c r="AC29" s="31"/>
      <c r="AD29" s="31"/>
    </row>
    <row r="30" spans="1:30" x14ac:dyDescent="0.25">
      <c r="A30" s="1" t="s">
        <v>83</v>
      </c>
      <c r="D30" s="20" t="s">
        <v>154</v>
      </c>
    </row>
    <row r="31" spans="1:30" x14ac:dyDescent="0.25">
      <c r="A31" s="16" t="s">
        <v>93</v>
      </c>
      <c r="B31" s="17">
        <v>31</v>
      </c>
      <c r="D31" s="30" t="s">
        <v>93</v>
      </c>
      <c r="E31" s="30" t="s">
        <v>94</v>
      </c>
      <c r="F31" s="30" t="s">
        <v>85</v>
      </c>
      <c r="G31" s="30" t="s">
        <v>99</v>
      </c>
      <c r="H31" s="30" t="s">
        <v>98</v>
      </c>
      <c r="I31" s="30" t="s">
        <v>84</v>
      </c>
      <c r="J31" s="30" t="s">
        <v>90</v>
      </c>
      <c r="K31" s="30" t="s">
        <v>89</v>
      </c>
      <c r="L31" s="30" t="s">
        <v>60</v>
      </c>
      <c r="M31" s="30" t="s">
        <v>92</v>
      </c>
      <c r="N31" s="30" t="s">
        <v>87</v>
      </c>
      <c r="O31" s="30" t="s">
        <v>101</v>
      </c>
      <c r="P31" s="30" t="s">
        <v>103</v>
      </c>
      <c r="Q31" s="30" t="s">
        <v>96</v>
      </c>
      <c r="R31" s="30" t="s">
        <v>97</v>
      </c>
      <c r="S31" s="30" t="s">
        <v>1</v>
      </c>
      <c r="T31" s="30" t="s">
        <v>104</v>
      </c>
      <c r="U31" s="30" t="s">
        <v>102</v>
      </c>
      <c r="V31" s="30" t="s">
        <v>86</v>
      </c>
      <c r="W31" s="30" t="s">
        <v>88</v>
      </c>
      <c r="X31" s="30" t="s">
        <v>91</v>
      </c>
      <c r="Y31" s="30" t="s">
        <v>95</v>
      </c>
      <c r="Z31" s="30" t="s">
        <v>100</v>
      </c>
      <c r="AA31" s="30" t="s">
        <v>72</v>
      </c>
    </row>
    <row r="32" spans="1:30" ht="45" x14ac:dyDescent="0.25">
      <c r="A32" s="16" t="s">
        <v>94</v>
      </c>
      <c r="B32" s="17">
        <v>20</v>
      </c>
      <c r="D32" s="19" t="s">
        <v>380</v>
      </c>
      <c r="E32" s="19" t="s">
        <v>383</v>
      </c>
      <c r="F32" s="19" t="s">
        <v>385</v>
      </c>
      <c r="G32" s="37" t="s">
        <v>208</v>
      </c>
      <c r="H32" s="19" t="s">
        <v>386</v>
      </c>
      <c r="I32" s="19" t="s">
        <v>390</v>
      </c>
      <c r="J32" s="19" t="s">
        <v>391</v>
      </c>
      <c r="L32" s="37" t="s">
        <v>221</v>
      </c>
      <c r="M32" s="19" t="s">
        <v>394</v>
      </c>
      <c r="N32" s="19" t="s">
        <v>398</v>
      </c>
      <c r="O32" s="19" t="s">
        <v>399</v>
      </c>
      <c r="P32" s="19" t="s">
        <v>400</v>
      </c>
      <c r="R32" s="19" t="s">
        <v>401</v>
      </c>
      <c r="T32" s="19" t="s">
        <v>402</v>
      </c>
      <c r="U32" s="19" t="s">
        <v>404</v>
      </c>
      <c r="V32" s="37" t="s">
        <v>250</v>
      </c>
      <c r="W32" s="19" t="s">
        <v>403</v>
      </c>
    </row>
    <row r="33" spans="1:13" ht="45" x14ac:dyDescent="0.25">
      <c r="A33" s="16" t="s">
        <v>85</v>
      </c>
      <c r="B33" s="17">
        <v>19</v>
      </c>
      <c r="D33" s="19" t="s">
        <v>381</v>
      </c>
      <c r="E33" s="19" t="s">
        <v>384</v>
      </c>
      <c r="G33" s="19" t="s">
        <v>415</v>
      </c>
      <c r="H33" s="19" t="s">
        <v>387</v>
      </c>
      <c r="K33" s="19" t="s">
        <v>207</v>
      </c>
      <c r="L33" s="19" t="s">
        <v>392</v>
      </c>
      <c r="M33" s="19" t="s">
        <v>395</v>
      </c>
    </row>
    <row r="34" spans="1:13" ht="30" x14ac:dyDescent="0.25">
      <c r="A34" s="16" t="s">
        <v>99</v>
      </c>
      <c r="B34" s="17">
        <v>17</v>
      </c>
      <c r="D34" s="19" t="s">
        <v>382</v>
      </c>
      <c r="H34" s="19" t="s">
        <v>388</v>
      </c>
      <c r="K34" s="19" t="s">
        <v>282</v>
      </c>
      <c r="L34" s="19" t="s">
        <v>393</v>
      </c>
      <c r="M34" s="19" t="s">
        <v>396</v>
      </c>
    </row>
    <row r="35" spans="1:13" ht="30" x14ac:dyDescent="0.25">
      <c r="A35" s="16" t="s">
        <v>98</v>
      </c>
      <c r="B35" s="17">
        <v>15</v>
      </c>
      <c r="H35" s="19" t="s">
        <v>389</v>
      </c>
      <c r="M35" s="19" t="s">
        <v>397</v>
      </c>
    </row>
    <row r="36" spans="1:13" x14ac:dyDescent="0.25">
      <c r="A36" s="16" t="s">
        <v>84</v>
      </c>
      <c r="B36" s="17">
        <v>15</v>
      </c>
    </row>
    <row r="37" spans="1:13" x14ac:dyDescent="0.25">
      <c r="A37" s="16" t="s">
        <v>90</v>
      </c>
      <c r="B37" s="17">
        <v>14</v>
      </c>
    </row>
    <row r="38" spans="1:13" x14ac:dyDescent="0.25">
      <c r="A38" s="16" t="s">
        <v>89</v>
      </c>
      <c r="B38" s="17">
        <v>13</v>
      </c>
    </row>
    <row r="39" spans="1:13" x14ac:dyDescent="0.25">
      <c r="A39" s="16" t="s">
        <v>60</v>
      </c>
      <c r="B39" s="17">
        <v>13</v>
      </c>
    </row>
    <row r="40" spans="1:13" x14ac:dyDescent="0.25">
      <c r="A40" s="16" t="s">
        <v>92</v>
      </c>
      <c r="B40" s="17">
        <v>12</v>
      </c>
    </row>
    <row r="41" spans="1:13" x14ac:dyDescent="0.25">
      <c r="A41" s="16" t="s">
        <v>87</v>
      </c>
      <c r="B41" s="17">
        <v>9</v>
      </c>
    </row>
    <row r="42" spans="1:13" x14ac:dyDescent="0.25">
      <c r="A42" s="16" t="s">
        <v>101</v>
      </c>
      <c r="B42" s="17">
        <v>8</v>
      </c>
    </row>
    <row r="43" spans="1:13" x14ac:dyDescent="0.25">
      <c r="A43" s="16" t="s">
        <v>103</v>
      </c>
      <c r="B43" s="17">
        <v>6</v>
      </c>
    </row>
    <row r="44" spans="1:13" x14ac:dyDescent="0.25">
      <c r="A44" s="16" t="s">
        <v>96</v>
      </c>
      <c r="B44" s="17">
        <v>6</v>
      </c>
    </row>
    <row r="45" spans="1:13" x14ac:dyDescent="0.25">
      <c r="A45" s="16" t="s">
        <v>97</v>
      </c>
      <c r="B45" s="17">
        <v>6</v>
      </c>
    </row>
    <row r="46" spans="1:13" x14ac:dyDescent="0.25">
      <c r="A46" s="16" t="s">
        <v>1</v>
      </c>
      <c r="B46" s="17">
        <v>4</v>
      </c>
    </row>
    <row r="47" spans="1:13" x14ac:dyDescent="0.25">
      <c r="A47" s="16" t="s">
        <v>104</v>
      </c>
      <c r="B47" s="17">
        <v>4</v>
      </c>
    </row>
    <row r="48" spans="1:13" x14ac:dyDescent="0.25">
      <c r="A48" s="16" t="s">
        <v>102</v>
      </c>
      <c r="B48" s="17">
        <v>4</v>
      </c>
    </row>
    <row r="49" spans="1:31" x14ac:dyDescent="0.25">
      <c r="A49" s="16" t="s">
        <v>86</v>
      </c>
      <c r="B49" s="17">
        <v>4</v>
      </c>
    </row>
    <row r="50" spans="1:31" x14ac:dyDescent="0.25">
      <c r="A50" s="16" t="s">
        <v>88</v>
      </c>
      <c r="B50" s="17">
        <v>3</v>
      </c>
    </row>
    <row r="51" spans="1:31" x14ac:dyDescent="0.25">
      <c r="A51" s="16" t="s">
        <v>91</v>
      </c>
      <c r="B51" s="17">
        <v>3</v>
      </c>
    </row>
    <row r="52" spans="1:31" x14ac:dyDescent="0.25">
      <c r="A52" s="16" t="s">
        <v>95</v>
      </c>
      <c r="B52" s="17">
        <v>2</v>
      </c>
    </row>
    <row r="53" spans="1:31" x14ac:dyDescent="0.25">
      <c r="A53" s="16" t="s">
        <v>100</v>
      </c>
      <c r="B53" s="17">
        <v>2</v>
      </c>
    </row>
    <row r="54" spans="1:31" x14ac:dyDescent="0.25">
      <c r="A54" s="16" t="s">
        <v>72</v>
      </c>
      <c r="B54" s="17">
        <v>1</v>
      </c>
    </row>
    <row r="55" spans="1:31" s="12" customFormat="1" x14ac:dyDescent="0.25">
      <c r="D55" s="31"/>
      <c r="E55" s="31"/>
      <c r="F55" s="31"/>
      <c r="G55" s="31"/>
      <c r="H55" s="31"/>
      <c r="I55" s="31"/>
      <c r="J55" s="31"/>
      <c r="K55" s="31"/>
      <c r="L55" s="31"/>
      <c r="M55" s="31"/>
      <c r="N55" s="31"/>
      <c r="O55" s="31"/>
      <c r="P55" s="31"/>
      <c r="Q55" s="31"/>
      <c r="R55" s="31"/>
      <c r="S55" s="31"/>
      <c r="T55" s="31"/>
      <c r="U55" s="31"/>
      <c r="V55" s="31"/>
      <c r="W55" s="31"/>
      <c r="X55" s="31"/>
      <c r="Y55" s="31"/>
      <c r="Z55" s="31"/>
      <c r="AA55" s="31"/>
      <c r="AB55" s="31"/>
      <c r="AC55" s="31"/>
      <c r="AD55" s="31"/>
    </row>
    <row r="56" spans="1:31" x14ac:dyDescent="0.25">
      <c r="A56" s="1" t="s">
        <v>106</v>
      </c>
      <c r="D56" s="20" t="s">
        <v>154</v>
      </c>
    </row>
    <row r="57" spans="1:31" x14ac:dyDescent="0.25">
      <c r="A57" s="16" t="s">
        <v>111</v>
      </c>
      <c r="B57" s="17">
        <v>43</v>
      </c>
      <c r="D57" s="30" t="s">
        <v>111</v>
      </c>
      <c r="E57" s="30" t="s">
        <v>84</v>
      </c>
      <c r="F57" s="30" t="s">
        <v>101</v>
      </c>
      <c r="G57" s="30" t="s">
        <v>93</v>
      </c>
      <c r="H57" s="30" t="s">
        <v>109</v>
      </c>
      <c r="I57" s="30" t="s">
        <v>107</v>
      </c>
      <c r="J57" s="30" t="s">
        <v>65</v>
      </c>
      <c r="K57" s="30" t="s">
        <v>57</v>
      </c>
      <c r="L57" s="30" t="s">
        <v>88</v>
      </c>
      <c r="M57" s="30" t="s">
        <v>87</v>
      </c>
      <c r="N57" s="30" t="s">
        <v>112</v>
      </c>
      <c r="O57" s="30" t="s">
        <v>72</v>
      </c>
      <c r="P57" s="30" t="s">
        <v>114</v>
      </c>
      <c r="Q57" s="30" t="s">
        <v>71</v>
      </c>
      <c r="R57" s="30" t="s">
        <v>110</v>
      </c>
      <c r="S57" s="30" t="s">
        <v>74</v>
      </c>
      <c r="T57" s="30" t="s">
        <v>97</v>
      </c>
      <c r="U57" s="30" t="s">
        <v>91</v>
      </c>
      <c r="V57" s="30" t="s">
        <v>61</v>
      </c>
      <c r="W57" s="30" t="s">
        <v>94</v>
      </c>
      <c r="X57" s="30" t="s">
        <v>70</v>
      </c>
      <c r="Y57" s="30" t="s">
        <v>116</v>
      </c>
      <c r="Z57" s="30" t="s">
        <v>118</v>
      </c>
      <c r="AA57" s="30" t="s">
        <v>115</v>
      </c>
      <c r="AB57" s="30" t="s">
        <v>117</v>
      </c>
      <c r="AC57" s="30" t="s">
        <v>108</v>
      </c>
      <c r="AD57" s="30" t="s">
        <v>113</v>
      </c>
      <c r="AE57" s="18" t="s">
        <v>119</v>
      </c>
    </row>
    <row r="58" spans="1:31" ht="30" x14ac:dyDescent="0.25">
      <c r="A58" s="16" t="s">
        <v>84</v>
      </c>
      <c r="B58" s="17">
        <v>27</v>
      </c>
      <c r="D58" s="19" t="s">
        <v>405</v>
      </c>
      <c r="E58" s="19" t="s">
        <v>407</v>
      </c>
      <c r="F58" s="19" t="s">
        <v>408</v>
      </c>
      <c r="G58" s="19" t="s">
        <v>409</v>
      </c>
      <c r="H58" s="19" t="s">
        <v>179</v>
      </c>
      <c r="I58" s="19" t="s">
        <v>410</v>
      </c>
      <c r="J58" s="19" t="s">
        <v>179</v>
      </c>
      <c r="K58" s="19" t="s">
        <v>179</v>
      </c>
      <c r="L58" s="19" t="s">
        <v>411</v>
      </c>
      <c r="M58" s="19" t="s">
        <v>398</v>
      </c>
      <c r="N58" s="19" t="s">
        <v>412</v>
      </c>
    </row>
    <row r="59" spans="1:31" x14ac:dyDescent="0.25">
      <c r="A59" s="16" t="s">
        <v>101</v>
      </c>
      <c r="B59" s="17">
        <v>18</v>
      </c>
      <c r="D59" s="19" t="s">
        <v>406</v>
      </c>
    </row>
    <row r="60" spans="1:31" x14ac:dyDescent="0.25">
      <c r="A60" s="16" t="s">
        <v>93</v>
      </c>
      <c r="B60" s="17">
        <v>14</v>
      </c>
    </row>
    <row r="61" spans="1:31" x14ac:dyDescent="0.25">
      <c r="A61" s="16" t="s">
        <v>109</v>
      </c>
      <c r="B61" s="17">
        <v>14</v>
      </c>
    </row>
    <row r="62" spans="1:31" x14ac:dyDescent="0.25">
      <c r="A62" s="16" t="s">
        <v>107</v>
      </c>
      <c r="B62" s="17">
        <v>13</v>
      </c>
    </row>
    <row r="63" spans="1:31" x14ac:dyDescent="0.25">
      <c r="A63" s="16" t="s">
        <v>65</v>
      </c>
      <c r="B63" s="17">
        <v>13</v>
      </c>
    </row>
    <row r="64" spans="1:31" x14ac:dyDescent="0.25">
      <c r="A64" s="16" t="s">
        <v>57</v>
      </c>
      <c r="B64" s="17">
        <v>12</v>
      </c>
    </row>
    <row r="65" spans="1:2" x14ac:dyDescent="0.25">
      <c r="A65" s="16" t="s">
        <v>88</v>
      </c>
      <c r="B65" s="17">
        <v>10</v>
      </c>
    </row>
    <row r="66" spans="1:2" x14ac:dyDescent="0.25">
      <c r="A66" s="16" t="s">
        <v>87</v>
      </c>
      <c r="B66" s="17">
        <v>8</v>
      </c>
    </row>
    <row r="67" spans="1:2" x14ac:dyDescent="0.25">
      <c r="A67" s="16" t="s">
        <v>112</v>
      </c>
      <c r="B67" s="17">
        <v>6</v>
      </c>
    </row>
    <row r="68" spans="1:2" x14ac:dyDescent="0.25">
      <c r="A68" s="16" t="s">
        <v>72</v>
      </c>
      <c r="B68" s="17">
        <v>5</v>
      </c>
    </row>
    <row r="69" spans="1:2" x14ac:dyDescent="0.25">
      <c r="A69" s="16" t="s">
        <v>114</v>
      </c>
      <c r="B69" s="17">
        <v>5</v>
      </c>
    </row>
    <row r="70" spans="1:2" x14ac:dyDescent="0.25">
      <c r="A70" s="16" t="s">
        <v>71</v>
      </c>
      <c r="B70" s="17">
        <v>4</v>
      </c>
    </row>
    <row r="71" spans="1:2" x14ac:dyDescent="0.25">
      <c r="A71" s="16" t="s">
        <v>110</v>
      </c>
      <c r="B71" s="17">
        <v>4</v>
      </c>
    </row>
    <row r="72" spans="1:2" x14ac:dyDescent="0.25">
      <c r="A72" s="16" t="s">
        <v>74</v>
      </c>
      <c r="B72" s="17">
        <v>3</v>
      </c>
    </row>
    <row r="73" spans="1:2" x14ac:dyDescent="0.25">
      <c r="A73" s="16" t="s">
        <v>97</v>
      </c>
      <c r="B73" s="17">
        <v>3</v>
      </c>
    </row>
    <row r="74" spans="1:2" x14ac:dyDescent="0.25">
      <c r="A74" s="16" t="s">
        <v>91</v>
      </c>
      <c r="B74" s="17">
        <v>3</v>
      </c>
    </row>
    <row r="75" spans="1:2" x14ac:dyDescent="0.25">
      <c r="A75" s="16" t="s">
        <v>61</v>
      </c>
      <c r="B75" s="17">
        <v>2</v>
      </c>
    </row>
    <row r="76" spans="1:2" x14ac:dyDescent="0.25">
      <c r="A76" s="16" t="s">
        <v>94</v>
      </c>
      <c r="B76" s="17">
        <v>2</v>
      </c>
    </row>
    <row r="77" spans="1:2" x14ac:dyDescent="0.25">
      <c r="A77" s="16" t="s">
        <v>70</v>
      </c>
      <c r="B77" s="17">
        <v>2</v>
      </c>
    </row>
    <row r="78" spans="1:2" x14ac:dyDescent="0.25">
      <c r="A78" s="16" t="s">
        <v>116</v>
      </c>
      <c r="B78" s="17">
        <v>1</v>
      </c>
    </row>
    <row r="79" spans="1:2" x14ac:dyDescent="0.25">
      <c r="A79" s="16" t="s">
        <v>118</v>
      </c>
      <c r="B79" s="17">
        <v>1</v>
      </c>
    </row>
    <row r="80" spans="1:2" x14ac:dyDescent="0.25">
      <c r="A80" s="36" t="s">
        <v>309</v>
      </c>
      <c r="B80" s="17">
        <v>1</v>
      </c>
    </row>
    <row r="81" spans="1:30" x14ac:dyDescent="0.25">
      <c r="A81" s="16" t="s">
        <v>117</v>
      </c>
      <c r="B81" s="17">
        <v>1</v>
      </c>
    </row>
    <row r="82" spans="1:30" x14ac:dyDescent="0.25">
      <c r="A82" s="16" t="s">
        <v>108</v>
      </c>
      <c r="B82" s="17">
        <v>1</v>
      </c>
    </row>
    <row r="83" spans="1:30" x14ac:dyDescent="0.25">
      <c r="A83" s="16" t="s">
        <v>113</v>
      </c>
      <c r="B83" s="17">
        <v>1</v>
      </c>
    </row>
    <row r="84" spans="1:30" x14ac:dyDescent="0.25">
      <c r="A84" s="16" t="s">
        <v>119</v>
      </c>
      <c r="B84" s="17">
        <v>1</v>
      </c>
    </row>
    <row r="85" spans="1:30" s="12" customFormat="1" x14ac:dyDescent="0.25">
      <c r="D85" s="31"/>
      <c r="E85" s="31"/>
      <c r="F85" s="31"/>
      <c r="G85" s="31"/>
      <c r="H85" s="31"/>
      <c r="I85" s="31"/>
      <c r="J85" s="31"/>
      <c r="K85" s="31"/>
      <c r="L85" s="31"/>
      <c r="M85" s="31"/>
      <c r="N85" s="31"/>
      <c r="O85" s="31"/>
      <c r="P85" s="31"/>
      <c r="Q85" s="31"/>
      <c r="R85" s="31"/>
      <c r="S85" s="31"/>
      <c r="T85" s="31"/>
      <c r="U85" s="31"/>
      <c r="V85" s="31"/>
      <c r="W85" s="31"/>
      <c r="X85" s="31"/>
      <c r="Y85" s="31"/>
      <c r="Z85" s="31"/>
      <c r="AA85" s="31"/>
      <c r="AB85" s="31"/>
      <c r="AC85" s="31"/>
      <c r="AD85" s="31"/>
    </row>
    <row r="86" spans="1:30" x14ac:dyDescent="0.25">
      <c r="A86" s="1" t="s">
        <v>136</v>
      </c>
      <c r="D86" s="20" t="s">
        <v>154</v>
      </c>
    </row>
    <row r="87" spans="1:30" x14ac:dyDescent="0.25">
      <c r="A87" s="16" t="s">
        <v>48</v>
      </c>
      <c r="B87" s="17">
        <v>37</v>
      </c>
      <c r="D87" s="30" t="s">
        <v>48</v>
      </c>
      <c r="E87" s="30" t="s">
        <v>24</v>
      </c>
      <c r="F87" s="30" t="s">
        <v>124</v>
      </c>
      <c r="G87" s="30" t="s">
        <v>33</v>
      </c>
      <c r="H87" s="30" t="s">
        <v>46</v>
      </c>
      <c r="I87" s="30" t="s">
        <v>44</v>
      </c>
      <c r="J87" s="30" t="s">
        <v>123</v>
      </c>
      <c r="K87" s="30" t="s">
        <v>8</v>
      </c>
      <c r="L87" s="30" t="s">
        <v>121</v>
      </c>
      <c r="M87" s="30" t="s">
        <v>125</v>
      </c>
      <c r="N87" s="30" t="s">
        <v>132</v>
      </c>
      <c r="O87" s="30" t="s">
        <v>130</v>
      </c>
      <c r="P87" s="30" t="s">
        <v>126</v>
      </c>
      <c r="Q87" s="30" t="s">
        <v>129</v>
      </c>
      <c r="R87" s="30" t="s">
        <v>42</v>
      </c>
      <c r="S87" s="30" t="s">
        <v>10</v>
      </c>
      <c r="T87" s="30" t="s">
        <v>45</v>
      </c>
      <c r="U87" s="30" t="s">
        <v>122</v>
      </c>
      <c r="V87" s="30" t="s">
        <v>131</v>
      </c>
      <c r="W87" s="30" t="s">
        <v>47</v>
      </c>
      <c r="X87" s="30" t="s">
        <v>72</v>
      </c>
      <c r="Y87" s="30" t="s">
        <v>128</v>
      </c>
      <c r="Z87" s="30" t="s">
        <v>51</v>
      </c>
      <c r="AA87" s="30" t="s">
        <v>133</v>
      </c>
      <c r="AB87" s="30" t="s">
        <v>127</v>
      </c>
      <c r="AC87" s="30" t="s">
        <v>302</v>
      </c>
    </row>
    <row r="88" spans="1:30" ht="30" x14ac:dyDescent="0.25">
      <c r="A88" s="16" t="s">
        <v>24</v>
      </c>
      <c r="B88" s="17">
        <v>27</v>
      </c>
      <c r="D88" s="19" t="s">
        <v>183</v>
      </c>
      <c r="E88" s="19" t="s">
        <v>285</v>
      </c>
      <c r="F88" s="19" t="s">
        <v>184</v>
      </c>
      <c r="G88" s="19" t="s">
        <v>185</v>
      </c>
      <c r="H88" s="19" t="s">
        <v>194</v>
      </c>
      <c r="I88" s="19" t="s">
        <v>189</v>
      </c>
      <c r="J88" s="19" t="s">
        <v>195</v>
      </c>
      <c r="K88" s="19" t="s">
        <v>196</v>
      </c>
      <c r="L88" s="19" t="s">
        <v>197</v>
      </c>
      <c r="M88" s="19" t="s">
        <v>204</v>
      </c>
      <c r="N88" s="19" t="s">
        <v>188</v>
      </c>
      <c r="O88" s="19" t="s">
        <v>203</v>
      </c>
      <c r="P88" s="19" t="s">
        <v>198</v>
      </c>
      <c r="Q88" s="19" t="s">
        <v>199</v>
      </c>
      <c r="R88" s="19" t="s">
        <v>179</v>
      </c>
      <c r="S88" s="19" t="s">
        <v>200</v>
      </c>
      <c r="T88" s="19" t="s">
        <v>206</v>
      </c>
      <c r="U88" s="19" t="s">
        <v>201</v>
      </c>
      <c r="V88" s="19" t="s">
        <v>202</v>
      </c>
      <c r="W88" s="19" t="s">
        <v>179</v>
      </c>
      <c r="X88" s="19" t="s">
        <v>179</v>
      </c>
      <c r="Y88" s="19" t="s">
        <v>179</v>
      </c>
      <c r="Z88" s="19" t="s">
        <v>191</v>
      </c>
      <c r="AA88" s="19" t="s">
        <v>179</v>
      </c>
      <c r="AB88" s="19" t="s">
        <v>179</v>
      </c>
      <c r="AC88" s="19" t="s">
        <v>303</v>
      </c>
    </row>
    <row r="89" spans="1:30" ht="30" x14ac:dyDescent="0.25">
      <c r="A89" s="16" t="s">
        <v>124</v>
      </c>
      <c r="B89" s="17">
        <v>23</v>
      </c>
      <c r="E89" s="19" t="s">
        <v>287</v>
      </c>
      <c r="F89" s="34" t="s">
        <v>187</v>
      </c>
      <c r="G89" s="19" t="s">
        <v>186</v>
      </c>
      <c r="I89" s="19" t="s">
        <v>190</v>
      </c>
      <c r="AC89" s="19" t="s">
        <v>304</v>
      </c>
    </row>
    <row r="90" spans="1:30" x14ac:dyDescent="0.25">
      <c r="A90" s="16" t="s">
        <v>33</v>
      </c>
      <c r="B90" s="17">
        <v>21</v>
      </c>
      <c r="I90" s="19" t="s">
        <v>192</v>
      </c>
    </row>
    <row r="91" spans="1:30" ht="30" x14ac:dyDescent="0.25">
      <c r="A91" s="16" t="s">
        <v>46</v>
      </c>
      <c r="B91" s="17">
        <v>18</v>
      </c>
      <c r="I91" s="19" t="s">
        <v>193</v>
      </c>
    </row>
    <row r="92" spans="1:30" x14ac:dyDescent="0.25">
      <c r="A92" s="16" t="s">
        <v>44</v>
      </c>
      <c r="B92" s="17">
        <v>17</v>
      </c>
    </row>
    <row r="93" spans="1:30" x14ac:dyDescent="0.25">
      <c r="A93" s="16" t="s">
        <v>123</v>
      </c>
      <c r="B93" s="17">
        <v>14</v>
      </c>
    </row>
    <row r="94" spans="1:30" x14ac:dyDescent="0.25">
      <c r="A94" s="16" t="s">
        <v>8</v>
      </c>
      <c r="B94" s="17">
        <v>13</v>
      </c>
    </row>
    <row r="95" spans="1:30" x14ac:dyDescent="0.25">
      <c r="A95" s="16" t="s">
        <v>121</v>
      </c>
      <c r="B95" s="17">
        <v>13</v>
      </c>
    </row>
    <row r="96" spans="1:30" x14ac:dyDescent="0.25">
      <c r="A96" s="16" t="s">
        <v>125</v>
      </c>
      <c r="B96" s="17">
        <v>9</v>
      </c>
    </row>
    <row r="97" spans="1:30" x14ac:dyDescent="0.25">
      <c r="A97" s="16" t="s">
        <v>132</v>
      </c>
      <c r="B97" s="17">
        <v>9</v>
      </c>
    </row>
    <row r="98" spans="1:30" x14ac:dyDescent="0.25">
      <c r="A98" s="16" t="s">
        <v>130</v>
      </c>
      <c r="B98" s="17">
        <v>7</v>
      </c>
    </row>
    <row r="99" spans="1:30" x14ac:dyDescent="0.25">
      <c r="A99" s="16" t="s">
        <v>126</v>
      </c>
      <c r="B99" s="17">
        <v>6</v>
      </c>
    </row>
    <row r="100" spans="1:30" x14ac:dyDescent="0.25">
      <c r="A100" s="16" t="s">
        <v>129</v>
      </c>
      <c r="B100" s="17">
        <v>5</v>
      </c>
    </row>
    <row r="101" spans="1:30" x14ac:dyDescent="0.25">
      <c r="A101" s="16" t="s">
        <v>42</v>
      </c>
      <c r="B101" s="17">
        <v>4</v>
      </c>
    </row>
    <row r="102" spans="1:30" x14ac:dyDescent="0.25">
      <c r="A102" s="16" t="s">
        <v>10</v>
      </c>
      <c r="B102" s="17">
        <v>4</v>
      </c>
    </row>
    <row r="103" spans="1:30" x14ac:dyDescent="0.25">
      <c r="A103" s="16" t="s">
        <v>45</v>
      </c>
      <c r="B103" s="17">
        <v>4</v>
      </c>
    </row>
    <row r="104" spans="1:30" x14ac:dyDescent="0.25">
      <c r="A104" s="16" t="s">
        <v>122</v>
      </c>
      <c r="B104" s="17">
        <v>4</v>
      </c>
    </row>
    <row r="105" spans="1:30" x14ac:dyDescent="0.25">
      <c r="A105" s="16" t="s">
        <v>131</v>
      </c>
      <c r="B105" s="17">
        <v>3</v>
      </c>
    </row>
    <row r="106" spans="1:30" x14ac:dyDescent="0.25">
      <c r="A106" s="16" t="s">
        <v>47</v>
      </c>
      <c r="B106" s="17">
        <v>2</v>
      </c>
    </row>
    <row r="107" spans="1:30" x14ac:dyDescent="0.25">
      <c r="A107" s="16" t="s">
        <v>72</v>
      </c>
      <c r="B107" s="17">
        <v>2</v>
      </c>
    </row>
    <row r="108" spans="1:30" x14ac:dyDescent="0.25">
      <c r="A108" s="16" t="s">
        <v>128</v>
      </c>
      <c r="B108" s="17">
        <v>1</v>
      </c>
    </row>
    <row r="109" spans="1:30" x14ac:dyDescent="0.25">
      <c r="A109" s="16" t="s">
        <v>51</v>
      </c>
      <c r="B109" s="17">
        <v>1</v>
      </c>
    </row>
    <row r="110" spans="1:30" x14ac:dyDescent="0.25">
      <c r="A110" s="16" t="s">
        <v>133</v>
      </c>
      <c r="B110" s="17">
        <v>1</v>
      </c>
    </row>
    <row r="111" spans="1:30" x14ac:dyDescent="0.25">
      <c r="A111" s="16" t="s">
        <v>127</v>
      </c>
      <c r="B111" s="17">
        <v>1</v>
      </c>
    </row>
    <row r="112" spans="1:30" s="35" customFormat="1" x14ac:dyDescent="0.25">
      <c r="A112" s="39" t="s">
        <v>301</v>
      </c>
      <c r="B112" s="40"/>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row>
    <row r="113" spans="1:30" s="12" customFormat="1" x14ac:dyDescent="0.25">
      <c r="D113" s="31"/>
      <c r="E113" s="31"/>
      <c r="F113" s="31"/>
      <c r="G113" s="31"/>
      <c r="H113" s="31"/>
      <c r="I113" s="31"/>
      <c r="J113" s="31"/>
      <c r="K113" s="31"/>
      <c r="L113" s="31"/>
      <c r="M113" s="31"/>
      <c r="N113" s="31"/>
      <c r="O113" s="31"/>
      <c r="P113" s="31"/>
      <c r="Q113" s="31"/>
      <c r="R113" s="31"/>
      <c r="S113" s="31"/>
      <c r="T113" s="31"/>
      <c r="U113" s="31"/>
      <c r="V113" s="31"/>
      <c r="W113" s="31"/>
      <c r="X113" s="31"/>
      <c r="Y113" s="31"/>
      <c r="Z113" s="31"/>
      <c r="AA113" s="31"/>
      <c r="AB113" s="31"/>
      <c r="AC113" s="31"/>
      <c r="AD113" s="31"/>
    </row>
    <row r="114" spans="1:30" x14ac:dyDescent="0.25">
      <c r="A114" s="1" t="s">
        <v>135</v>
      </c>
      <c r="D114" s="20" t="s">
        <v>154</v>
      </c>
    </row>
    <row r="115" spans="1:30" x14ac:dyDescent="0.25">
      <c r="A115" s="16" t="s">
        <v>111</v>
      </c>
      <c r="B115" s="17">
        <v>23</v>
      </c>
      <c r="D115" s="30" t="s">
        <v>111</v>
      </c>
      <c r="E115" s="30" t="s">
        <v>33</v>
      </c>
      <c r="F115" s="30" t="s">
        <v>137</v>
      </c>
      <c r="G115" s="30" t="s">
        <v>146</v>
      </c>
      <c r="H115" s="30" t="s">
        <v>147</v>
      </c>
      <c r="I115" s="30" t="s">
        <v>141</v>
      </c>
      <c r="J115" s="30" t="s">
        <v>143</v>
      </c>
      <c r="K115" s="30" t="s">
        <v>140</v>
      </c>
      <c r="L115" s="30" t="s">
        <v>109</v>
      </c>
      <c r="M115" s="30" t="s">
        <v>72</v>
      </c>
      <c r="N115" s="30" t="s">
        <v>148</v>
      </c>
      <c r="O115" s="30" t="s">
        <v>138</v>
      </c>
      <c r="P115" s="30" t="s">
        <v>88</v>
      </c>
      <c r="Q115" s="30" t="s">
        <v>144</v>
      </c>
      <c r="R115" s="30" t="s">
        <v>142</v>
      </c>
      <c r="S115" s="30" t="s">
        <v>139</v>
      </c>
      <c r="T115" s="30" t="s">
        <v>124</v>
      </c>
      <c r="U115" s="30" t="s">
        <v>149</v>
      </c>
      <c r="V115" s="30" t="s">
        <v>145</v>
      </c>
      <c r="W115" s="2" t="s">
        <v>216</v>
      </c>
      <c r="X115" s="30" t="s">
        <v>257</v>
      </c>
      <c r="Y115" s="30" t="s">
        <v>255</v>
      </c>
    </row>
    <row r="116" spans="1:30" ht="60" x14ac:dyDescent="0.25">
      <c r="A116" s="16" t="s">
        <v>33</v>
      </c>
      <c r="B116" s="17">
        <v>18</v>
      </c>
      <c r="D116" s="19" t="s">
        <v>169</v>
      </c>
      <c r="E116" s="19" t="s">
        <v>171</v>
      </c>
      <c r="F116" s="19" t="s">
        <v>168</v>
      </c>
      <c r="G116" s="19" t="s">
        <v>173</v>
      </c>
      <c r="H116" s="19" t="s">
        <v>219</v>
      </c>
      <c r="I116" s="19" t="s">
        <v>174</v>
      </c>
      <c r="J116" s="19" t="s">
        <v>175</v>
      </c>
      <c r="K116" s="19" t="s">
        <v>176</v>
      </c>
      <c r="L116" s="19" t="s">
        <v>177</v>
      </c>
      <c r="M116" s="19" t="s">
        <v>170</v>
      </c>
      <c r="N116" s="19" t="s">
        <v>178</v>
      </c>
      <c r="O116" s="19" t="s">
        <v>179</v>
      </c>
      <c r="P116" s="19" t="s">
        <v>180</v>
      </c>
      <c r="Q116" s="19" t="s">
        <v>181</v>
      </c>
      <c r="R116" s="19" t="s">
        <v>179</v>
      </c>
      <c r="S116" s="19" t="s">
        <v>179</v>
      </c>
      <c r="T116" s="19" t="s">
        <v>214</v>
      </c>
      <c r="W116" s="19" t="s">
        <v>230</v>
      </c>
      <c r="X116" s="19" t="s">
        <v>258</v>
      </c>
      <c r="Y116" s="19" t="s">
        <v>364</v>
      </c>
    </row>
    <row r="117" spans="1:30" ht="30" x14ac:dyDescent="0.25">
      <c r="A117" s="16" t="s">
        <v>137</v>
      </c>
      <c r="B117" s="17">
        <v>8</v>
      </c>
      <c r="D117" s="34" t="s">
        <v>300</v>
      </c>
      <c r="E117" s="19" t="s">
        <v>172</v>
      </c>
      <c r="H117" s="19" t="s">
        <v>210</v>
      </c>
      <c r="T117" s="19" t="s">
        <v>215</v>
      </c>
      <c r="W117" s="19" t="s">
        <v>217</v>
      </c>
      <c r="X117" s="19" t="s">
        <v>293</v>
      </c>
    </row>
    <row r="118" spans="1:30" ht="30" x14ac:dyDescent="0.25">
      <c r="A118" s="16" t="s">
        <v>146</v>
      </c>
      <c r="B118" s="17">
        <v>7</v>
      </c>
      <c r="H118" s="19" t="s">
        <v>211</v>
      </c>
      <c r="W118" s="19" t="s">
        <v>218</v>
      </c>
    </row>
    <row r="119" spans="1:30" x14ac:dyDescent="0.25">
      <c r="A119" s="16" t="s">
        <v>147</v>
      </c>
      <c r="B119" s="17">
        <v>6</v>
      </c>
      <c r="H119" s="37" t="s">
        <v>212</v>
      </c>
    </row>
    <row r="120" spans="1:30" x14ac:dyDescent="0.25">
      <c r="A120" s="16" t="s">
        <v>141</v>
      </c>
      <c r="B120" s="17">
        <v>6</v>
      </c>
      <c r="H120" s="37" t="s">
        <v>213</v>
      </c>
    </row>
    <row r="121" spans="1:30" x14ac:dyDescent="0.25">
      <c r="A121" s="16" t="s">
        <v>143</v>
      </c>
      <c r="B121" s="17">
        <v>5</v>
      </c>
      <c r="H121" s="19" t="s">
        <v>220</v>
      </c>
    </row>
    <row r="122" spans="1:30" x14ac:dyDescent="0.25">
      <c r="A122" s="16" t="s">
        <v>140</v>
      </c>
      <c r="B122" s="17">
        <v>5</v>
      </c>
    </row>
    <row r="123" spans="1:30" x14ac:dyDescent="0.25">
      <c r="A123" s="16" t="s">
        <v>109</v>
      </c>
      <c r="B123" s="17">
        <v>3</v>
      </c>
    </row>
    <row r="124" spans="1:30" x14ac:dyDescent="0.25">
      <c r="A124" s="16" t="s">
        <v>72</v>
      </c>
      <c r="B124" s="17">
        <v>3</v>
      </c>
    </row>
    <row r="125" spans="1:30" x14ac:dyDescent="0.25">
      <c r="A125" s="16" t="s">
        <v>148</v>
      </c>
      <c r="B125" s="17">
        <v>3</v>
      </c>
    </row>
    <row r="126" spans="1:30" x14ac:dyDescent="0.25">
      <c r="A126" s="16" t="s">
        <v>138</v>
      </c>
      <c r="B126" s="17">
        <v>3</v>
      </c>
    </row>
    <row r="127" spans="1:30" x14ac:dyDescent="0.25">
      <c r="A127" s="16" t="s">
        <v>88</v>
      </c>
      <c r="B127" s="17">
        <v>3</v>
      </c>
    </row>
    <row r="128" spans="1:30" x14ac:dyDescent="0.25">
      <c r="A128" s="16" t="s">
        <v>144</v>
      </c>
      <c r="B128" s="17">
        <v>2</v>
      </c>
    </row>
    <row r="129" spans="1:30" x14ac:dyDescent="0.25">
      <c r="A129" s="16" t="s">
        <v>142</v>
      </c>
      <c r="B129" s="17">
        <v>1</v>
      </c>
    </row>
    <row r="130" spans="1:30" x14ac:dyDescent="0.25">
      <c r="A130" s="16" t="s">
        <v>139</v>
      </c>
      <c r="B130" s="17">
        <v>1</v>
      </c>
    </row>
    <row r="131" spans="1:30" x14ac:dyDescent="0.25">
      <c r="A131" s="16" t="s">
        <v>124</v>
      </c>
      <c r="B131" s="17">
        <v>1</v>
      </c>
    </row>
    <row r="132" spans="1:30" x14ac:dyDescent="0.25">
      <c r="A132" s="16" t="s">
        <v>149</v>
      </c>
      <c r="B132" s="17">
        <v>1</v>
      </c>
    </row>
    <row r="133" spans="1:30" x14ac:dyDescent="0.25">
      <c r="A133" s="16" t="s">
        <v>145</v>
      </c>
      <c r="B133" s="17">
        <v>1</v>
      </c>
    </row>
    <row r="134" spans="1:30" x14ac:dyDescent="0.25">
      <c r="A134" s="2" t="s">
        <v>216</v>
      </c>
    </row>
    <row r="135" spans="1:30" s="35" customFormat="1" x14ac:dyDescent="0.25">
      <c r="A135" s="2" t="s">
        <v>256</v>
      </c>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row>
    <row r="136" spans="1:30" s="35" customFormat="1" x14ac:dyDescent="0.25">
      <c r="A136" s="38" t="s">
        <v>259</v>
      </c>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row>
    <row r="137" spans="1:30" s="12" customFormat="1" x14ac:dyDescent="0.25">
      <c r="D137" s="31"/>
      <c r="E137" s="31"/>
      <c r="F137" s="31"/>
      <c r="G137" s="31"/>
      <c r="H137" s="31"/>
      <c r="I137" s="31"/>
      <c r="J137" s="31"/>
      <c r="K137" s="31"/>
      <c r="L137" s="31"/>
      <c r="M137" s="31"/>
      <c r="N137" s="31"/>
      <c r="O137" s="31"/>
      <c r="P137" s="31"/>
      <c r="Q137" s="31"/>
      <c r="R137" s="31"/>
      <c r="S137" s="31"/>
      <c r="T137" s="31"/>
      <c r="U137" s="31"/>
      <c r="V137" s="31"/>
      <c r="W137" s="31"/>
      <c r="X137" s="31"/>
      <c r="Y137" s="31"/>
      <c r="Z137" s="31"/>
      <c r="AA137" s="31"/>
      <c r="AB137" s="31"/>
      <c r="AC137" s="31"/>
      <c r="AD137" s="31"/>
    </row>
    <row r="138" spans="1:30" s="35" customFormat="1" x14ac:dyDescent="0.25">
      <c r="A138" s="1" t="s">
        <v>222</v>
      </c>
      <c r="D138" s="20" t="s">
        <v>154</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row>
    <row r="139" spans="1:30" x14ac:dyDescent="0.25">
      <c r="A139" s="16" t="s">
        <v>225</v>
      </c>
      <c r="B139" s="17">
        <v>16</v>
      </c>
      <c r="D139" s="18" t="s">
        <v>225</v>
      </c>
      <c r="E139" s="18" t="s">
        <v>226</v>
      </c>
      <c r="F139" s="18" t="s">
        <v>231</v>
      </c>
      <c r="G139" s="18" t="s">
        <v>223</v>
      </c>
      <c r="H139" s="18" t="s">
        <v>149</v>
      </c>
      <c r="I139" s="18" t="s">
        <v>228</v>
      </c>
      <c r="J139" s="18" t="s">
        <v>227</v>
      </c>
      <c r="K139" s="18" t="s">
        <v>232</v>
      </c>
      <c r="L139" s="18" t="s">
        <v>234</v>
      </c>
      <c r="M139" s="18" t="s">
        <v>229</v>
      </c>
      <c r="N139" s="18" t="s">
        <v>224</v>
      </c>
      <c r="O139" s="18" t="s">
        <v>235</v>
      </c>
      <c r="P139" s="18" t="s">
        <v>278</v>
      </c>
      <c r="Q139" s="18" t="s">
        <v>1</v>
      </c>
      <c r="R139" s="18" t="s">
        <v>299</v>
      </c>
    </row>
    <row r="140" spans="1:30" ht="30" x14ac:dyDescent="0.25">
      <c r="A140" s="16" t="s">
        <v>226</v>
      </c>
      <c r="B140" s="17">
        <v>14</v>
      </c>
      <c r="D140" s="19" t="s">
        <v>237</v>
      </c>
      <c r="E140" s="37" t="s">
        <v>240</v>
      </c>
      <c r="F140" s="19" t="s">
        <v>242</v>
      </c>
      <c r="G140" s="19" t="s">
        <v>243</v>
      </c>
      <c r="H140" s="19" t="s">
        <v>244</v>
      </c>
      <c r="I140" s="37" t="s">
        <v>245</v>
      </c>
      <c r="J140" s="19" t="s">
        <v>246</v>
      </c>
      <c r="K140" s="19" t="s">
        <v>248</v>
      </c>
      <c r="L140" s="19" t="s">
        <v>249</v>
      </c>
      <c r="M140" s="19" t="s">
        <v>179</v>
      </c>
      <c r="N140" s="19" t="s">
        <v>179</v>
      </c>
      <c r="O140" s="19" t="s">
        <v>179</v>
      </c>
      <c r="P140" s="19" t="s">
        <v>279</v>
      </c>
      <c r="Q140" s="19" t="s">
        <v>280</v>
      </c>
      <c r="R140" s="19" t="s">
        <v>169</v>
      </c>
    </row>
    <row r="141" spans="1:30" ht="30" x14ac:dyDescent="0.25">
      <c r="A141" s="16" t="s">
        <v>231</v>
      </c>
      <c r="B141" s="17">
        <v>7</v>
      </c>
      <c r="D141" s="19" t="s">
        <v>238</v>
      </c>
      <c r="E141" s="37" t="s">
        <v>241</v>
      </c>
      <c r="J141" s="19" t="s">
        <v>247</v>
      </c>
      <c r="P141" s="19" t="s">
        <v>281</v>
      </c>
      <c r="R141" s="34" t="s">
        <v>300</v>
      </c>
    </row>
    <row r="142" spans="1:30" x14ac:dyDescent="0.25">
      <c r="A142" s="16" t="s">
        <v>223</v>
      </c>
      <c r="B142" s="17">
        <v>5</v>
      </c>
      <c r="D142" s="19" t="s">
        <v>239</v>
      </c>
    </row>
    <row r="143" spans="1:30" x14ac:dyDescent="0.25">
      <c r="A143" s="16" t="s">
        <v>149</v>
      </c>
      <c r="B143" s="17">
        <v>5</v>
      </c>
    </row>
    <row r="144" spans="1:30" x14ac:dyDescent="0.25">
      <c r="A144" s="16" t="s">
        <v>228</v>
      </c>
      <c r="B144" s="17">
        <v>4</v>
      </c>
    </row>
    <row r="145" spans="1:30" x14ac:dyDescent="0.25">
      <c r="A145" s="16" t="s">
        <v>227</v>
      </c>
      <c r="B145" s="17">
        <v>4</v>
      </c>
      <c r="D145" s="19" t="s">
        <v>254</v>
      </c>
    </row>
    <row r="146" spans="1:30" x14ac:dyDescent="0.25">
      <c r="A146" s="16" t="s">
        <v>232</v>
      </c>
      <c r="B146" s="17">
        <v>3</v>
      </c>
    </row>
    <row r="147" spans="1:30" x14ac:dyDescent="0.25">
      <c r="A147" s="16" t="s">
        <v>234</v>
      </c>
      <c r="B147" s="17">
        <v>2</v>
      </c>
    </row>
    <row r="148" spans="1:30" x14ac:dyDescent="0.25">
      <c r="A148" s="16" t="s">
        <v>229</v>
      </c>
      <c r="B148" s="17">
        <v>1</v>
      </c>
    </row>
    <row r="149" spans="1:30" x14ac:dyDescent="0.25">
      <c r="A149" s="16" t="s">
        <v>224</v>
      </c>
      <c r="B149" s="17">
        <v>1</v>
      </c>
    </row>
    <row r="150" spans="1:30" x14ac:dyDescent="0.25">
      <c r="A150" s="16" t="s">
        <v>235</v>
      </c>
      <c r="B150" s="17">
        <v>1</v>
      </c>
    </row>
    <row r="151" spans="1:30" s="35" customFormat="1" x14ac:dyDescent="0.25">
      <c r="A151" s="38" t="s">
        <v>276</v>
      </c>
      <c r="B151" s="40"/>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row>
    <row r="152" spans="1:30" s="35" customFormat="1" x14ac:dyDescent="0.25">
      <c r="A152" s="38" t="s">
        <v>277</v>
      </c>
      <c r="B152" s="40"/>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row>
    <row r="153" spans="1:30" s="12" customFormat="1" x14ac:dyDescent="0.25">
      <c r="D153" s="31"/>
      <c r="E153" s="31"/>
      <c r="F153" s="31"/>
      <c r="G153" s="31"/>
      <c r="H153" s="31"/>
      <c r="I153" s="31"/>
      <c r="J153" s="31"/>
      <c r="K153" s="31"/>
      <c r="L153" s="31"/>
      <c r="M153" s="31"/>
      <c r="N153" s="31"/>
      <c r="O153" s="31"/>
      <c r="P153" s="31"/>
      <c r="Q153" s="31"/>
      <c r="R153" s="31"/>
      <c r="S153" s="31"/>
      <c r="T153" s="31"/>
      <c r="U153" s="31"/>
      <c r="V153" s="31"/>
      <c r="W153" s="31"/>
      <c r="X153" s="31"/>
      <c r="Y153" s="31"/>
      <c r="Z153" s="31"/>
      <c r="AA153" s="31"/>
      <c r="AB153" s="31"/>
      <c r="AC153" s="31"/>
      <c r="AD153" s="31"/>
    </row>
    <row r="154" spans="1:30" s="35" customFormat="1" x14ac:dyDescent="0.25">
      <c r="A154" s="41" t="s">
        <v>251</v>
      </c>
      <c r="D154" s="20" t="s">
        <v>154</v>
      </c>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row>
    <row r="155" spans="1:30" x14ac:dyDescent="0.25">
      <c r="A155" s="38" t="s">
        <v>86</v>
      </c>
      <c r="D155" s="18" t="s">
        <v>86</v>
      </c>
      <c r="E155" s="18" t="s">
        <v>100</v>
      </c>
    </row>
    <row r="156" spans="1:30" x14ac:dyDescent="0.25">
      <c r="A156" s="2" t="s">
        <v>100</v>
      </c>
      <c r="D156" s="19" t="s">
        <v>252</v>
      </c>
      <c r="E156" s="19" t="s">
        <v>306</v>
      </c>
    </row>
    <row r="157" spans="1:30" x14ac:dyDescent="0.25">
      <c r="A157" s="38" t="s">
        <v>262</v>
      </c>
      <c r="D157" s="19" t="s">
        <v>253</v>
      </c>
      <c r="E157" s="19" t="s">
        <v>307</v>
      </c>
    </row>
    <row r="158" spans="1:30" x14ac:dyDescent="0.25">
      <c r="A158" s="38" t="s">
        <v>261</v>
      </c>
    </row>
    <row r="159" spans="1:30" x14ac:dyDescent="0.25">
      <c r="A159" s="2" t="s">
        <v>260</v>
      </c>
    </row>
    <row r="160" spans="1:30" x14ac:dyDescent="0.25">
      <c r="A160" s="38" t="s">
        <v>263</v>
      </c>
    </row>
    <row r="161" spans="1:30" x14ac:dyDescent="0.25">
      <c r="A161" s="38" t="s">
        <v>286</v>
      </c>
    </row>
    <row r="162" spans="1:30" x14ac:dyDescent="0.25">
      <c r="A162" s="38" t="s">
        <v>291</v>
      </c>
    </row>
    <row r="163" spans="1:30" x14ac:dyDescent="0.25">
      <c r="A163" s="38" t="s">
        <v>308</v>
      </c>
    </row>
    <row r="164" spans="1:30" x14ac:dyDescent="0.25">
      <c r="A164" s="38" t="s">
        <v>311</v>
      </c>
    </row>
    <row r="165" spans="1:30" s="35" customFormat="1" x14ac:dyDescent="0.25">
      <c r="A165" s="38" t="s">
        <v>314</v>
      </c>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row>
    <row r="166" spans="1:30" s="35" customFormat="1" x14ac:dyDescent="0.25">
      <c r="A166"/>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row>
    <row r="167" spans="1:30" x14ac:dyDescent="0.25">
      <c r="A167" s="12"/>
    </row>
    <row r="168" spans="1:30" s="12" customFormat="1" x14ac:dyDescent="0.25">
      <c r="A168" s="41" t="s">
        <v>264</v>
      </c>
      <c r="D168" s="31"/>
      <c r="E168" s="31"/>
      <c r="F168" s="31"/>
      <c r="G168" s="31"/>
      <c r="H168" s="31"/>
      <c r="I168" s="31"/>
      <c r="J168" s="31"/>
      <c r="K168" s="31"/>
      <c r="L168" s="31"/>
      <c r="M168" s="31"/>
      <c r="N168" s="31"/>
      <c r="O168" s="31"/>
      <c r="P168" s="31"/>
      <c r="Q168" s="31"/>
      <c r="R168" s="31"/>
      <c r="S168" s="31"/>
      <c r="T168" s="31"/>
      <c r="U168" s="31"/>
      <c r="V168" s="31"/>
      <c r="W168" s="31"/>
      <c r="X168" s="31"/>
      <c r="Y168" s="31"/>
      <c r="Z168" s="31"/>
      <c r="AA168" s="31"/>
      <c r="AB168" s="31"/>
      <c r="AC168" s="31"/>
      <c r="AD168" s="31"/>
    </row>
    <row r="169" spans="1:30" s="35" customFormat="1" x14ac:dyDescent="0.25">
      <c r="A169" s="16" t="s">
        <v>265</v>
      </c>
      <c r="D169" s="20" t="s">
        <v>154</v>
      </c>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row>
    <row r="170" spans="1:30" s="35" customFormat="1" x14ac:dyDescent="0.25">
      <c r="A170" s="16" t="s">
        <v>125</v>
      </c>
      <c r="B170" s="17"/>
      <c r="D170" s="18" t="s">
        <v>266</v>
      </c>
      <c r="E170" s="18" t="s">
        <v>125</v>
      </c>
      <c r="F170" s="18" t="s">
        <v>268</v>
      </c>
      <c r="G170" s="18" t="s">
        <v>283</v>
      </c>
      <c r="H170" s="18" t="s">
        <v>289</v>
      </c>
      <c r="I170" s="18" t="s">
        <v>290</v>
      </c>
      <c r="J170" s="18" t="s">
        <v>275</v>
      </c>
      <c r="K170" s="18" t="s">
        <v>296</v>
      </c>
      <c r="L170" s="18"/>
      <c r="M170" s="18"/>
      <c r="N170" s="18"/>
      <c r="O170" s="18" t="s">
        <v>299</v>
      </c>
      <c r="P170" s="19"/>
      <c r="Q170" s="19"/>
      <c r="R170" s="19"/>
      <c r="S170" s="19"/>
      <c r="T170" s="19"/>
      <c r="U170" s="19"/>
      <c r="V170" s="19"/>
      <c r="W170" s="19"/>
      <c r="X170" s="19"/>
      <c r="Y170" s="19"/>
      <c r="Z170" s="19"/>
      <c r="AA170" s="19"/>
      <c r="AB170" s="19"/>
      <c r="AC170" s="19"/>
      <c r="AD170" s="19"/>
    </row>
    <row r="171" spans="1:30" s="35" customFormat="1" ht="45" x14ac:dyDescent="0.25">
      <c r="A171" s="16" t="s">
        <v>268</v>
      </c>
      <c r="B171" s="17"/>
      <c r="D171" s="34" t="s">
        <v>267</v>
      </c>
      <c r="E171" s="34"/>
      <c r="F171" s="34" t="s">
        <v>270</v>
      </c>
      <c r="G171" s="34" t="s">
        <v>284</v>
      </c>
      <c r="H171" s="19" t="s">
        <v>209</v>
      </c>
      <c r="I171" s="34" t="s">
        <v>292</v>
      </c>
      <c r="J171" s="34" t="s">
        <v>294</v>
      </c>
      <c r="K171" s="34" t="s">
        <v>297</v>
      </c>
      <c r="L171" s="34"/>
      <c r="M171" s="34"/>
      <c r="N171" s="34"/>
      <c r="O171" s="34" t="s">
        <v>169</v>
      </c>
      <c r="P171" s="19"/>
      <c r="Q171" s="19"/>
      <c r="R171" s="19"/>
      <c r="S171" s="19"/>
      <c r="T171" s="19"/>
      <c r="U171" s="19"/>
      <c r="V171" s="19"/>
      <c r="W171" s="19"/>
      <c r="X171" s="19"/>
      <c r="Y171" s="19"/>
      <c r="Z171" s="19"/>
      <c r="AA171" s="19"/>
      <c r="AB171" s="19"/>
      <c r="AC171" s="19"/>
      <c r="AD171" s="19"/>
    </row>
    <row r="172" spans="1:30" s="35" customFormat="1" ht="30" x14ac:dyDescent="0.25">
      <c r="A172" s="16" t="s">
        <v>283</v>
      </c>
      <c r="B172" s="17"/>
      <c r="D172" s="34"/>
      <c r="E172" s="34" t="s">
        <v>310</v>
      </c>
      <c r="F172" s="35" t="s">
        <v>271</v>
      </c>
      <c r="G172" s="34"/>
      <c r="H172" s="19" t="s">
        <v>288</v>
      </c>
      <c r="I172" s="34"/>
      <c r="J172" s="34"/>
      <c r="K172" s="34"/>
      <c r="L172" s="34"/>
      <c r="M172" s="34"/>
      <c r="N172" s="34"/>
      <c r="O172" s="34" t="s">
        <v>300</v>
      </c>
      <c r="P172" s="19"/>
      <c r="Q172" s="19"/>
      <c r="R172" s="19"/>
      <c r="S172" s="19"/>
      <c r="T172" s="19"/>
      <c r="U172" s="19"/>
      <c r="V172" s="19"/>
      <c r="W172" s="19"/>
      <c r="X172" s="19"/>
      <c r="Y172" s="19"/>
      <c r="Z172" s="19"/>
      <c r="AA172" s="19"/>
      <c r="AB172" s="19"/>
      <c r="AC172" s="19"/>
      <c r="AD172" s="19"/>
    </row>
    <row r="173" spans="1:30" s="35" customFormat="1" x14ac:dyDescent="0.25">
      <c r="A173" s="16" t="s">
        <v>289</v>
      </c>
      <c r="B173" s="17"/>
      <c r="D173" s="34"/>
      <c r="E173" s="34"/>
      <c r="F173" s="35" t="s">
        <v>272</v>
      </c>
      <c r="G173" s="34"/>
      <c r="H173" s="34"/>
      <c r="I173" s="34"/>
      <c r="J173" s="34"/>
      <c r="K173" s="34"/>
      <c r="L173" s="34"/>
      <c r="M173" s="34"/>
      <c r="N173" s="34"/>
      <c r="O173" s="34"/>
      <c r="P173" s="19"/>
      <c r="Q173" s="19"/>
      <c r="R173" s="19"/>
      <c r="S173" s="19"/>
      <c r="T173" s="19"/>
      <c r="U173" s="19"/>
      <c r="V173" s="19"/>
      <c r="W173" s="19"/>
      <c r="X173" s="19"/>
      <c r="Y173" s="19"/>
      <c r="Z173" s="19"/>
      <c r="AA173" s="19"/>
      <c r="AB173" s="19"/>
      <c r="AC173" s="19"/>
      <c r="AD173" s="19"/>
    </row>
    <row r="174" spans="1:30" s="35" customFormat="1" x14ac:dyDescent="0.25">
      <c r="A174" s="16" t="s">
        <v>290</v>
      </c>
      <c r="B174" s="17"/>
      <c r="D174" s="34"/>
      <c r="E174" s="34"/>
      <c r="F174" s="34" t="s">
        <v>269</v>
      </c>
      <c r="G174" s="34"/>
      <c r="H174" s="34"/>
      <c r="I174" s="34"/>
      <c r="J174" s="34"/>
      <c r="K174" s="34"/>
      <c r="L174" s="34"/>
      <c r="M174" s="34"/>
      <c r="N174" s="34"/>
      <c r="O174" s="34"/>
      <c r="P174" s="19"/>
      <c r="Q174" s="19"/>
      <c r="R174" s="19"/>
      <c r="S174" s="19"/>
      <c r="T174" s="19"/>
      <c r="U174" s="19"/>
      <c r="V174" s="19"/>
      <c r="W174" s="19"/>
      <c r="X174" s="19"/>
      <c r="Y174" s="19"/>
      <c r="Z174" s="19"/>
      <c r="AA174" s="19"/>
      <c r="AB174" s="19"/>
      <c r="AC174" s="19"/>
      <c r="AD174" s="19"/>
    </row>
    <row r="175" spans="1:30" s="35" customFormat="1" x14ac:dyDescent="0.25">
      <c r="A175" s="16" t="s">
        <v>275</v>
      </c>
      <c r="B175" s="17"/>
      <c r="D175" s="34"/>
      <c r="E175" s="34"/>
      <c r="F175" s="34" t="s">
        <v>273</v>
      </c>
      <c r="G175" s="34"/>
      <c r="H175" s="34"/>
      <c r="I175" s="34"/>
      <c r="J175" s="34"/>
      <c r="K175" s="34"/>
      <c r="L175" s="34"/>
      <c r="M175" s="34"/>
      <c r="N175" s="34"/>
      <c r="O175" s="34"/>
      <c r="P175" s="19"/>
      <c r="Q175" s="19"/>
      <c r="R175" s="19"/>
      <c r="S175" s="19"/>
      <c r="T175" s="19"/>
      <c r="U175" s="19"/>
      <c r="V175" s="19"/>
      <c r="W175" s="19"/>
      <c r="X175" s="19"/>
      <c r="Y175" s="19"/>
      <c r="Z175" s="19"/>
      <c r="AA175" s="19"/>
      <c r="AB175" s="19"/>
      <c r="AC175" s="19"/>
      <c r="AD175" s="19"/>
    </row>
    <row r="176" spans="1:30" s="35" customFormat="1" ht="30" x14ac:dyDescent="0.25">
      <c r="A176" s="42" t="s">
        <v>295</v>
      </c>
      <c r="B176" s="17"/>
      <c r="D176" s="34"/>
      <c r="E176" s="34"/>
      <c r="F176" s="34" t="s">
        <v>274</v>
      </c>
      <c r="G176" s="34"/>
      <c r="H176" s="34"/>
      <c r="I176" s="34"/>
      <c r="J176" s="34"/>
      <c r="K176" s="34"/>
      <c r="L176" s="34"/>
      <c r="M176" s="34"/>
      <c r="N176" s="34"/>
      <c r="O176" s="34"/>
      <c r="P176" s="19"/>
      <c r="Q176" s="19"/>
      <c r="R176" s="19"/>
      <c r="S176" s="19"/>
      <c r="T176" s="19"/>
      <c r="U176" s="19"/>
      <c r="V176" s="19"/>
      <c r="W176" s="19"/>
      <c r="X176" s="19"/>
      <c r="Y176" s="19"/>
      <c r="Z176" s="19"/>
      <c r="AA176" s="19"/>
      <c r="AB176" s="19"/>
      <c r="AC176" s="19"/>
      <c r="AD176" s="19"/>
    </row>
    <row r="177" spans="1:30" s="35" customFormat="1" ht="30" x14ac:dyDescent="0.25">
      <c r="A177" s="43" t="s">
        <v>305</v>
      </c>
      <c r="B177" s="17"/>
      <c r="D177" s="34"/>
      <c r="E177" s="34"/>
      <c r="F177" s="34"/>
      <c r="G177" s="34"/>
      <c r="H177" s="34"/>
      <c r="I177" s="34"/>
      <c r="J177" s="34"/>
      <c r="K177" s="34"/>
      <c r="L177" s="34"/>
      <c r="M177" s="34"/>
      <c r="N177" s="34"/>
      <c r="O177" s="34"/>
      <c r="P177" s="19"/>
      <c r="Q177" s="19"/>
      <c r="R177" s="19"/>
      <c r="S177" s="19"/>
      <c r="T177" s="19"/>
      <c r="U177" s="19"/>
      <c r="V177" s="19"/>
      <c r="W177" s="19"/>
      <c r="X177" s="19"/>
      <c r="Y177" s="19"/>
      <c r="Z177" s="19"/>
      <c r="AA177" s="19"/>
      <c r="AB177" s="19"/>
      <c r="AC177" s="19"/>
      <c r="AD177" s="19"/>
    </row>
    <row r="178" spans="1:30" s="35" customFormat="1" x14ac:dyDescent="0.25">
      <c r="A178" s="16" t="s">
        <v>312</v>
      </c>
      <c r="B178" s="17"/>
      <c r="D178" s="34"/>
      <c r="E178" s="34"/>
      <c r="F178" s="34"/>
      <c r="G178" s="34"/>
      <c r="H178" s="34"/>
      <c r="I178" s="34"/>
      <c r="J178" s="34"/>
      <c r="K178" s="34"/>
      <c r="L178" s="34"/>
      <c r="M178" s="34"/>
      <c r="N178" s="34"/>
      <c r="O178" s="34"/>
      <c r="P178" s="19"/>
      <c r="Q178" s="19"/>
      <c r="R178" s="19"/>
      <c r="S178" s="19"/>
      <c r="T178" s="19"/>
      <c r="U178" s="19"/>
      <c r="V178" s="19"/>
      <c r="W178" s="19"/>
      <c r="X178" s="19"/>
      <c r="Y178" s="19"/>
      <c r="Z178" s="19"/>
      <c r="AA178" s="19"/>
      <c r="AB178" s="19"/>
      <c r="AC178" s="19"/>
      <c r="AD178" s="19"/>
    </row>
    <row r="179" spans="1:30" s="35" customFormat="1" x14ac:dyDescent="0.25">
      <c r="A179" s="16" t="s">
        <v>315</v>
      </c>
      <c r="B179" s="17"/>
      <c r="D179" s="34"/>
      <c r="E179" s="34"/>
      <c r="F179" s="34"/>
      <c r="G179" s="34"/>
      <c r="H179" s="34"/>
      <c r="I179" s="34"/>
      <c r="J179" s="34"/>
      <c r="K179" s="34"/>
      <c r="L179" s="34"/>
      <c r="M179" s="34"/>
      <c r="N179" s="34"/>
      <c r="O179" s="34"/>
      <c r="P179" s="19"/>
      <c r="Q179" s="19"/>
      <c r="R179" s="19"/>
      <c r="S179" s="19"/>
      <c r="T179" s="19"/>
      <c r="U179" s="19"/>
      <c r="V179" s="19"/>
      <c r="W179" s="19"/>
      <c r="X179" s="19"/>
      <c r="Y179" s="19"/>
      <c r="Z179" s="19"/>
      <c r="AA179" s="19"/>
      <c r="AB179" s="19"/>
      <c r="AC179" s="19"/>
      <c r="AD179" s="19"/>
    </row>
    <row r="180" spans="1:30" s="35" customFormat="1" x14ac:dyDescent="0.25">
      <c r="A180" s="16" t="s">
        <v>169</v>
      </c>
      <c r="B180" s="17"/>
      <c r="D180" s="34"/>
      <c r="E180" s="34"/>
      <c r="F180" s="34"/>
      <c r="G180" s="34"/>
      <c r="H180" s="34"/>
      <c r="I180" s="34"/>
      <c r="J180" s="34"/>
      <c r="K180" s="34"/>
      <c r="L180" s="34"/>
      <c r="M180" s="34"/>
      <c r="N180" s="34"/>
      <c r="O180" s="34"/>
      <c r="P180" s="19"/>
      <c r="Q180" s="19"/>
      <c r="R180" s="19"/>
      <c r="S180" s="19"/>
      <c r="T180" s="19"/>
      <c r="U180" s="19"/>
      <c r="V180" s="19"/>
      <c r="W180" s="19"/>
      <c r="X180" s="19"/>
      <c r="Y180" s="19"/>
      <c r="Z180" s="19"/>
      <c r="AA180" s="19"/>
      <c r="AB180" s="19"/>
      <c r="AC180" s="19"/>
      <c r="AD180" s="19"/>
    </row>
    <row r="181" spans="1:30" s="35" customFormat="1" x14ac:dyDescent="0.25">
      <c r="A181" s="16" t="s">
        <v>298</v>
      </c>
      <c r="B181" s="17"/>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row>
    <row r="182" spans="1:30" x14ac:dyDescent="0.25">
      <c r="A182" s="16" t="s">
        <v>313</v>
      </c>
      <c r="B182" s="17"/>
    </row>
    <row r="183" spans="1:30" x14ac:dyDescent="0.25">
      <c r="A183" s="16" t="s">
        <v>316</v>
      </c>
      <c r="B183" s="17"/>
    </row>
    <row r="184" spans="1:30" x14ac:dyDescent="0.25">
      <c r="A184" s="42"/>
      <c r="B184" s="17"/>
    </row>
    <row r="185" spans="1:30" x14ac:dyDescent="0.25">
      <c r="A185" s="43"/>
      <c r="B185" s="17"/>
    </row>
    <row r="186" spans="1:30" x14ac:dyDescent="0.25">
      <c r="A186" s="16"/>
      <c r="B186" s="17"/>
    </row>
    <row r="187" spans="1:30" x14ac:dyDescent="0.25">
      <c r="A187" s="16"/>
      <c r="B187" s="17"/>
    </row>
    <row r="188" spans="1:30" x14ac:dyDescent="0.25">
      <c r="A188" s="16"/>
      <c r="B188" s="17"/>
    </row>
    <row r="189" spans="1:30" x14ac:dyDescent="0.25">
      <c r="A189" s="42"/>
      <c r="B189" s="17"/>
    </row>
    <row r="190" spans="1:30" x14ac:dyDescent="0.25">
      <c r="A190" s="43"/>
      <c r="B190" s="17"/>
    </row>
    <row r="191" spans="1:30" x14ac:dyDescent="0.25">
      <c r="A191" s="16"/>
      <c r="B191" s="17"/>
    </row>
    <row r="192" spans="1:30" x14ac:dyDescent="0.25">
      <c r="A192" s="16"/>
      <c r="B192" s="17"/>
    </row>
  </sheetData>
  <sortState ref="A136:B147">
    <sortCondition descending="1" ref="B136:B147"/>
  </sortState>
  <conditionalFormatting sqref="B2:B28">
    <cfRule type="colorScale" priority="14">
      <colorScale>
        <cfvo type="min"/>
        <cfvo type="percentile" val="50"/>
        <cfvo type="max"/>
        <color rgb="FF63BE7B"/>
        <color rgb="FFFFEB84"/>
        <color rgb="FFF8696B"/>
      </colorScale>
    </cfRule>
  </conditionalFormatting>
  <conditionalFormatting sqref="A2:A11 A13:A28">
    <cfRule type="colorScale" priority="18">
      <colorScale>
        <cfvo type="min"/>
        <cfvo type="percentile" val="50"/>
        <cfvo type="max"/>
        <color rgb="FF63BE7B"/>
        <color rgb="FFFFEB84"/>
        <color rgb="FFF8696B"/>
      </colorScale>
    </cfRule>
  </conditionalFormatting>
  <conditionalFormatting sqref="A12">
    <cfRule type="colorScale" priority="17">
      <colorScale>
        <cfvo type="min"/>
        <cfvo type="percentile" val="50"/>
        <cfvo type="max"/>
        <color rgb="FF63BE7B"/>
        <color rgb="FFFFEB84"/>
        <color rgb="FFF8696B"/>
      </colorScale>
    </cfRule>
  </conditionalFormatting>
  <conditionalFormatting sqref="A2:B28">
    <cfRule type="colorScale" priority="16">
      <colorScale>
        <cfvo type="min"/>
        <cfvo type="percentile" val="50"/>
        <cfvo type="max"/>
        <color rgb="FFF8696B"/>
        <color rgb="FFFFEB84"/>
        <color rgb="FF63BE7B"/>
      </colorScale>
    </cfRule>
  </conditionalFormatting>
  <conditionalFormatting sqref="B57:B84">
    <cfRule type="colorScale" priority="8">
      <colorScale>
        <cfvo type="min"/>
        <cfvo type="percentile" val="50"/>
        <cfvo type="max"/>
        <color rgb="FF63BE7B"/>
        <color rgb="FFFFEB84"/>
        <color rgb="FFF8696B"/>
      </colorScale>
    </cfRule>
  </conditionalFormatting>
  <conditionalFormatting sqref="B87:B112">
    <cfRule type="colorScale" priority="7">
      <colorScale>
        <cfvo type="min"/>
        <cfvo type="percentile" val="50"/>
        <cfvo type="max"/>
        <color rgb="FF63BE7B"/>
        <color rgb="FFFFEB84"/>
        <color rgb="FFF8696B"/>
      </colorScale>
    </cfRule>
  </conditionalFormatting>
  <conditionalFormatting sqref="B115:B133">
    <cfRule type="colorScale" priority="6">
      <colorScale>
        <cfvo type="min"/>
        <cfvo type="percentile" val="50"/>
        <cfvo type="max"/>
        <color rgb="FF63BE7B"/>
        <color rgb="FFFFEB84"/>
        <color rgb="FFF8696B"/>
      </colorScale>
    </cfRule>
  </conditionalFormatting>
  <conditionalFormatting sqref="B31:B54">
    <cfRule type="colorScale" priority="19">
      <colorScale>
        <cfvo type="min"/>
        <cfvo type="percentile" val="50"/>
        <cfvo type="max"/>
        <color rgb="FF63BE7B"/>
        <color rgb="FFFFEB84"/>
        <color rgb="FFF8696B"/>
      </colorScale>
    </cfRule>
  </conditionalFormatting>
  <conditionalFormatting sqref="B139:B152">
    <cfRule type="colorScale" priority="5">
      <colorScale>
        <cfvo type="min"/>
        <cfvo type="percentile" val="50"/>
        <cfvo type="max"/>
        <color rgb="FF63BE7B"/>
        <color rgb="FFFFEB84"/>
        <color rgb="FFF8696B"/>
      </colorScale>
    </cfRule>
  </conditionalFormatting>
  <conditionalFormatting sqref="B170:B180">
    <cfRule type="colorScale" priority="4">
      <colorScale>
        <cfvo type="min"/>
        <cfvo type="percentile" val="50"/>
        <cfvo type="max"/>
        <color rgb="FF63BE7B"/>
        <color rgb="FFFFEB84"/>
        <color rgb="FFF8696B"/>
      </colorScale>
    </cfRule>
  </conditionalFormatting>
  <conditionalFormatting sqref="B181:B192">
    <cfRule type="colorScale" priority="3">
      <colorScale>
        <cfvo type="min"/>
        <cfvo type="percentile" val="50"/>
        <cfvo type="max"/>
        <color rgb="FF63BE7B"/>
        <color rgb="FFFFEB84"/>
        <color rgb="FFF8696B"/>
      </colorScale>
    </cfRule>
  </conditionalFormatting>
  <conditionalFormatting sqref="T2:AD2">
    <cfRule type="colorScale" priority="2">
      <colorScale>
        <cfvo type="min"/>
        <cfvo type="percentile" val="50"/>
        <cfvo type="max"/>
        <color rgb="FF63BE7B"/>
        <color rgb="FFFFEB84"/>
        <color rgb="FFF8696B"/>
      </colorScale>
    </cfRule>
  </conditionalFormatting>
  <conditionalFormatting sqref="T2:AD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552"/>
  <sheetViews>
    <sheetView topLeftCell="A163" workbookViewId="0">
      <selection activeCell="B195" sqref="B195"/>
    </sheetView>
  </sheetViews>
  <sheetFormatPr defaultRowHeight="15" x14ac:dyDescent="0.25"/>
  <cols>
    <col min="1" max="1" width="9.140625" style="58"/>
    <col min="2" max="2" width="53.7109375" style="21" customWidth="1"/>
    <col min="3" max="3" width="11.140625" style="24" bestFit="1" customWidth="1"/>
    <col min="4" max="4" width="120.28515625" style="23" customWidth="1"/>
    <col min="5" max="8" width="9.140625" style="29"/>
    <col min="9" max="9" width="9.140625" style="29" customWidth="1"/>
    <col min="10" max="10" width="9.140625" style="29" hidden="1" customWidth="1"/>
    <col min="11" max="11" width="9.140625" style="29" customWidth="1"/>
    <col min="12" max="39" width="9.140625" style="29"/>
  </cols>
  <sheetData>
    <row r="1" spans="1:39" s="22" customFormat="1" ht="15" customHeight="1" x14ac:dyDescent="0.25">
      <c r="A1" s="61" t="s">
        <v>424</v>
      </c>
      <c r="B1" s="61"/>
      <c r="C1" s="61"/>
      <c r="D1" s="61"/>
      <c r="E1" s="28"/>
      <c r="F1" s="28"/>
      <c r="G1" s="28"/>
      <c r="H1" s="28"/>
      <c r="I1" s="28"/>
      <c r="J1" s="28" t="s">
        <v>161</v>
      </c>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row>
    <row r="2" spans="1:39" s="22" customFormat="1" ht="15" customHeight="1" x14ac:dyDescent="0.25">
      <c r="A2" s="61"/>
      <c r="B2" s="61"/>
      <c r="C2" s="61"/>
      <c r="D2" s="61"/>
      <c r="E2" s="28"/>
      <c r="F2" s="28"/>
      <c r="G2" s="28"/>
      <c r="H2" s="28"/>
      <c r="I2" s="28"/>
      <c r="J2" s="28" t="s">
        <v>162</v>
      </c>
      <c r="K2" s="28"/>
      <c r="L2" s="28"/>
      <c r="M2" s="28"/>
      <c r="N2" s="28"/>
      <c r="O2" s="28"/>
      <c r="P2" s="28"/>
      <c r="Q2" s="28"/>
      <c r="R2" s="28"/>
      <c r="S2" s="28"/>
      <c r="T2" s="28"/>
      <c r="U2" s="28"/>
      <c r="V2" s="28"/>
      <c r="W2" s="28"/>
      <c r="X2" s="28"/>
      <c r="Y2" s="28"/>
      <c r="Z2" s="28"/>
      <c r="AA2" s="28"/>
      <c r="AB2" s="28"/>
      <c r="AC2" s="28"/>
      <c r="AD2" s="28"/>
      <c r="AE2" s="28"/>
      <c r="AF2" s="28"/>
      <c r="AG2" s="28"/>
      <c r="AH2" s="28"/>
      <c r="AI2" s="28"/>
      <c r="AJ2" s="28"/>
      <c r="AK2" s="28"/>
      <c r="AL2" s="28"/>
      <c r="AM2" s="28"/>
    </row>
    <row r="3" spans="1:39" s="22" customFormat="1" x14ac:dyDescent="0.25">
      <c r="A3" s="55" t="s">
        <v>436</v>
      </c>
      <c r="B3" s="25" t="s">
        <v>136</v>
      </c>
      <c r="C3" s="26" t="s">
        <v>160</v>
      </c>
      <c r="D3" s="54" t="s">
        <v>164</v>
      </c>
      <c r="E3" s="29"/>
      <c r="F3" s="29"/>
      <c r="G3" s="29"/>
      <c r="H3" s="29"/>
      <c r="I3" s="29"/>
      <c r="J3" s="28" t="s">
        <v>163</v>
      </c>
      <c r="K3" s="29"/>
      <c r="L3" s="29"/>
      <c r="M3" s="29"/>
      <c r="N3" s="29"/>
      <c r="O3" s="28"/>
      <c r="P3" s="28"/>
      <c r="Q3" s="28"/>
      <c r="R3" s="28"/>
      <c r="S3" s="28"/>
      <c r="T3" s="28"/>
      <c r="U3" s="28"/>
      <c r="V3" s="28"/>
      <c r="W3" s="28"/>
      <c r="X3" s="28"/>
      <c r="Y3" s="28"/>
      <c r="Z3" s="28"/>
      <c r="AA3" s="28"/>
      <c r="AB3" s="28"/>
      <c r="AC3" s="28"/>
      <c r="AD3" s="28"/>
      <c r="AE3" s="28"/>
      <c r="AF3" s="28"/>
      <c r="AG3" s="28"/>
      <c r="AH3" s="28"/>
      <c r="AI3" s="28"/>
      <c r="AJ3" s="28"/>
      <c r="AK3" s="28"/>
      <c r="AL3" s="28"/>
      <c r="AM3" s="28"/>
    </row>
    <row r="4" spans="1:39" s="51" customFormat="1" x14ac:dyDescent="0.25">
      <c r="A4" s="57">
        <v>1</v>
      </c>
      <c r="B4" s="21" t="s">
        <v>437</v>
      </c>
      <c r="C4" s="52"/>
      <c r="D4" s="23"/>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row>
    <row r="5" spans="1:39" s="51" customFormat="1" ht="45" x14ac:dyDescent="0.25">
      <c r="A5" s="57">
        <v>2</v>
      </c>
      <c r="B5" s="21" t="s">
        <v>369</v>
      </c>
      <c r="C5" s="52"/>
      <c r="D5" s="23"/>
      <c r="E5" s="29"/>
      <c r="F5" s="29"/>
      <c r="G5" s="29"/>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row>
    <row r="6" spans="1:39" s="51" customFormat="1" ht="45" x14ac:dyDescent="0.25">
      <c r="A6" s="57">
        <v>3</v>
      </c>
      <c r="B6" s="21" t="s">
        <v>287</v>
      </c>
      <c r="C6" s="52"/>
      <c r="D6" s="23"/>
      <c r="E6" s="29"/>
      <c r="F6" s="29"/>
      <c r="G6" s="29"/>
      <c r="H6" s="29"/>
      <c r="I6" s="29"/>
      <c r="J6" s="29"/>
      <c r="K6" s="29"/>
      <c r="L6" s="29"/>
      <c r="M6" s="29"/>
      <c r="N6" s="29"/>
      <c r="O6" s="29"/>
      <c r="P6" s="29"/>
      <c r="Q6" s="29"/>
      <c r="R6" s="29"/>
      <c r="S6" s="29"/>
      <c r="T6" s="29"/>
      <c r="U6" s="29"/>
      <c r="V6" s="29"/>
      <c r="W6" s="29"/>
      <c r="X6" s="29"/>
      <c r="Y6" s="29"/>
      <c r="Z6" s="29"/>
      <c r="AA6" s="29"/>
      <c r="AB6" s="29"/>
      <c r="AC6" s="29"/>
      <c r="AD6" s="29"/>
      <c r="AE6" s="29"/>
      <c r="AF6" s="29"/>
      <c r="AG6" s="29"/>
      <c r="AH6" s="29"/>
      <c r="AI6" s="29"/>
      <c r="AJ6" s="29"/>
      <c r="AK6" s="29"/>
      <c r="AL6" s="29"/>
      <c r="AM6" s="29"/>
    </row>
    <row r="7" spans="1:39" s="51" customFormat="1" x14ac:dyDescent="0.25">
      <c r="A7" s="57">
        <v>4</v>
      </c>
      <c r="B7" s="21" t="s">
        <v>184</v>
      </c>
      <c r="C7" s="52"/>
      <c r="D7" s="23"/>
      <c r="E7" s="29"/>
      <c r="F7" s="29"/>
      <c r="G7" s="29"/>
      <c r="H7" s="29"/>
      <c r="I7" s="29"/>
      <c r="J7" s="29"/>
      <c r="K7" s="29"/>
      <c r="L7" s="29"/>
      <c r="M7" s="29"/>
      <c r="N7" s="29"/>
      <c r="O7" s="29"/>
      <c r="P7" s="29"/>
      <c r="Q7" s="29"/>
      <c r="R7" s="29"/>
      <c r="S7" s="29"/>
      <c r="T7" s="29"/>
      <c r="U7" s="29"/>
      <c r="V7" s="29"/>
      <c r="W7" s="29"/>
      <c r="X7" s="29"/>
      <c r="Y7" s="29"/>
      <c r="Z7" s="29"/>
      <c r="AA7" s="29"/>
      <c r="AB7" s="29"/>
      <c r="AC7" s="29"/>
      <c r="AD7" s="29"/>
      <c r="AE7" s="29"/>
      <c r="AF7" s="29"/>
      <c r="AG7" s="29"/>
      <c r="AH7" s="29"/>
      <c r="AI7" s="29"/>
      <c r="AJ7" s="29"/>
      <c r="AK7" s="29"/>
      <c r="AL7" s="29"/>
      <c r="AM7" s="29"/>
    </row>
    <row r="8" spans="1:39" s="51" customFormat="1" x14ac:dyDescent="0.25">
      <c r="A8" s="57">
        <v>5</v>
      </c>
      <c r="B8" s="21" t="s">
        <v>187</v>
      </c>
      <c r="C8" s="52"/>
      <c r="D8" s="23"/>
      <c r="E8" s="29"/>
      <c r="F8" s="29"/>
      <c r="G8" s="29"/>
      <c r="H8" s="29"/>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row>
    <row r="9" spans="1:39" s="51" customFormat="1" x14ac:dyDescent="0.25">
      <c r="A9" s="57">
        <v>6</v>
      </c>
      <c r="B9" s="21" t="s">
        <v>185</v>
      </c>
      <c r="C9" s="52"/>
      <c r="D9" s="23"/>
      <c r="E9" s="29"/>
      <c r="F9" s="29"/>
      <c r="G9" s="29"/>
      <c r="H9" s="29"/>
      <c r="I9" s="29"/>
      <c r="J9" s="29"/>
      <c r="K9" s="29"/>
      <c r="L9" s="29"/>
      <c r="M9" s="29"/>
      <c r="N9" s="29"/>
      <c r="O9" s="29"/>
      <c r="P9" s="29"/>
      <c r="Q9" s="29"/>
      <c r="R9" s="29"/>
      <c r="S9" s="29"/>
      <c r="T9" s="29"/>
      <c r="U9" s="29"/>
      <c r="V9" s="29"/>
      <c r="W9" s="29"/>
      <c r="X9" s="29"/>
      <c r="Y9" s="29"/>
      <c r="Z9" s="29"/>
      <c r="AA9" s="29"/>
      <c r="AB9" s="29"/>
      <c r="AC9" s="29"/>
      <c r="AD9" s="29"/>
      <c r="AE9" s="29"/>
      <c r="AF9" s="29"/>
      <c r="AG9" s="29"/>
      <c r="AH9" s="29"/>
      <c r="AI9" s="29"/>
      <c r="AJ9" s="29"/>
      <c r="AK9" s="29"/>
      <c r="AL9" s="29"/>
      <c r="AM9" s="29"/>
    </row>
    <row r="10" spans="1:39" s="51" customFormat="1" x14ac:dyDescent="0.25">
      <c r="A10" s="57">
        <v>7</v>
      </c>
      <c r="B10" s="21" t="s">
        <v>205</v>
      </c>
      <c r="C10" s="52"/>
      <c r="D10" s="23"/>
      <c r="E10" s="29"/>
      <c r="F10" s="29"/>
      <c r="G10" s="29"/>
      <c r="H10" s="29"/>
      <c r="I10" s="29"/>
      <c r="J10" s="29"/>
      <c r="K10" s="29"/>
      <c r="L10" s="29"/>
      <c r="M10" s="29"/>
      <c r="N10" s="29"/>
      <c r="O10" s="29"/>
      <c r="P10" s="29"/>
      <c r="Q10" s="29"/>
      <c r="R10" s="29"/>
      <c r="S10" s="29"/>
      <c r="T10" s="29"/>
      <c r="U10" s="29"/>
      <c r="V10" s="29"/>
      <c r="W10" s="29"/>
      <c r="X10" s="29"/>
      <c r="Y10" s="29"/>
      <c r="Z10" s="29"/>
      <c r="AA10" s="29"/>
      <c r="AB10" s="29"/>
      <c r="AC10" s="29"/>
      <c r="AD10" s="29"/>
      <c r="AE10" s="29"/>
      <c r="AF10" s="29"/>
      <c r="AG10" s="29"/>
      <c r="AH10" s="29"/>
      <c r="AI10" s="29"/>
      <c r="AJ10" s="29"/>
      <c r="AK10" s="29"/>
      <c r="AL10" s="29"/>
      <c r="AM10" s="29"/>
    </row>
    <row r="11" spans="1:39" s="51" customFormat="1" x14ac:dyDescent="0.25">
      <c r="A11" s="57">
        <v>8</v>
      </c>
      <c r="B11" s="21" t="s">
        <v>194</v>
      </c>
      <c r="C11" s="52"/>
      <c r="D11" s="23"/>
      <c r="E11" s="29"/>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row>
    <row r="12" spans="1:39" s="51" customFormat="1" x14ac:dyDescent="0.25">
      <c r="A12" s="57">
        <v>9</v>
      </c>
      <c r="B12" s="21" t="s">
        <v>189</v>
      </c>
      <c r="C12" s="52"/>
      <c r="D12" s="23"/>
      <c r="E12" s="29"/>
      <c r="F12" s="29"/>
      <c r="G12" s="29"/>
      <c r="H12" s="29" t="s">
        <v>433</v>
      </c>
      <c r="I12" s="29"/>
      <c r="J12" s="29"/>
      <c r="K12" s="29"/>
      <c r="L12" s="29"/>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row>
    <row r="13" spans="1:39" s="51" customFormat="1" x14ac:dyDescent="0.25">
      <c r="A13" s="57">
        <v>10</v>
      </c>
      <c r="B13" s="21" t="s">
        <v>434</v>
      </c>
      <c r="C13" s="52"/>
      <c r="D13" s="23"/>
      <c r="E13" s="29"/>
      <c r="F13" s="29"/>
      <c r="G13" s="29"/>
      <c r="H13" s="29"/>
      <c r="I13" s="29"/>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row>
    <row r="14" spans="1:39" s="51" customFormat="1" x14ac:dyDescent="0.25">
      <c r="A14" s="57">
        <v>11</v>
      </c>
      <c r="B14" s="21" t="s">
        <v>192</v>
      </c>
      <c r="C14" s="52"/>
      <c r="D14" s="23"/>
      <c r="E14" s="29"/>
      <c r="F14" s="29"/>
      <c r="G14" s="29"/>
      <c r="H14" s="29"/>
      <c r="I14" s="29"/>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row>
    <row r="15" spans="1:39" s="51" customFormat="1" ht="30" x14ac:dyDescent="0.25">
      <c r="A15" s="57">
        <v>12</v>
      </c>
      <c r="B15" s="21" t="s">
        <v>193</v>
      </c>
      <c r="C15" s="52"/>
      <c r="D15" s="23"/>
      <c r="E15" s="29"/>
      <c r="F15" s="29"/>
      <c r="G15" s="29"/>
      <c r="H15" s="29"/>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row>
    <row r="16" spans="1:39" s="51" customFormat="1" x14ac:dyDescent="0.25">
      <c r="A16" s="57">
        <v>13</v>
      </c>
      <c r="B16" s="21" t="s">
        <v>195</v>
      </c>
      <c r="C16" s="52"/>
      <c r="D16" s="23"/>
      <c r="E16" s="29"/>
      <c r="F16" s="29"/>
      <c r="G16" s="29"/>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row>
    <row r="17" spans="1:39" s="51" customFormat="1" ht="30" x14ac:dyDescent="0.25">
      <c r="A17" s="57">
        <v>14</v>
      </c>
      <c r="B17" s="21" t="s">
        <v>196</v>
      </c>
      <c r="C17" s="52"/>
      <c r="D17" s="23"/>
      <c r="E17" s="29"/>
      <c r="F17" s="29"/>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row>
    <row r="18" spans="1:39" s="51" customFormat="1" x14ac:dyDescent="0.25">
      <c r="A18" s="57">
        <v>15</v>
      </c>
      <c r="B18" s="21" t="s">
        <v>370</v>
      </c>
      <c r="C18" s="52"/>
      <c r="D18" s="23"/>
      <c r="E18" s="29"/>
      <c r="F18" s="29"/>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c r="AK18" s="29"/>
      <c r="AL18" s="29"/>
      <c r="AM18" s="29"/>
    </row>
    <row r="19" spans="1:39" s="51" customFormat="1" ht="15.75" customHeight="1" x14ac:dyDescent="0.25">
      <c r="A19" s="57">
        <v>16</v>
      </c>
      <c r="B19" s="21" t="s">
        <v>204</v>
      </c>
      <c r="C19" s="52"/>
      <c r="D19" s="23"/>
      <c r="E19" s="29"/>
      <c r="F19" s="29"/>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row>
    <row r="20" spans="1:39" s="51" customFormat="1" ht="30" x14ac:dyDescent="0.25">
      <c r="A20" s="57">
        <v>17</v>
      </c>
      <c r="B20" s="21" t="s">
        <v>188</v>
      </c>
      <c r="C20" s="52"/>
      <c r="D20" s="23"/>
      <c r="E20" s="29"/>
      <c r="F20" s="29"/>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row>
    <row r="21" spans="1:39" s="51" customFormat="1" ht="30" x14ac:dyDescent="0.25">
      <c r="A21" s="57">
        <v>18</v>
      </c>
      <c r="B21" s="21" t="s">
        <v>203</v>
      </c>
      <c r="C21" s="52"/>
      <c r="D21" s="23"/>
      <c r="E21" s="29"/>
      <c r="F21" s="29"/>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row>
    <row r="22" spans="1:39" s="51" customFormat="1" ht="30" x14ac:dyDescent="0.25">
      <c r="A22" s="57">
        <v>19</v>
      </c>
      <c r="B22" s="21" t="s">
        <v>365</v>
      </c>
      <c r="C22" s="52"/>
      <c r="D22" s="23"/>
      <c r="E22" s="29"/>
      <c r="F22" s="29"/>
      <c r="G22" s="29"/>
      <c r="H22" s="28"/>
      <c r="I22" s="29"/>
      <c r="J22" s="28"/>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row>
    <row r="23" spans="1:39" s="51" customFormat="1" x14ac:dyDescent="0.25">
      <c r="A23" s="57">
        <v>20</v>
      </c>
      <c r="B23" s="21" t="s">
        <v>435</v>
      </c>
      <c r="C23" s="52"/>
      <c r="D23" s="23"/>
      <c r="E23" s="29"/>
      <c r="F23" s="28"/>
      <c r="G23" s="28"/>
      <c r="H23" s="28"/>
      <c r="I23" s="28"/>
      <c r="K23" s="28"/>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row>
    <row r="24" spans="1:39" s="51" customFormat="1" x14ac:dyDescent="0.25">
      <c r="A24" s="57">
        <v>21</v>
      </c>
      <c r="B24" s="21" t="s">
        <v>200</v>
      </c>
      <c r="C24" s="52"/>
      <c r="D24" s="23"/>
      <c r="E24" s="28"/>
      <c r="F24" s="28"/>
      <c r="G24" s="28"/>
      <c r="H24" s="29"/>
      <c r="I24" s="28"/>
      <c r="J24" s="29"/>
      <c r="K24" s="28"/>
      <c r="L24" s="28"/>
      <c r="M24" s="28"/>
      <c r="N24" s="28"/>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row>
    <row r="25" spans="1:39" s="51" customFormat="1" ht="30" x14ac:dyDescent="0.25">
      <c r="A25" s="57">
        <v>22</v>
      </c>
      <c r="B25" s="21" t="s">
        <v>206</v>
      </c>
      <c r="C25" s="52"/>
      <c r="D25" s="23"/>
      <c r="E25" s="28"/>
      <c r="F25" s="29"/>
      <c r="G25" s="29"/>
      <c r="H25" s="29"/>
      <c r="I25" s="29"/>
      <c r="J25" s="29"/>
      <c r="K25" s="29"/>
      <c r="L25" s="28"/>
      <c r="M25" s="28"/>
      <c r="N25" s="28"/>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row>
    <row r="26" spans="1:39" s="51" customFormat="1" x14ac:dyDescent="0.25">
      <c r="A26" s="57">
        <v>23</v>
      </c>
      <c r="B26" s="21" t="s">
        <v>201</v>
      </c>
      <c r="C26" s="52"/>
      <c r="D26" s="23"/>
      <c r="E26" s="29"/>
      <c r="F26" s="29"/>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row>
    <row r="27" spans="1:39" s="51" customFormat="1" x14ac:dyDescent="0.25">
      <c r="A27" s="57">
        <v>24</v>
      </c>
      <c r="B27" s="21" t="s">
        <v>202</v>
      </c>
      <c r="C27" s="52"/>
      <c r="D27" s="23"/>
      <c r="E27" s="29"/>
      <c r="F27" s="29"/>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row>
    <row r="28" spans="1:39" s="51" customFormat="1" x14ac:dyDescent="0.25">
      <c r="A28" s="57">
        <v>25</v>
      </c>
      <c r="B28" s="21" t="s">
        <v>191</v>
      </c>
      <c r="C28" s="52"/>
      <c r="D28" s="23"/>
      <c r="E28" s="29"/>
      <c r="F28" s="29"/>
      <c r="G28" s="29"/>
      <c r="H28" s="29"/>
      <c r="I28" s="29"/>
      <c r="J28" s="29"/>
      <c r="K28" s="29"/>
      <c r="L28" s="29"/>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row>
    <row r="29" spans="1:39" s="51" customFormat="1" x14ac:dyDescent="0.25">
      <c r="A29" s="57">
        <v>26</v>
      </c>
      <c r="B29" s="21" t="s">
        <v>303</v>
      </c>
      <c r="C29" s="52"/>
      <c r="D29" s="23"/>
      <c r="E29" s="29"/>
      <c r="F29" s="29"/>
      <c r="G29" s="29"/>
      <c r="H29" s="29"/>
      <c r="I29" s="29"/>
      <c r="J29" s="29"/>
      <c r="K29" s="29"/>
      <c r="L29" s="29"/>
      <c r="M29" s="29"/>
      <c r="N29" s="29"/>
      <c r="O29" s="29"/>
      <c r="P29" s="29"/>
      <c r="Q29" s="29"/>
      <c r="R29" s="29"/>
      <c r="S29" s="29"/>
      <c r="T29" s="29"/>
      <c r="U29" s="29"/>
      <c r="V29" s="29"/>
      <c r="W29" s="29"/>
      <c r="X29" s="29"/>
      <c r="Y29" s="29"/>
      <c r="Z29" s="29"/>
      <c r="AA29" s="29"/>
      <c r="AB29" s="29"/>
      <c r="AC29" s="29"/>
      <c r="AD29" s="29"/>
      <c r="AE29" s="29"/>
      <c r="AF29" s="29"/>
      <c r="AG29" s="29"/>
      <c r="AH29" s="29"/>
      <c r="AI29" s="29"/>
      <c r="AJ29" s="29"/>
      <c r="AK29" s="29"/>
      <c r="AL29" s="29"/>
      <c r="AM29" s="29"/>
    </row>
    <row r="30" spans="1:39" s="51" customFormat="1" ht="30" x14ac:dyDescent="0.25">
      <c r="A30" s="57">
        <v>27</v>
      </c>
      <c r="B30" s="21" t="s">
        <v>371</v>
      </c>
      <c r="C30" s="52"/>
      <c r="D30" s="23"/>
      <c r="E30" s="29"/>
      <c r="F30" s="29"/>
      <c r="G30" s="29"/>
      <c r="H30" s="29"/>
      <c r="I30" s="29"/>
      <c r="J30" s="29"/>
      <c r="K30" s="29"/>
      <c r="L30" s="29"/>
      <c r="M30" s="29"/>
      <c r="N30" s="29"/>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row>
    <row r="31" spans="1:39" s="28" customFormat="1" x14ac:dyDescent="0.25">
      <c r="A31" s="56"/>
      <c r="B31" s="32"/>
      <c r="C31" s="33"/>
      <c r="E31" s="29"/>
      <c r="F31" s="29"/>
      <c r="G31" s="29"/>
      <c r="H31" s="29"/>
      <c r="I31" s="29"/>
      <c r="J31" s="29"/>
      <c r="K31" s="29"/>
      <c r="L31" s="29"/>
      <c r="M31" s="29"/>
      <c r="N31" s="29"/>
    </row>
    <row r="32" spans="1:39" s="22" customFormat="1" x14ac:dyDescent="0.25">
      <c r="A32" s="55" t="s">
        <v>436</v>
      </c>
      <c r="B32" s="25" t="s">
        <v>135</v>
      </c>
      <c r="C32" s="26" t="s">
        <v>160</v>
      </c>
      <c r="D32" s="27" t="s">
        <v>164</v>
      </c>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row>
    <row r="33" spans="1:39" ht="45" x14ac:dyDescent="0.25">
      <c r="A33" s="57">
        <v>28</v>
      </c>
      <c r="B33" s="50" t="s">
        <v>300</v>
      </c>
      <c r="C33" s="52"/>
      <c r="AK33"/>
      <c r="AL33"/>
      <c r="AM33"/>
    </row>
    <row r="34" spans="1:39" x14ac:dyDescent="0.25">
      <c r="A34" s="57">
        <v>29</v>
      </c>
      <c r="B34" s="21" t="s">
        <v>171</v>
      </c>
      <c r="C34" s="52"/>
      <c r="AK34"/>
      <c r="AL34"/>
      <c r="AM34"/>
    </row>
    <row r="35" spans="1:39" x14ac:dyDescent="0.25">
      <c r="A35" s="57">
        <v>30</v>
      </c>
      <c r="B35" s="21" t="s">
        <v>172</v>
      </c>
      <c r="C35" s="52"/>
      <c r="AE35"/>
      <c r="AF35"/>
      <c r="AG35"/>
      <c r="AH35"/>
      <c r="AI35"/>
      <c r="AJ35"/>
      <c r="AK35"/>
      <c r="AL35"/>
      <c r="AM35"/>
    </row>
    <row r="36" spans="1:39" x14ac:dyDescent="0.25">
      <c r="A36" s="57">
        <v>31</v>
      </c>
      <c r="B36" s="21" t="s">
        <v>168</v>
      </c>
      <c r="C36" s="52"/>
      <c r="AK36"/>
      <c r="AL36"/>
      <c r="AM36"/>
    </row>
    <row r="37" spans="1:39" ht="30" x14ac:dyDescent="0.25">
      <c r="A37" s="57">
        <v>32</v>
      </c>
      <c r="B37" s="21" t="s">
        <v>173</v>
      </c>
      <c r="C37" s="52"/>
      <c r="AK37"/>
      <c r="AL37"/>
      <c r="AM37"/>
    </row>
    <row r="38" spans="1:39" x14ac:dyDescent="0.25">
      <c r="A38" s="57">
        <v>33</v>
      </c>
      <c r="B38" s="21" t="s">
        <v>378</v>
      </c>
      <c r="C38" s="52"/>
      <c r="AK38"/>
      <c r="AL38"/>
      <c r="AM38"/>
    </row>
    <row r="39" spans="1:39" ht="30" x14ac:dyDescent="0.25">
      <c r="A39" s="57">
        <v>34</v>
      </c>
      <c r="B39" s="21" t="s">
        <v>210</v>
      </c>
      <c r="C39" s="52"/>
    </row>
    <row r="40" spans="1:39" ht="30" x14ac:dyDescent="0.25">
      <c r="A40" s="57">
        <v>35</v>
      </c>
      <c r="B40" s="21" t="s">
        <v>211</v>
      </c>
      <c r="C40" s="52"/>
    </row>
    <row r="41" spans="1:39" ht="45" x14ac:dyDescent="0.25">
      <c r="A41" s="57">
        <v>36</v>
      </c>
      <c r="B41" s="21" t="s">
        <v>379</v>
      </c>
      <c r="C41" s="52"/>
    </row>
    <row r="42" spans="1:39" ht="30" x14ac:dyDescent="0.25">
      <c r="A42" s="57">
        <v>37</v>
      </c>
      <c r="B42" s="21" t="s">
        <v>182</v>
      </c>
      <c r="C42" s="52"/>
    </row>
    <row r="43" spans="1:39" ht="30" x14ac:dyDescent="0.25">
      <c r="A43" s="57">
        <v>38</v>
      </c>
      <c r="B43" s="21" t="s">
        <v>176</v>
      </c>
      <c r="C43" s="52"/>
      <c r="H43" s="28"/>
      <c r="J43" s="28"/>
    </row>
    <row r="44" spans="1:39" x14ac:dyDescent="0.25">
      <c r="A44" s="57">
        <v>39</v>
      </c>
      <c r="B44" s="21" t="s">
        <v>177</v>
      </c>
      <c r="C44" s="52"/>
      <c r="F44" s="28"/>
      <c r="G44" s="28"/>
      <c r="I44" s="28"/>
      <c r="K44" s="28"/>
    </row>
    <row r="45" spans="1:39" s="35" customFormat="1" ht="30" x14ac:dyDescent="0.25">
      <c r="A45" s="57">
        <v>40</v>
      </c>
      <c r="B45" s="21" t="s">
        <v>170</v>
      </c>
      <c r="C45" s="52"/>
      <c r="D45" s="23"/>
      <c r="E45" s="29"/>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row>
    <row r="46" spans="1:39" s="35" customFormat="1" x14ac:dyDescent="0.25">
      <c r="A46" s="57">
        <v>41</v>
      </c>
      <c r="B46" s="21" t="s">
        <v>178</v>
      </c>
      <c r="C46" s="52"/>
      <c r="D46" s="23"/>
      <c r="E46" s="29"/>
      <c r="F46" s="29"/>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9"/>
      <c r="AM46" s="29"/>
    </row>
    <row r="47" spans="1:39" ht="30" x14ac:dyDescent="0.25">
      <c r="A47" s="57">
        <v>42</v>
      </c>
      <c r="B47" s="21" t="s">
        <v>180</v>
      </c>
      <c r="C47" s="52"/>
    </row>
    <row r="48" spans="1:39" ht="30" x14ac:dyDescent="0.25">
      <c r="A48" s="57">
        <v>43</v>
      </c>
      <c r="B48" s="21" t="s">
        <v>181</v>
      </c>
      <c r="C48" s="52"/>
    </row>
    <row r="49" spans="1:39" s="46" customFormat="1" x14ac:dyDescent="0.25">
      <c r="A49" s="57">
        <v>44</v>
      </c>
      <c r="B49" s="21" t="s">
        <v>214</v>
      </c>
      <c r="C49" s="52"/>
      <c r="D49" s="23"/>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row>
    <row r="50" spans="1:39" s="46" customFormat="1" ht="30" x14ac:dyDescent="0.25">
      <c r="A50" s="57">
        <v>45</v>
      </c>
      <c r="B50" s="21" t="s">
        <v>367</v>
      </c>
      <c r="C50" s="52"/>
      <c r="D50" s="23"/>
      <c r="E50" s="29"/>
      <c r="F50" s="29"/>
      <c r="G50" s="29"/>
      <c r="H50" s="28"/>
      <c r="I50" s="29"/>
      <c r="J50" s="28"/>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9"/>
      <c r="AJ50" s="29"/>
      <c r="AK50" s="29"/>
      <c r="AL50" s="29"/>
      <c r="AM50" s="29"/>
    </row>
    <row r="51" spans="1:39" s="46" customFormat="1" ht="60" x14ac:dyDescent="0.25">
      <c r="A51" s="57">
        <v>46</v>
      </c>
      <c r="B51" s="21" t="s">
        <v>368</v>
      </c>
      <c r="C51" s="52"/>
      <c r="D51" s="23"/>
      <c r="E51" s="29"/>
      <c r="F51" s="28"/>
      <c r="G51" s="28"/>
      <c r="H51" s="29"/>
      <c r="I51" s="28"/>
      <c r="J51" s="29"/>
      <c r="K51" s="28"/>
      <c r="L51" s="29"/>
      <c r="M51" s="29"/>
      <c r="N51" s="29"/>
      <c r="O51" s="29"/>
      <c r="P51" s="29"/>
      <c r="Q51" s="29"/>
      <c r="R51" s="29"/>
      <c r="S51" s="29"/>
      <c r="T51" s="29"/>
      <c r="U51" s="29"/>
      <c r="V51" s="29"/>
      <c r="W51" s="29"/>
      <c r="X51" s="29"/>
      <c r="Y51" s="29"/>
      <c r="Z51" s="29"/>
      <c r="AA51" s="29"/>
      <c r="AB51" s="29"/>
      <c r="AC51" s="29"/>
      <c r="AD51" s="29"/>
      <c r="AE51" s="29"/>
      <c r="AF51" s="29"/>
      <c r="AG51" s="29"/>
      <c r="AH51" s="29"/>
      <c r="AI51" s="29"/>
      <c r="AJ51" s="29"/>
      <c r="AK51" s="29"/>
      <c r="AL51" s="29"/>
      <c r="AM51" s="29"/>
    </row>
    <row r="52" spans="1:39" s="46" customFormat="1" x14ac:dyDescent="0.25">
      <c r="A52" s="57">
        <v>47</v>
      </c>
      <c r="B52" s="21" t="s">
        <v>217</v>
      </c>
      <c r="C52" s="52"/>
      <c r="D52" s="23"/>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row>
    <row r="53" spans="1:39" s="46" customFormat="1" ht="30" x14ac:dyDescent="0.25">
      <c r="A53" s="57">
        <v>48</v>
      </c>
      <c r="B53" s="21" t="s">
        <v>218</v>
      </c>
      <c r="C53" s="52"/>
      <c r="D53" s="23"/>
      <c r="E53" s="29"/>
      <c r="F53" s="29"/>
      <c r="G53" s="29"/>
      <c r="H53" s="28"/>
      <c r="I53" s="29"/>
      <c r="J53" s="28"/>
      <c r="K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c r="AK53" s="29"/>
      <c r="AL53" s="29"/>
      <c r="AM53" s="29"/>
    </row>
    <row r="54" spans="1:39" s="46" customFormat="1" x14ac:dyDescent="0.25">
      <c r="A54" s="57">
        <v>49</v>
      </c>
      <c r="B54" s="21" t="s">
        <v>258</v>
      </c>
      <c r="C54" s="52"/>
      <c r="D54" s="23"/>
      <c r="E54" s="28"/>
      <c r="F54" s="28"/>
      <c r="G54" s="28"/>
      <c r="H54" s="29"/>
      <c r="I54" s="28"/>
      <c r="J54" s="29"/>
      <c r="K54" s="28"/>
      <c r="L54" s="28"/>
      <c r="M54" s="28"/>
      <c r="N54" s="28"/>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row>
    <row r="55" spans="1:39" s="46" customFormat="1" x14ac:dyDescent="0.25">
      <c r="A55" s="57">
        <v>50</v>
      </c>
      <c r="B55" s="21" t="s">
        <v>293</v>
      </c>
      <c r="C55" s="52"/>
      <c r="D55" s="23"/>
      <c r="E55" s="28"/>
      <c r="F55" s="29"/>
      <c r="G55" s="29"/>
      <c r="H55" s="29"/>
      <c r="I55" s="29"/>
      <c r="J55" s="29"/>
      <c r="K55" s="29"/>
      <c r="L55" s="28"/>
      <c r="M55" s="28"/>
      <c r="N55" s="28"/>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row>
    <row r="56" spans="1:39" s="46" customFormat="1" ht="30" x14ac:dyDescent="0.25">
      <c r="A56" s="57">
        <v>51</v>
      </c>
      <c r="B56" s="21" t="s">
        <v>364</v>
      </c>
      <c r="C56" s="52"/>
      <c r="D56" s="23"/>
      <c r="E56" s="29"/>
      <c r="F56" s="29"/>
      <c r="G56" s="29"/>
      <c r="H56" s="29"/>
      <c r="I56" s="29"/>
      <c r="J56" s="29"/>
      <c r="K56" s="29"/>
      <c r="L56" s="29"/>
      <c r="M56" s="29"/>
      <c r="N56" s="29"/>
      <c r="O56" s="29"/>
      <c r="P56" s="29"/>
      <c r="Q56" s="29"/>
      <c r="R56" s="29"/>
      <c r="S56" s="29"/>
      <c r="T56" s="29"/>
      <c r="U56" s="29"/>
      <c r="V56" s="29"/>
      <c r="W56" s="29"/>
      <c r="X56" s="29"/>
      <c r="Y56" s="29"/>
      <c r="Z56" s="29"/>
      <c r="AA56" s="29"/>
      <c r="AB56" s="29"/>
      <c r="AC56" s="29"/>
      <c r="AD56" s="29"/>
      <c r="AE56" s="29"/>
      <c r="AF56" s="29"/>
      <c r="AG56" s="29"/>
      <c r="AH56" s="29"/>
      <c r="AI56" s="29"/>
      <c r="AJ56" s="29"/>
      <c r="AK56" s="29"/>
      <c r="AL56" s="29"/>
      <c r="AM56" s="29"/>
    </row>
    <row r="57" spans="1:39" s="46" customFormat="1" x14ac:dyDescent="0.25">
      <c r="A57" s="57">
        <v>52</v>
      </c>
      <c r="B57" s="21" t="s">
        <v>169</v>
      </c>
      <c r="C57" s="52"/>
      <c r="D57" s="23"/>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row>
    <row r="58" spans="1:39" s="28" customFormat="1" x14ac:dyDescent="0.25">
      <c r="A58" s="56"/>
      <c r="B58" s="32"/>
      <c r="C58" s="33"/>
      <c r="E58" s="29"/>
      <c r="F58" s="29"/>
      <c r="G58" s="29"/>
      <c r="H58" s="29"/>
      <c r="I58" s="29"/>
      <c r="J58" s="29"/>
      <c r="K58" s="29"/>
      <c r="L58" s="29"/>
      <c r="M58" s="29"/>
      <c r="N58" s="29"/>
    </row>
    <row r="59" spans="1:39" s="22" customFormat="1" x14ac:dyDescent="0.25">
      <c r="A59" s="55" t="s">
        <v>436</v>
      </c>
      <c r="B59" s="25" t="s">
        <v>222</v>
      </c>
      <c r="C59" s="26" t="s">
        <v>160</v>
      </c>
      <c r="D59" s="27" t="s">
        <v>164</v>
      </c>
      <c r="E59" s="29"/>
      <c r="F59" s="29"/>
      <c r="G59" s="29"/>
      <c r="H59" s="29"/>
      <c r="I59" s="29"/>
      <c r="J59" s="29"/>
      <c r="K59" s="29"/>
      <c r="L59" s="29"/>
      <c r="M59" s="29"/>
      <c r="N59" s="29"/>
      <c r="O59" s="28"/>
      <c r="P59" s="28"/>
      <c r="Q59" s="28"/>
      <c r="R59" s="28"/>
      <c r="S59" s="28"/>
      <c r="T59" s="28"/>
      <c r="U59" s="28"/>
      <c r="V59" s="28"/>
      <c r="W59" s="28"/>
      <c r="X59" s="28"/>
      <c r="Y59" s="28"/>
      <c r="Z59" s="28"/>
      <c r="AA59" s="28"/>
      <c r="AB59" s="28"/>
      <c r="AC59" s="28"/>
      <c r="AD59" s="28"/>
      <c r="AE59" s="28"/>
      <c r="AF59" s="28"/>
      <c r="AG59" s="28"/>
      <c r="AH59" s="28"/>
      <c r="AI59" s="28"/>
      <c r="AJ59" s="28"/>
      <c r="AK59" s="28"/>
      <c r="AL59" s="28"/>
      <c r="AM59" s="28"/>
    </row>
    <row r="60" spans="1:39" x14ac:dyDescent="0.25">
      <c r="A60" s="57">
        <v>53</v>
      </c>
      <c r="B60" s="21" t="s">
        <v>237</v>
      </c>
      <c r="C60" s="52"/>
    </row>
    <row r="61" spans="1:39" x14ac:dyDescent="0.25">
      <c r="A61" s="57">
        <v>54</v>
      </c>
      <c r="B61" s="21" t="s">
        <v>238</v>
      </c>
      <c r="C61" s="52"/>
    </row>
    <row r="62" spans="1:39" x14ac:dyDescent="0.25">
      <c r="A62" s="57">
        <v>55</v>
      </c>
      <c r="B62" s="21" t="s">
        <v>239</v>
      </c>
      <c r="C62" s="52"/>
    </row>
    <row r="63" spans="1:39" x14ac:dyDescent="0.25">
      <c r="A63" s="57">
        <v>56</v>
      </c>
      <c r="B63" s="21" t="s">
        <v>242</v>
      </c>
      <c r="C63" s="52"/>
    </row>
    <row r="64" spans="1:39" x14ac:dyDescent="0.25">
      <c r="A64" s="57">
        <v>57</v>
      </c>
      <c r="B64" s="21" t="s">
        <v>243</v>
      </c>
      <c r="C64" s="52"/>
    </row>
    <row r="65" spans="1:39" x14ac:dyDescent="0.25">
      <c r="A65" s="57">
        <v>58</v>
      </c>
      <c r="B65" s="21" t="s">
        <v>244</v>
      </c>
      <c r="C65" s="52"/>
    </row>
    <row r="66" spans="1:39" x14ac:dyDescent="0.25">
      <c r="A66" s="57">
        <v>59</v>
      </c>
      <c r="B66" s="21" t="s">
        <v>246</v>
      </c>
      <c r="C66" s="52"/>
    </row>
    <row r="67" spans="1:39" ht="30" x14ac:dyDescent="0.25">
      <c r="A67" s="57">
        <v>60</v>
      </c>
      <c r="B67" s="21" t="s">
        <v>375</v>
      </c>
      <c r="C67" s="52"/>
    </row>
    <row r="68" spans="1:39" ht="45" x14ac:dyDescent="0.25">
      <c r="A68" s="57">
        <v>61</v>
      </c>
      <c r="B68" s="21" t="s">
        <v>248</v>
      </c>
      <c r="C68" s="52"/>
    </row>
    <row r="69" spans="1:39" x14ac:dyDescent="0.25">
      <c r="A69" s="57">
        <v>62</v>
      </c>
      <c r="B69" s="21" t="s">
        <v>249</v>
      </c>
      <c r="C69" s="52"/>
    </row>
    <row r="70" spans="1:39" ht="30" x14ac:dyDescent="0.25">
      <c r="A70" s="57">
        <v>63</v>
      </c>
      <c r="B70" s="21" t="s">
        <v>279</v>
      </c>
      <c r="C70" s="52"/>
    </row>
    <row r="71" spans="1:39" ht="30" x14ac:dyDescent="0.25">
      <c r="A71" s="57">
        <v>64</v>
      </c>
      <c r="B71" s="21" t="s">
        <v>376</v>
      </c>
      <c r="C71" s="52"/>
    </row>
    <row r="72" spans="1:39" ht="30" x14ac:dyDescent="0.25">
      <c r="A72" s="57">
        <v>65</v>
      </c>
      <c r="B72" s="21" t="s">
        <v>377</v>
      </c>
      <c r="C72" s="52"/>
    </row>
    <row r="73" spans="1:39" x14ac:dyDescent="0.25">
      <c r="A73" s="57">
        <v>66</v>
      </c>
      <c r="B73" s="21" t="s">
        <v>169</v>
      </c>
      <c r="C73" s="52"/>
    </row>
    <row r="74" spans="1:39" ht="45" x14ac:dyDescent="0.25">
      <c r="A74" s="57">
        <v>67</v>
      </c>
      <c r="B74" s="21" t="s">
        <v>300</v>
      </c>
      <c r="C74" s="52"/>
    </row>
    <row r="75" spans="1:39" x14ac:dyDescent="0.25">
      <c r="A75" s="57">
        <v>68</v>
      </c>
      <c r="B75" s="21" t="s">
        <v>366</v>
      </c>
      <c r="C75" s="52"/>
    </row>
    <row r="76" spans="1:39" s="28" customFormat="1" x14ac:dyDescent="0.25">
      <c r="A76" s="56"/>
      <c r="B76" s="32"/>
      <c r="C76" s="33"/>
      <c r="E76" s="29"/>
      <c r="F76" s="29"/>
      <c r="G76" s="29"/>
      <c r="H76" s="29"/>
      <c r="I76" s="29"/>
      <c r="J76" s="29"/>
      <c r="K76" s="29"/>
      <c r="L76" s="29"/>
      <c r="M76" s="29"/>
      <c r="N76" s="29"/>
    </row>
    <row r="77" spans="1:39" s="22" customFormat="1" x14ac:dyDescent="0.25">
      <c r="A77" s="55" t="s">
        <v>436</v>
      </c>
      <c r="B77" s="25" t="s">
        <v>264</v>
      </c>
      <c r="C77" s="26" t="s">
        <v>160</v>
      </c>
      <c r="D77" s="27" t="s">
        <v>164</v>
      </c>
      <c r="E77" s="29"/>
      <c r="F77" s="29"/>
      <c r="G77" s="29"/>
      <c r="H77" s="29"/>
      <c r="I77" s="29"/>
      <c r="J77" s="29"/>
      <c r="K77" s="29"/>
      <c r="L77" s="29"/>
      <c r="M77" s="29"/>
      <c r="N77" s="29"/>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row>
    <row r="78" spans="1:39" s="51" customFormat="1" x14ac:dyDescent="0.25">
      <c r="A78" s="57">
        <v>69</v>
      </c>
      <c r="B78" s="21" t="s">
        <v>438</v>
      </c>
      <c r="C78" s="52"/>
      <c r="D78" s="23"/>
      <c r="E78" s="29"/>
      <c r="F78" s="29"/>
      <c r="G78" s="29"/>
      <c r="H78" s="29"/>
      <c r="I78" s="29"/>
      <c r="J78" s="29"/>
      <c r="K78" s="29"/>
      <c r="L78" s="29"/>
      <c r="M78" s="29"/>
      <c r="N78" s="29"/>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row>
    <row r="79" spans="1:39" s="51" customFormat="1" ht="30" x14ac:dyDescent="0.25">
      <c r="A79" s="57">
        <v>70</v>
      </c>
      <c r="B79" s="21" t="s">
        <v>425</v>
      </c>
      <c r="C79" s="52"/>
      <c r="D79" s="23"/>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9"/>
      <c r="AJ79" s="29"/>
      <c r="AK79" s="29"/>
      <c r="AL79" s="29"/>
      <c r="AM79" s="29"/>
    </row>
    <row r="80" spans="1:39" s="51" customFormat="1" ht="45" x14ac:dyDescent="0.25">
      <c r="A80" s="57">
        <v>71</v>
      </c>
      <c r="B80" s="21" t="s">
        <v>426</v>
      </c>
      <c r="C80" s="52"/>
      <c r="D80" s="23"/>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row>
    <row r="81" spans="1:39" s="51" customFormat="1" x14ac:dyDescent="0.25">
      <c r="A81" s="57">
        <v>72</v>
      </c>
      <c r="B81" s="21" t="s">
        <v>271</v>
      </c>
      <c r="C81" s="52"/>
      <c r="D81" s="23"/>
      <c r="E81" s="29"/>
      <c r="F81" s="29"/>
      <c r="G81" s="29"/>
      <c r="H81" s="29"/>
      <c r="I81" s="29"/>
      <c r="J81" s="29"/>
      <c r="K81" s="29"/>
      <c r="L81" s="29"/>
      <c r="M81" s="29"/>
      <c r="N81" s="29"/>
      <c r="O81" s="29"/>
      <c r="P81" s="29"/>
      <c r="Q81" s="29"/>
      <c r="R81" s="29"/>
      <c r="S81" s="29"/>
      <c r="T81" s="29"/>
      <c r="U81" s="29"/>
      <c r="V81" s="29"/>
      <c r="W81" s="29"/>
      <c r="X81" s="29"/>
      <c r="Y81" s="29"/>
      <c r="Z81" s="29"/>
      <c r="AA81" s="29"/>
      <c r="AB81" s="29"/>
      <c r="AC81" s="29"/>
      <c r="AD81" s="29"/>
      <c r="AE81" s="29"/>
      <c r="AF81" s="29"/>
      <c r="AG81" s="29"/>
      <c r="AH81" s="29"/>
      <c r="AI81" s="29"/>
      <c r="AJ81" s="29"/>
      <c r="AK81" s="29"/>
      <c r="AL81" s="29"/>
      <c r="AM81" s="29"/>
    </row>
    <row r="82" spans="1:39" s="51" customFormat="1" x14ac:dyDescent="0.25">
      <c r="A82" s="57">
        <v>73</v>
      </c>
      <c r="B82" s="21" t="s">
        <v>272</v>
      </c>
      <c r="C82" s="52"/>
      <c r="D82" s="23"/>
      <c r="E82" s="29"/>
      <c r="F82" s="29"/>
      <c r="G82" s="29"/>
      <c r="H82" s="29"/>
      <c r="I82" s="29"/>
      <c r="J82" s="29"/>
      <c r="K82" s="29"/>
      <c r="L82" s="29"/>
      <c r="M82" s="29"/>
      <c r="N82" s="29"/>
      <c r="O82" s="29"/>
      <c r="P82" s="29"/>
      <c r="Q82" s="29"/>
      <c r="R82" s="29"/>
      <c r="S82" s="29"/>
      <c r="T82" s="29"/>
      <c r="U82" s="29"/>
      <c r="V82" s="29"/>
      <c r="W82" s="29"/>
      <c r="X82" s="29"/>
      <c r="Y82" s="29"/>
      <c r="Z82" s="29"/>
      <c r="AA82" s="29"/>
      <c r="AB82" s="29"/>
      <c r="AC82" s="29"/>
      <c r="AD82" s="29"/>
      <c r="AE82" s="29"/>
      <c r="AF82" s="29"/>
      <c r="AG82" s="29"/>
      <c r="AH82" s="29"/>
      <c r="AI82" s="29"/>
      <c r="AJ82" s="29"/>
      <c r="AK82" s="29"/>
      <c r="AL82" s="29"/>
      <c r="AM82" s="29"/>
    </row>
    <row r="83" spans="1:39" s="51" customFormat="1" x14ac:dyDescent="0.25">
      <c r="A83" s="57">
        <v>74</v>
      </c>
      <c r="B83" s="21" t="s">
        <v>269</v>
      </c>
      <c r="C83" s="52"/>
      <c r="D83" s="23"/>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row>
    <row r="84" spans="1:39" s="51" customFormat="1" ht="30" x14ac:dyDescent="0.25">
      <c r="A84" s="57">
        <v>75</v>
      </c>
      <c r="B84" s="21" t="s">
        <v>273</v>
      </c>
      <c r="C84" s="52"/>
      <c r="D84" s="23"/>
      <c r="E84" s="29"/>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row>
    <row r="85" spans="1:39" s="51" customFormat="1" ht="30" x14ac:dyDescent="0.25">
      <c r="A85" s="57">
        <v>76</v>
      </c>
      <c r="B85" s="21" t="s">
        <v>416</v>
      </c>
      <c r="C85" s="52"/>
      <c r="D85" s="23"/>
      <c r="E85" s="29"/>
      <c r="F85" s="29"/>
      <c r="G85" s="29"/>
      <c r="H85" s="29"/>
      <c r="I85" s="29"/>
      <c r="J85" s="29"/>
      <c r="K85" s="29"/>
      <c r="L85" s="29"/>
      <c r="M85" s="29"/>
      <c r="N85" s="29"/>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row>
    <row r="86" spans="1:39" s="51" customFormat="1" ht="30" x14ac:dyDescent="0.25">
      <c r="A86" s="57">
        <v>77</v>
      </c>
      <c r="B86" s="21" t="s">
        <v>284</v>
      </c>
      <c r="C86" s="52"/>
      <c r="D86" s="23"/>
      <c r="E86" s="29"/>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row>
    <row r="87" spans="1:39" s="51" customFormat="1" x14ac:dyDescent="0.25">
      <c r="A87" s="57">
        <v>78</v>
      </c>
      <c r="B87" s="21" t="s">
        <v>209</v>
      </c>
      <c r="C87" s="52"/>
      <c r="D87" s="23"/>
      <c r="E87" s="29"/>
      <c r="F87" s="29"/>
      <c r="G87" s="29"/>
      <c r="H87" s="29"/>
      <c r="I87" s="29"/>
      <c r="J87" s="29"/>
      <c r="K87" s="29"/>
      <c r="L87" s="29"/>
      <c r="M87" s="29"/>
      <c r="N87" s="29"/>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row>
    <row r="88" spans="1:39" s="51" customFormat="1" x14ac:dyDescent="0.25">
      <c r="A88" s="57">
        <v>79</v>
      </c>
      <c r="B88" s="21" t="s">
        <v>288</v>
      </c>
      <c r="C88" s="52"/>
      <c r="D88" s="23"/>
      <c r="E88" s="29"/>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row>
    <row r="89" spans="1:39" s="51" customFormat="1" ht="30" x14ac:dyDescent="0.25">
      <c r="A89" s="57">
        <v>80</v>
      </c>
      <c r="B89" s="21" t="s">
        <v>292</v>
      </c>
      <c r="C89" s="52"/>
      <c r="D89" s="23"/>
      <c r="E89" s="29"/>
      <c r="F89" s="29"/>
      <c r="G89" s="29"/>
      <c r="H89" s="29"/>
      <c r="I89" s="29"/>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row>
    <row r="90" spans="1:39" s="51" customFormat="1" x14ac:dyDescent="0.25">
      <c r="A90" s="57">
        <v>81</v>
      </c>
      <c r="B90" s="21" t="s">
        <v>294</v>
      </c>
      <c r="C90" s="52"/>
      <c r="D90" s="23"/>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row>
    <row r="91" spans="1:39" s="51" customFormat="1" x14ac:dyDescent="0.25">
      <c r="A91" s="57">
        <v>82</v>
      </c>
      <c r="B91" s="21" t="s">
        <v>297</v>
      </c>
      <c r="C91" s="52"/>
      <c r="D91" s="23"/>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row>
    <row r="92" spans="1:39" s="51" customFormat="1" x14ac:dyDescent="0.25">
      <c r="A92" s="57">
        <v>83</v>
      </c>
      <c r="B92" s="21" t="s">
        <v>427</v>
      </c>
      <c r="C92" s="52"/>
      <c r="D92" s="23"/>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row>
    <row r="93" spans="1:39" s="51" customFormat="1" x14ac:dyDescent="0.25">
      <c r="A93" s="57">
        <v>84</v>
      </c>
      <c r="B93" s="21" t="s">
        <v>420</v>
      </c>
      <c r="C93" s="52"/>
      <c r="D93" s="23"/>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row>
    <row r="94" spans="1:39" s="51" customFormat="1" x14ac:dyDescent="0.25">
      <c r="A94" s="57">
        <v>85</v>
      </c>
      <c r="B94" s="21" t="s">
        <v>169</v>
      </c>
      <c r="C94" s="52"/>
      <c r="D94" s="23"/>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row>
    <row r="95" spans="1:39" s="51" customFormat="1" ht="45" x14ac:dyDescent="0.25">
      <c r="A95" s="57">
        <v>86</v>
      </c>
      <c r="B95" s="21" t="s">
        <v>300</v>
      </c>
      <c r="C95" s="52"/>
      <c r="D95" s="23"/>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row>
    <row r="96" spans="1:39" s="28" customFormat="1" x14ac:dyDescent="0.25">
      <c r="A96" s="56"/>
      <c r="B96" s="32"/>
      <c r="C96" s="33"/>
      <c r="E96" s="29"/>
      <c r="F96" s="29"/>
      <c r="G96" s="29"/>
      <c r="H96" s="29"/>
      <c r="I96" s="29"/>
      <c r="J96" s="29"/>
      <c r="K96" s="29"/>
      <c r="L96" s="29"/>
      <c r="M96" s="29"/>
      <c r="N96" s="29"/>
    </row>
    <row r="97" spans="1:39" s="22" customFormat="1" x14ac:dyDescent="0.25">
      <c r="A97" s="55" t="s">
        <v>436</v>
      </c>
      <c r="B97" s="25" t="s">
        <v>167</v>
      </c>
      <c r="C97" s="26" t="s">
        <v>160</v>
      </c>
      <c r="D97" s="27" t="s">
        <v>164</v>
      </c>
      <c r="E97" s="29"/>
      <c r="F97" s="29"/>
      <c r="G97" s="29"/>
      <c r="H97" s="29"/>
      <c r="I97" s="29"/>
      <c r="J97" s="29"/>
      <c r="K97" s="29"/>
      <c r="L97" s="29"/>
      <c r="M97" s="29"/>
      <c r="N97" s="29"/>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row>
    <row r="98" spans="1:39" x14ac:dyDescent="0.25">
      <c r="A98" s="57">
        <v>87</v>
      </c>
      <c r="B98" s="21" t="s">
        <v>363</v>
      </c>
      <c r="C98" s="52"/>
    </row>
    <row r="99" spans="1:39" x14ac:dyDescent="0.25">
      <c r="A99" s="57">
        <v>88</v>
      </c>
      <c r="B99" s="21" t="s">
        <v>320</v>
      </c>
      <c r="C99" s="52"/>
    </row>
    <row r="100" spans="1:39" x14ac:dyDescent="0.25">
      <c r="A100" s="57">
        <v>89</v>
      </c>
      <c r="B100" s="21" t="s">
        <v>165</v>
      </c>
      <c r="C100" s="52"/>
    </row>
    <row r="101" spans="1:39" ht="45" x14ac:dyDescent="0.25">
      <c r="A101" s="57">
        <v>90</v>
      </c>
      <c r="B101" s="21" t="s">
        <v>166</v>
      </c>
      <c r="C101" s="52"/>
    </row>
    <row r="102" spans="1:39" x14ac:dyDescent="0.25">
      <c r="A102" s="57">
        <v>91</v>
      </c>
      <c r="B102" s="21" t="s">
        <v>319</v>
      </c>
      <c r="C102" s="52"/>
    </row>
    <row r="103" spans="1:39" x14ac:dyDescent="0.25">
      <c r="A103" s="57">
        <v>92</v>
      </c>
      <c r="B103" s="21" t="s">
        <v>321</v>
      </c>
      <c r="C103" s="52"/>
    </row>
    <row r="104" spans="1:39" ht="60" x14ac:dyDescent="0.25">
      <c r="A104" s="57">
        <v>93</v>
      </c>
      <c r="B104" s="21" t="s">
        <v>322</v>
      </c>
      <c r="C104" s="52"/>
    </row>
    <row r="105" spans="1:39" ht="30" x14ac:dyDescent="0.25">
      <c r="A105" s="57">
        <v>94</v>
      </c>
      <c r="B105" s="21" t="s">
        <v>323</v>
      </c>
      <c r="C105" s="52"/>
    </row>
    <row r="106" spans="1:39" ht="60" x14ac:dyDescent="0.25">
      <c r="A106" s="57">
        <v>95</v>
      </c>
      <c r="B106" s="21" t="s">
        <v>331</v>
      </c>
      <c r="C106" s="52"/>
    </row>
    <row r="107" spans="1:39" ht="30" x14ac:dyDescent="0.25">
      <c r="A107" s="57">
        <v>96</v>
      </c>
      <c r="B107" s="21" t="s">
        <v>325</v>
      </c>
      <c r="C107" s="52"/>
    </row>
    <row r="108" spans="1:39" ht="30" x14ac:dyDescent="0.25">
      <c r="A108" s="57">
        <v>97</v>
      </c>
      <c r="B108" s="21" t="s">
        <v>329</v>
      </c>
      <c r="C108" s="48"/>
      <c r="D108" s="49"/>
    </row>
    <row r="109" spans="1:39" ht="30" x14ac:dyDescent="0.25">
      <c r="A109" s="57">
        <v>98</v>
      </c>
      <c r="B109" s="47" t="s">
        <v>355</v>
      </c>
      <c r="C109" s="52"/>
    </row>
    <row r="110" spans="1:39" ht="30" x14ac:dyDescent="0.25">
      <c r="A110" s="57">
        <v>99</v>
      </c>
      <c r="B110" s="47" t="s">
        <v>324</v>
      </c>
      <c r="C110" s="52"/>
    </row>
    <row r="111" spans="1:39" ht="60" x14ac:dyDescent="0.25">
      <c r="A111" s="57">
        <v>100</v>
      </c>
      <c r="B111" s="47" t="s">
        <v>332</v>
      </c>
      <c r="C111" s="52"/>
    </row>
    <row r="112" spans="1:39" x14ac:dyDescent="0.25">
      <c r="A112" s="57">
        <v>101</v>
      </c>
      <c r="B112" s="47" t="s">
        <v>333</v>
      </c>
      <c r="C112" s="52"/>
    </row>
    <row r="113" spans="1:3" ht="45" x14ac:dyDescent="0.25">
      <c r="A113" s="57">
        <v>102</v>
      </c>
      <c r="B113" s="47" t="s">
        <v>326</v>
      </c>
      <c r="C113" s="52"/>
    </row>
    <row r="114" spans="1:3" ht="30" x14ac:dyDescent="0.25">
      <c r="A114" s="57">
        <v>103</v>
      </c>
      <c r="B114" s="47" t="s">
        <v>327</v>
      </c>
      <c r="C114" s="52"/>
    </row>
    <row r="115" spans="1:3" ht="45" x14ac:dyDescent="0.25">
      <c r="A115" s="57">
        <v>104</v>
      </c>
      <c r="B115" s="47" t="s">
        <v>372</v>
      </c>
      <c r="C115" s="52"/>
    </row>
    <row r="116" spans="1:3" ht="45" x14ac:dyDescent="0.25">
      <c r="A116" s="57">
        <v>105</v>
      </c>
      <c r="B116" s="21" t="s">
        <v>334</v>
      </c>
      <c r="C116" s="52"/>
    </row>
    <row r="117" spans="1:3" ht="45" x14ac:dyDescent="0.25">
      <c r="A117" s="57">
        <v>106</v>
      </c>
      <c r="B117" s="21" t="s">
        <v>335</v>
      </c>
      <c r="C117" s="52"/>
    </row>
    <row r="118" spans="1:3" ht="60" x14ac:dyDescent="0.25">
      <c r="A118" s="57">
        <v>107</v>
      </c>
      <c r="B118" s="21" t="s">
        <v>373</v>
      </c>
      <c r="C118" s="52"/>
    </row>
    <row r="119" spans="1:3" ht="45" x14ac:dyDescent="0.25">
      <c r="A119" s="57">
        <v>108</v>
      </c>
      <c r="B119" s="21" t="s">
        <v>337</v>
      </c>
      <c r="C119" s="52"/>
    </row>
    <row r="120" spans="1:3" ht="45" x14ac:dyDescent="0.25">
      <c r="A120" s="57">
        <v>109</v>
      </c>
      <c r="B120" s="21" t="s">
        <v>340</v>
      </c>
      <c r="C120" s="52"/>
    </row>
    <row r="121" spans="1:3" ht="30" x14ac:dyDescent="0.25">
      <c r="A121" s="57">
        <v>110</v>
      </c>
      <c r="B121" s="21" t="s">
        <v>341</v>
      </c>
      <c r="C121" s="52"/>
    </row>
    <row r="122" spans="1:3" ht="30" x14ac:dyDescent="0.25">
      <c r="A122" s="57">
        <v>111</v>
      </c>
      <c r="B122" s="21" t="s">
        <v>342</v>
      </c>
      <c r="C122" s="52"/>
    </row>
    <row r="123" spans="1:3" x14ac:dyDescent="0.25">
      <c r="A123" s="57">
        <v>112</v>
      </c>
      <c r="B123" s="21" t="s">
        <v>343</v>
      </c>
      <c r="C123" s="52"/>
    </row>
    <row r="124" spans="1:3" ht="30" x14ac:dyDescent="0.25">
      <c r="A124" s="57">
        <v>113</v>
      </c>
      <c r="B124" s="21" t="s">
        <v>344</v>
      </c>
      <c r="C124" s="52"/>
    </row>
    <row r="125" spans="1:3" ht="45" x14ac:dyDescent="0.25">
      <c r="A125" s="57">
        <v>114</v>
      </c>
      <c r="B125" s="21" t="s">
        <v>345</v>
      </c>
      <c r="C125" s="52"/>
    </row>
    <row r="126" spans="1:3" ht="45" x14ac:dyDescent="0.25">
      <c r="A126" s="57">
        <v>115</v>
      </c>
      <c r="B126" s="21" t="s">
        <v>347</v>
      </c>
      <c r="C126" s="52"/>
    </row>
    <row r="127" spans="1:3" x14ac:dyDescent="0.25">
      <c r="A127" s="57">
        <v>116</v>
      </c>
      <c r="B127" s="21" t="s">
        <v>374</v>
      </c>
      <c r="C127" s="52"/>
    </row>
    <row r="128" spans="1:3" ht="45" x14ac:dyDescent="0.25">
      <c r="A128" s="57">
        <v>117</v>
      </c>
      <c r="B128" s="21" t="s">
        <v>348</v>
      </c>
      <c r="C128" s="52"/>
    </row>
    <row r="129" spans="1:39" ht="30" x14ac:dyDescent="0.25">
      <c r="A129" s="57">
        <v>118</v>
      </c>
      <c r="B129" s="21" t="s">
        <v>349</v>
      </c>
      <c r="C129" s="52"/>
    </row>
    <row r="130" spans="1:39" ht="30" x14ac:dyDescent="0.25">
      <c r="A130" s="57">
        <v>119</v>
      </c>
      <c r="B130" s="21" t="s">
        <v>350</v>
      </c>
      <c r="C130" s="52"/>
    </row>
    <row r="131" spans="1:39" x14ac:dyDescent="0.25">
      <c r="A131" s="57">
        <v>120</v>
      </c>
      <c r="B131" s="21" t="s">
        <v>351</v>
      </c>
      <c r="C131" s="52"/>
    </row>
    <row r="132" spans="1:39" ht="30" x14ac:dyDescent="0.25">
      <c r="A132" s="57">
        <v>121</v>
      </c>
      <c r="B132" s="21" t="s">
        <v>352</v>
      </c>
      <c r="C132" s="52"/>
    </row>
    <row r="133" spans="1:39" ht="120" x14ac:dyDescent="0.25">
      <c r="A133" s="57">
        <v>122</v>
      </c>
      <c r="B133" s="21" t="s">
        <v>353</v>
      </c>
      <c r="C133" s="52"/>
    </row>
    <row r="134" spans="1:39" ht="30" x14ac:dyDescent="0.25">
      <c r="A134" s="57">
        <v>123</v>
      </c>
      <c r="B134" s="21" t="s">
        <v>354</v>
      </c>
      <c r="C134" s="52"/>
    </row>
    <row r="135" spans="1:39" ht="30" x14ac:dyDescent="0.25">
      <c r="A135" s="57">
        <v>124</v>
      </c>
      <c r="B135" s="21" t="s">
        <v>356</v>
      </c>
      <c r="C135" s="52"/>
    </row>
    <row r="136" spans="1:39" x14ac:dyDescent="0.25">
      <c r="A136" s="57">
        <v>125</v>
      </c>
      <c r="B136" s="21" t="s">
        <v>357</v>
      </c>
      <c r="C136" s="52"/>
    </row>
    <row r="137" spans="1:39" ht="30" x14ac:dyDescent="0.25">
      <c r="A137" s="57">
        <v>126</v>
      </c>
      <c r="B137" s="21" t="s">
        <v>358</v>
      </c>
      <c r="C137" s="52"/>
    </row>
    <row r="138" spans="1:39" ht="60" x14ac:dyDescent="0.25">
      <c r="A138" s="57">
        <v>127</v>
      </c>
      <c r="B138" s="21" t="s">
        <v>360</v>
      </c>
      <c r="C138" s="52"/>
    </row>
    <row r="139" spans="1:39" ht="30" x14ac:dyDescent="0.25">
      <c r="A139" s="57">
        <v>128</v>
      </c>
      <c r="B139" s="21" t="s">
        <v>361</v>
      </c>
      <c r="C139" s="52"/>
    </row>
    <row r="140" spans="1:39" ht="45" x14ac:dyDescent="0.25">
      <c r="A140" s="57">
        <v>129</v>
      </c>
      <c r="B140" s="21" t="s">
        <v>362</v>
      </c>
      <c r="C140" s="52"/>
    </row>
    <row r="141" spans="1:39" s="28" customFormat="1" x14ac:dyDescent="0.25">
      <c r="A141" s="56"/>
      <c r="B141" s="32"/>
      <c r="C141" s="33"/>
      <c r="E141" s="29"/>
      <c r="F141" s="29"/>
      <c r="G141" s="29"/>
      <c r="H141" s="29"/>
      <c r="I141" s="29"/>
      <c r="J141" s="29"/>
      <c r="K141" s="29"/>
      <c r="L141" s="29"/>
      <c r="M141" s="29"/>
      <c r="N141" s="29"/>
    </row>
    <row r="142" spans="1:39" s="22" customFormat="1" x14ac:dyDescent="0.25">
      <c r="A142" s="55" t="s">
        <v>436</v>
      </c>
      <c r="B142" s="25" t="s">
        <v>413</v>
      </c>
      <c r="C142" s="26" t="s">
        <v>160</v>
      </c>
      <c r="D142" s="27" t="s">
        <v>164</v>
      </c>
      <c r="E142" s="29"/>
      <c r="F142" s="29"/>
      <c r="G142" s="29"/>
      <c r="H142" s="29"/>
      <c r="I142" s="29"/>
      <c r="J142" s="29"/>
      <c r="K142" s="29"/>
      <c r="L142" s="29"/>
      <c r="M142" s="29"/>
      <c r="N142" s="29"/>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row>
    <row r="143" spans="1:39" s="51" customFormat="1" ht="45" x14ac:dyDescent="0.25">
      <c r="A143" s="57">
        <v>130</v>
      </c>
      <c r="B143" s="21" t="s">
        <v>380</v>
      </c>
      <c r="C143" s="52"/>
      <c r="D143" s="23"/>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row>
    <row r="144" spans="1:39" s="51" customFormat="1" x14ac:dyDescent="0.25">
      <c r="A144" s="57">
        <v>131</v>
      </c>
      <c r="B144" s="21" t="s">
        <v>381</v>
      </c>
      <c r="C144" s="52"/>
      <c r="D144" s="23"/>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row>
    <row r="145" spans="1:39" s="51" customFormat="1" x14ac:dyDescent="0.25">
      <c r="A145" s="57">
        <v>132</v>
      </c>
      <c r="B145" s="21" t="s">
        <v>382</v>
      </c>
      <c r="C145" s="52"/>
      <c r="D145" s="23"/>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row>
    <row r="146" spans="1:39" s="51" customFormat="1" x14ac:dyDescent="0.25">
      <c r="A146" s="57">
        <v>133</v>
      </c>
      <c r="B146" s="21" t="s">
        <v>383</v>
      </c>
      <c r="C146" s="52"/>
      <c r="D146" s="23"/>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row>
    <row r="147" spans="1:39" s="51" customFormat="1" ht="45" x14ac:dyDescent="0.25">
      <c r="A147" s="57">
        <v>134</v>
      </c>
      <c r="B147" s="21" t="s">
        <v>428</v>
      </c>
      <c r="C147" s="52"/>
      <c r="D147" s="23"/>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row>
    <row r="148" spans="1:39" s="51" customFormat="1" x14ac:dyDescent="0.25">
      <c r="A148" s="57">
        <v>135</v>
      </c>
      <c r="B148" s="21" t="s">
        <v>385</v>
      </c>
      <c r="C148" s="52"/>
      <c r="D148" s="23"/>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row>
    <row r="149" spans="1:39" s="51" customFormat="1" x14ac:dyDescent="0.25">
      <c r="A149" s="57">
        <v>136</v>
      </c>
      <c r="B149" s="21" t="s">
        <v>415</v>
      </c>
      <c r="C149" s="52"/>
      <c r="D149" s="23"/>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row>
    <row r="150" spans="1:39" s="51" customFormat="1" x14ac:dyDescent="0.25">
      <c r="A150" s="57">
        <v>137</v>
      </c>
      <c r="B150" s="21" t="s">
        <v>386</v>
      </c>
      <c r="C150" s="52"/>
      <c r="D150" s="23"/>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row>
    <row r="151" spans="1:39" s="51" customFormat="1" x14ac:dyDescent="0.25">
      <c r="A151" s="57">
        <v>138</v>
      </c>
      <c r="B151" s="21" t="s">
        <v>387</v>
      </c>
      <c r="C151" s="52"/>
      <c r="D151" s="23"/>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row>
    <row r="152" spans="1:39" s="51" customFormat="1" ht="30" x14ac:dyDescent="0.25">
      <c r="A152" s="57">
        <v>139</v>
      </c>
      <c r="B152" s="21" t="s">
        <v>388</v>
      </c>
      <c r="C152" s="52"/>
      <c r="D152" s="23"/>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row>
    <row r="153" spans="1:39" s="51" customFormat="1" ht="30" x14ac:dyDescent="0.25">
      <c r="A153" s="57">
        <v>140</v>
      </c>
      <c r="B153" s="21" t="s">
        <v>389</v>
      </c>
      <c r="C153" s="52"/>
      <c r="D153" s="23"/>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row>
    <row r="154" spans="1:39" s="51" customFormat="1" ht="30" x14ac:dyDescent="0.25">
      <c r="A154" s="57">
        <v>141</v>
      </c>
      <c r="B154" s="21" t="s">
        <v>390</v>
      </c>
      <c r="C154" s="52"/>
      <c r="D154" s="23"/>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row>
    <row r="155" spans="1:39" s="51" customFormat="1" ht="30" x14ac:dyDescent="0.25">
      <c r="A155" s="57">
        <v>142</v>
      </c>
      <c r="B155" s="21" t="s">
        <v>391</v>
      </c>
      <c r="C155" s="52"/>
      <c r="D155" s="23"/>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row>
    <row r="156" spans="1:39" s="51" customFormat="1" ht="45" x14ac:dyDescent="0.25">
      <c r="A156" s="57">
        <v>143</v>
      </c>
      <c r="B156" s="21" t="s">
        <v>429</v>
      </c>
      <c r="C156" s="52"/>
      <c r="D156" s="23"/>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row>
    <row r="157" spans="1:39" s="51" customFormat="1" ht="30" x14ac:dyDescent="0.25">
      <c r="A157" s="57">
        <v>144</v>
      </c>
      <c r="B157" s="21" t="s">
        <v>282</v>
      </c>
      <c r="C157" s="52"/>
      <c r="D157" s="23"/>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row>
    <row r="158" spans="1:39" s="51" customFormat="1" x14ac:dyDescent="0.25">
      <c r="A158" s="57">
        <v>145</v>
      </c>
      <c r="B158" s="21" t="s">
        <v>392</v>
      </c>
      <c r="C158" s="52"/>
      <c r="D158" s="23"/>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row>
    <row r="159" spans="1:39" s="51" customFormat="1" ht="30" x14ac:dyDescent="0.25">
      <c r="A159" s="57">
        <v>146</v>
      </c>
      <c r="B159" s="21" t="s">
        <v>393</v>
      </c>
      <c r="C159" s="52"/>
      <c r="D159" s="23"/>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row>
    <row r="160" spans="1:39" s="51" customFormat="1" ht="30" x14ac:dyDescent="0.25">
      <c r="A160" s="57">
        <v>147</v>
      </c>
      <c r="B160" s="21" t="s">
        <v>394</v>
      </c>
      <c r="C160" s="52"/>
      <c r="D160" s="23"/>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row>
    <row r="161" spans="1:39" s="51" customFormat="1" x14ac:dyDescent="0.25">
      <c r="A161" s="57">
        <v>148</v>
      </c>
      <c r="B161" s="21" t="s">
        <v>395</v>
      </c>
      <c r="C161" s="52"/>
      <c r="D161" s="23"/>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row>
    <row r="162" spans="1:39" s="51" customFormat="1" x14ac:dyDescent="0.25">
      <c r="A162" s="57">
        <v>149</v>
      </c>
      <c r="B162" s="21" t="s">
        <v>396</v>
      </c>
      <c r="C162" s="52"/>
      <c r="D162" s="23"/>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row>
    <row r="163" spans="1:39" s="51" customFormat="1" x14ac:dyDescent="0.25">
      <c r="A163" s="57">
        <v>150</v>
      </c>
      <c r="B163" s="21" t="s">
        <v>397</v>
      </c>
      <c r="C163" s="52"/>
      <c r="D163" s="23"/>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row>
    <row r="164" spans="1:39" s="51" customFormat="1" ht="30" x14ac:dyDescent="0.25">
      <c r="A164" s="57">
        <v>151</v>
      </c>
      <c r="B164" s="21" t="s">
        <v>398</v>
      </c>
      <c r="C164" s="52"/>
      <c r="D164" s="23"/>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row>
    <row r="165" spans="1:39" s="51" customFormat="1" x14ac:dyDescent="0.25">
      <c r="A165" s="57">
        <v>152</v>
      </c>
      <c r="B165" s="21" t="s">
        <v>430</v>
      </c>
      <c r="C165" s="52"/>
      <c r="D165" s="23"/>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row>
    <row r="166" spans="1:39" s="51" customFormat="1" ht="45" x14ac:dyDescent="0.25">
      <c r="A166" s="57">
        <v>153</v>
      </c>
      <c r="B166" s="21" t="s">
        <v>431</v>
      </c>
      <c r="C166" s="52"/>
      <c r="D166" s="23"/>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row>
    <row r="167" spans="1:39" s="51" customFormat="1" ht="30" x14ac:dyDescent="0.25">
      <c r="A167" s="57">
        <v>154</v>
      </c>
      <c r="B167" s="21" t="s">
        <v>401</v>
      </c>
      <c r="C167" s="52"/>
      <c r="D167" s="23"/>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row>
    <row r="168" spans="1:39" s="51" customFormat="1" x14ac:dyDescent="0.25">
      <c r="A168" s="57">
        <v>155</v>
      </c>
      <c r="B168" s="21" t="s">
        <v>402</v>
      </c>
      <c r="C168" s="52"/>
      <c r="D168" s="23"/>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row>
    <row r="169" spans="1:39" s="51" customFormat="1" ht="45" x14ac:dyDescent="0.25">
      <c r="A169" s="57">
        <v>156</v>
      </c>
      <c r="B169" s="21" t="s">
        <v>404</v>
      </c>
      <c r="C169" s="52"/>
      <c r="D169" s="23"/>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row>
    <row r="170" spans="1:39" s="51" customFormat="1" x14ac:dyDescent="0.25">
      <c r="A170" s="57">
        <v>157</v>
      </c>
      <c r="B170" s="21" t="s">
        <v>411</v>
      </c>
      <c r="C170" s="52"/>
      <c r="D170" s="23"/>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row>
    <row r="171" spans="1:39" s="51" customFormat="1" x14ac:dyDescent="0.25">
      <c r="A171" s="58"/>
      <c r="B171" s="29"/>
      <c r="C171" s="53"/>
      <c r="D171" s="29"/>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row>
    <row r="172" spans="1:39" s="22" customFormat="1" x14ac:dyDescent="0.25">
      <c r="A172" s="55" t="s">
        <v>436</v>
      </c>
      <c r="B172" s="25" t="s">
        <v>414</v>
      </c>
      <c r="C172" s="26" t="s">
        <v>160</v>
      </c>
      <c r="D172" s="27" t="s">
        <v>164</v>
      </c>
      <c r="E172" s="29"/>
      <c r="F172" s="29"/>
      <c r="G172" s="29"/>
      <c r="H172" s="29"/>
      <c r="I172" s="29"/>
      <c r="J172" s="29"/>
      <c r="K172" s="29"/>
      <c r="L172" s="29"/>
      <c r="M172" s="29"/>
      <c r="N172" s="29"/>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row>
    <row r="173" spans="1:39" s="51" customFormat="1" ht="30" x14ac:dyDescent="0.25">
      <c r="A173" s="57">
        <v>158</v>
      </c>
      <c r="B173" s="21" t="s">
        <v>405</v>
      </c>
      <c r="C173" s="52"/>
      <c r="D173" s="23"/>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row>
    <row r="174" spans="1:39" s="51" customFormat="1" ht="30" x14ac:dyDescent="0.25">
      <c r="A174" s="57">
        <v>159</v>
      </c>
      <c r="B174" s="21" t="s">
        <v>406</v>
      </c>
      <c r="C174" s="52"/>
      <c r="D174" s="23"/>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row>
    <row r="175" spans="1:39" s="51" customFormat="1" x14ac:dyDescent="0.25">
      <c r="A175" s="57">
        <v>160</v>
      </c>
      <c r="B175" s="21" t="s">
        <v>407</v>
      </c>
      <c r="C175" s="52"/>
      <c r="D175" s="23"/>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row>
    <row r="176" spans="1:39" s="51" customFormat="1" x14ac:dyDescent="0.25">
      <c r="A176" s="57">
        <v>161</v>
      </c>
      <c r="B176" s="21" t="s">
        <v>408</v>
      </c>
      <c r="C176" s="52"/>
      <c r="D176" s="23"/>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row>
    <row r="177" spans="1:39" s="51" customFormat="1" x14ac:dyDescent="0.25">
      <c r="A177" s="57">
        <v>162</v>
      </c>
      <c r="B177" s="21" t="s">
        <v>409</v>
      </c>
      <c r="C177" s="52"/>
      <c r="D177" s="23"/>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row>
    <row r="178" spans="1:39" s="51" customFormat="1" ht="30" x14ac:dyDescent="0.25">
      <c r="A178" s="57">
        <v>163</v>
      </c>
      <c r="B178" s="21" t="s">
        <v>410</v>
      </c>
      <c r="C178" s="52"/>
      <c r="D178" s="23"/>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row>
    <row r="179" spans="1:39" s="51" customFormat="1" x14ac:dyDescent="0.25">
      <c r="A179" s="57">
        <v>164</v>
      </c>
      <c r="B179" s="21" t="s">
        <v>411</v>
      </c>
      <c r="C179" s="52"/>
      <c r="D179" s="23"/>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row>
    <row r="180" spans="1:39" s="51" customFormat="1" ht="30" x14ac:dyDescent="0.25">
      <c r="A180" s="57">
        <v>165</v>
      </c>
      <c r="B180" s="21" t="s">
        <v>398</v>
      </c>
      <c r="C180" s="52"/>
      <c r="D180" s="23"/>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row>
    <row r="181" spans="1:39" s="51" customFormat="1" ht="30" x14ac:dyDescent="0.25">
      <c r="A181" s="57">
        <v>166</v>
      </c>
      <c r="B181" s="21" t="s">
        <v>412</v>
      </c>
      <c r="C181" s="52"/>
      <c r="D181" s="23"/>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row>
    <row r="182" spans="1:39" s="29" customFormat="1" x14ac:dyDescent="0.25">
      <c r="A182" s="58"/>
      <c r="C182" s="53"/>
    </row>
    <row r="183" spans="1:39" s="22" customFormat="1" x14ac:dyDescent="0.25">
      <c r="A183" s="55" t="s">
        <v>436</v>
      </c>
      <c r="B183" s="25" t="s">
        <v>251</v>
      </c>
      <c r="C183" s="26" t="s">
        <v>160</v>
      </c>
      <c r="D183" s="27" t="s">
        <v>164</v>
      </c>
      <c r="E183" s="29"/>
      <c r="F183" s="29"/>
      <c r="G183" s="29"/>
      <c r="H183" s="29"/>
      <c r="I183" s="29"/>
      <c r="J183" s="29"/>
      <c r="K183" s="29"/>
      <c r="L183" s="29"/>
      <c r="M183" s="29"/>
      <c r="N183" s="29"/>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row>
    <row r="184" spans="1:39" s="51" customFormat="1" ht="30" x14ac:dyDescent="0.25">
      <c r="A184" s="57">
        <v>167</v>
      </c>
      <c r="B184" s="21" t="s">
        <v>417</v>
      </c>
      <c r="C184" s="52"/>
      <c r="D184" s="23"/>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row>
    <row r="185" spans="1:39" s="51" customFormat="1" ht="30" x14ac:dyDescent="0.25">
      <c r="A185" s="57">
        <v>168</v>
      </c>
      <c r="B185" s="21" t="s">
        <v>418</v>
      </c>
      <c r="C185" s="52"/>
      <c r="D185" s="23"/>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row>
    <row r="186" spans="1:39" s="51" customFormat="1" ht="45" x14ac:dyDescent="0.25">
      <c r="A186" s="57">
        <v>169</v>
      </c>
      <c r="B186" s="21" t="s">
        <v>419</v>
      </c>
      <c r="C186" s="52"/>
      <c r="D186" s="23"/>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row>
    <row r="187" spans="1:39" s="51" customFormat="1" ht="45" x14ac:dyDescent="0.25">
      <c r="A187" s="57">
        <v>170</v>
      </c>
      <c r="B187" s="21" t="s">
        <v>432</v>
      </c>
      <c r="C187" s="52"/>
      <c r="D187" s="23"/>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row>
    <row r="188" spans="1:39" s="51" customFormat="1" ht="45" x14ac:dyDescent="0.25">
      <c r="A188" s="57">
        <v>171</v>
      </c>
      <c r="B188" s="21" t="s">
        <v>421</v>
      </c>
      <c r="C188" s="52"/>
      <c r="D188" s="23"/>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row>
    <row r="189" spans="1:39" s="51" customFormat="1" ht="45" x14ac:dyDescent="0.25">
      <c r="A189" s="57">
        <v>172</v>
      </c>
      <c r="B189" s="21" t="s">
        <v>422</v>
      </c>
      <c r="C189" s="52"/>
      <c r="D189" s="23"/>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row>
    <row r="190" spans="1:39" s="51" customFormat="1" ht="45" x14ac:dyDescent="0.25">
      <c r="A190" s="57">
        <v>173</v>
      </c>
      <c r="B190" s="21" t="s">
        <v>423</v>
      </c>
      <c r="C190" s="52"/>
      <c r="D190" s="23"/>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row>
    <row r="191" spans="1:39" x14ac:dyDescent="0.25">
      <c r="A191" s="57">
        <v>174</v>
      </c>
      <c r="B191" s="21" t="s">
        <v>439</v>
      </c>
      <c r="C191" s="52"/>
      <c r="D191" s="59"/>
    </row>
    <row r="192" spans="1:39" x14ac:dyDescent="0.25">
      <c r="B192" s="29"/>
      <c r="C192" s="53"/>
      <c r="D192" s="29"/>
    </row>
    <row r="193" spans="2:4" x14ac:dyDescent="0.25">
      <c r="B193" s="29"/>
      <c r="C193" s="53"/>
      <c r="D193" s="29"/>
    </row>
    <row r="194" spans="2:4" x14ac:dyDescent="0.25">
      <c r="B194" s="29"/>
      <c r="C194" s="53"/>
      <c r="D194" s="29"/>
    </row>
    <row r="195" spans="2:4" x14ac:dyDescent="0.25">
      <c r="B195" s="29"/>
      <c r="C195" s="53"/>
      <c r="D195" s="29"/>
    </row>
    <row r="196" spans="2:4" x14ac:dyDescent="0.25">
      <c r="B196" s="29"/>
      <c r="C196" s="53"/>
      <c r="D196" s="29"/>
    </row>
    <row r="197" spans="2:4" x14ac:dyDescent="0.25">
      <c r="B197" s="29"/>
      <c r="C197" s="53"/>
      <c r="D197" s="29"/>
    </row>
    <row r="198" spans="2:4" x14ac:dyDescent="0.25">
      <c r="B198" s="29"/>
      <c r="C198" s="53"/>
      <c r="D198" s="29"/>
    </row>
    <row r="199" spans="2:4" x14ac:dyDescent="0.25">
      <c r="B199" s="29"/>
      <c r="C199" s="53"/>
      <c r="D199" s="29"/>
    </row>
    <row r="200" spans="2:4" x14ac:dyDescent="0.25">
      <c r="B200" s="29"/>
      <c r="C200" s="53"/>
      <c r="D200" s="29"/>
    </row>
    <row r="201" spans="2:4" x14ac:dyDescent="0.25">
      <c r="B201" s="29"/>
      <c r="C201" s="53"/>
      <c r="D201" s="29"/>
    </row>
    <row r="202" spans="2:4" x14ac:dyDescent="0.25">
      <c r="B202" s="29"/>
      <c r="C202" s="53"/>
      <c r="D202" s="29"/>
    </row>
    <row r="203" spans="2:4" x14ac:dyDescent="0.25">
      <c r="B203" s="29"/>
      <c r="C203" s="53"/>
      <c r="D203" s="29"/>
    </row>
    <row r="204" spans="2:4" x14ac:dyDescent="0.25">
      <c r="B204" s="29"/>
      <c r="C204" s="53"/>
      <c r="D204" s="29"/>
    </row>
    <row r="205" spans="2:4" x14ac:dyDescent="0.25">
      <c r="B205" s="29"/>
      <c r="C205" s="53"/>
      <c r="D205" s="29"/>
    </row>
    <row r="206" spans="2:4" x14ac:dyDescent="0.25">
      <c r="B206" s="29"/>
      <c r="C206" s="53"/>
      <c r="D206" s="29"/>
    </row>
    <row r="207" spans="2:4" x14ac:dyDescent="0.25">
      <c r="B207" s="29"/>
      <c r="C207" s="53"/>
      <c r="D207" s="29"/>
    </row>
    <row r="208" spans="2:4" x14ac:dyDescent="0.25">
      <c r="B208" s="29"/>
      <c r="C208" s="53"/>
      <c r="D208" s="29"/>
    </row>
    <row r="209" spans="2:4" x14ac:dyDescent="0.25">
      <c r="B209" s="29"/>
      <c r="C209" s="53"/>
      <c r="D209" s="29"/>
    </row>
    <row r="210" spans="2:4" x14ac:dyDescent="0.25">
      <c r="B210" s="29"/>
      <c r="C210" s="53"/>
      <c r="D210" s="29"/>
    </row>
    <row r="211" spans="2:4" x14ac:dyDescent="0.25">
      <c r="B211" s="29"/>
      <c r="C211" s="53"/>
      <c r="D211" s="29"/>
    </row>
    <row r="212" spans="2:4" x14ac:dyDescent="0.25">
      <c r="B212" s="29"/>
      <c r="C212" s="53"/>
      <c r="D212" s="29"/>
    </row>
    <row r="213" spans="2:4" x14ac:dyDescent="0.25">
      <c r="B213" s="29"/>
      <c r="C213" s="53"/>
      <c r="D213" s="29"/>
    </row>
    <row r="214" spans="2:4" x14ac:dyDescent="0.25">
      <c r="B214" s="29"/>
      <c r="C214" s="53"/>
      <c r="D214" s="29"/>
    </row>
    <row r="215" spans="2:4" x14ac:dyDescent="0.25">
      <c r="B215" s="29"/>
      <c r="C215" s="53"/>
      <c r="D215" s="29"/>
    </row>
    <row r="216" spans="2:4" x14ac:dyDescent="0.25">
      <c r="B216" s="29"/>
      <c r="C216" s="53"/>
      <c r="D216" s="29"/>
    </row>
    <row r="217" spans="2:4" x14ac:dyDescent="0.25">
      <c r="B217" s="29"/>
      <c r="C217" s="53"/>
      <c r="D217" s="29"/>
    </row>
    <row r="218" spans="2:4" x14ac:dyDescent="0.25">
      <c r="B218" s="29"/>
      <c r="C218" s="53"/>
      <c r="D218" s="29"/>
    </row>
    <row r="219" spans="2:4" x14ac:dyDescent="0.25">
      <c r="B219" s="29"/>
      <c r="C219" s="53"/>
      <c r="D219" s="29"/>
    </row>
    <row r="220" spans="2:4" x14ac:dyDescent="0.25">
      <c r="B220" s="29"/>
      <c r="C220" s="53"/>
      <c r="D220" s="29"/>
    </row>
    <row r="221" spans="2:4" x14ac:dyDescent="0.25">
      <c r="B221" s="29"/>
      <c r="C221" s="53"/>
      <c r="D221" s="29"/>
    </row>
    <row r="222" spans="2:4" x14ac:dyDescent="0.25">
      <c r="B222" s="29"/>
      <c r="C222" s="53"/>
      <c r="D222" s="29"/>
    </row>
    <row r="223" spans="2:4" x14ac:dyDescent="0.25">
      <c r="B223" s="29"/>
      <c r="C223" s="53"/>
      <c r="D223" s="29"/>
    </row>
    <row r="224" spans="2:4" x14ac:dyDescent="0.25">
      <c r="B224" s="29"/>
      <c r="C224" s="53"/>
      <c r="D224" s="29"/>
    </row>
    <row r="225" spans="2:4" x14ac:dyDescent="0.25">
      <c r="B225" s="29"/>
      <c r="C225" s="53"/>
      <c r="D225" s="29"/>
    </row>
    <row r="226" spans="2:4" x14ac:dyDescent="0.25">
      <c r="B226" s="29"/>
      <c r="C226" s="53"/>
      <c r="D226" s="29"/>
    </row>
    <row r="227" spans="2:4" x14ac:dyDescent="0.25">
      <c r="B227" s="29"/>
      <c r="C227" s="53"/>
      <c r="D227" s="29"/>
    </row>
    <row r="228" spans="2:4" x14ac:dyDescent="0.25">
      <c r="B228" s="29"/>
      <c r="C228" s="53"/>
      <c r="D228" s="29"/>
    </row>
    <row r="229" spans="2:4" x14ac:dyDescent="0.25">
      <c r="B229" s="29"/>
      <c r="C229" s="53"/>
      <c r="D229" s="29"/>
    </row>
    <row r="230" spans="2:4" x14ac:dyDescent="0.25">
      <c r="B230" s="29"/>
      <c r="C230" s="53"/>
      <c r="D230" s="29"/>
    </row>
    <row r="231" spans="2:4" x14ac:dyDescent="0.25">
      <c r="B231" s="29"/>
      <c r="C231" s="53"/>
      <c r="D231" s="29"/>
    </row>
    <row r="232" spans="2:4" x14ac:dyDescent="0.25">
      <c r="B232" s="29"/>
      <c r="C232" s="53"/>
      <c r="D232" s="29"/>
    </row>
    <row r="233" spans="2:4" x14ac:dyDescent="0.25">
      <c r="B233" s="29"/>
      <c r="C233" s="53"/>
      <c r="D233" s="29"/>
    </row>
    <row r="234" spans="2:4" x14ac:dyDescent="0.25">
      <c r="B234" s="29"/>
      <c r="C234" s="53"/>
      <c r="D234" s="29"/>
    </row>
    <row r="235" spans="2:4" x14ac:dyDescent="0.25">
      <c r="B235" s="29"/>
      <c r="C235" s="53"/>
      <c r="D235" s="29"/>
    </row>
    <row r="236" spans="2:4" x14ac:dyDescent="0.25">
      <c r="B236" s="29"/>
      <c r="C236" s="53"/>
      <c r="D236" s="29"/>
    </row>
    <row r="237" spans="2:4" x14ac:dyDescent="0.25">
      <c r="B237" s="29"/>
      <c r="C237" s="53"/>
      <c r="D237" s="29"/>
    </row>
    <row r="238" spans="2:4" x14ac:dyDescent="0.25">
      <c r="B238" s="29"/>
      <c r="C238" s="53"/>
      <c r="D238" s="29"/>
    </row>
    <row r="239" spans="2:4" x14ac:dyDescent="0.25">
      <c r="B239" s="29"/>
      <c r="C239" s="53"/>
      <c r="D239" s="29"/>
    </row>
    <row r="240" spans="2:4" x14ac:dyDescent="0.25">
      <c r="B240" s="29"/>
      <c r="C240" s="53"/>
      <c r="D240" s="29"/>
    </row>
    <row r="241" spans="2:4" x14ac:dyDescent="0.25">
      <c r="B241" s="29"/>
      <c r="C241" s="53"/>
      <c r="D241" s="29"/>
    </row>
    <row r="242" spans="2:4" x14ac:dyDescent="0.25">
      <c r="B242" s="29"/>
      <c r="C242" s="53"/>
      <c r="D242" s="29"/>
    </row>
    <row r="243" spans="2:4" x14ac:dyDescent="0.25">
      <c r="B243" s="29"/>
      <c r="C243" s="53"/>
      <c r="D243" s="29"/>
    </row>
    <row r="244" spans="2:4" x14ac:dyDescent="0.25">
      <c r="B244" s="29"/>
      <c r="C244" s="53"/>
      <c r="D244" s="29"/>
    </row>
    <row r="245" spans="2:4" x14ac:dyDescent="0.25">
      <c r="B245" s="29"/>
      <c r="C245" s="53"/>
      <c r="D245" s="29"/>
    </row>
    <row r="246" spans="2:4" x14ac:dyDescent="0.25">
      <c r="B246" s="29"/>
      <c r="C246" s="53"/>
      <c r="D246" s="29"/>
    </row>
    <row r="247" spans="2:4" x14ac:dyDescent="0.25">
      <c r="B247" s="29"/>
      <c r="C247" s="53"/>
      <c r="D247" s="29"/>
    </row>
    <row r="248" spans="2:4" x14ac:dyDescent="0.25">
      <c r="B248" s="29"/>
      <c r="C248" s="53"/>
      <c r="D248" s="29"/>
    </row>
    <row r="249" spans="2:4" x14ac:dyDescent="0.25">
      <c r="B249" s="29"/>
      <c r="C249" s="53"/>
      <c r="D249" s="29"/>
    </row>
    <row r="250" spans="2:4" x14ac:dyDescent="0.25">
      <c r="B250" s="29"/>
      <c r="C250" s="53"/>
      <c r="D250" s="29"/>
    </row>
    <row r="251" spans="2:4" x14ac:dyDescent="0.25">
      <c r="B251" s="29"/>
      <c r="C251" s="53"/>
      <c r="D251" s="29"/>
    </row>
    <row r="252" spans="2:4" x14ac:dyDescent="0.25">
      <c r="B252" s="29"/>
      <c r="C252" s="53"/>
      <c r="D252" s="29"/>
    </row>
    <row r="253" spans="2:4" x14ac:dyDescent="0.25">
      <c r="B253" s="29"/>
      <c r="C253" s="53"/>
      <c r="D253" s="29"/>
    </row>
    <row r="254" spans="2:4" x14ac:dyDescent="0.25">
      <c r="B254" s="29"/>
      <c r="C254" s="53"/>
      <c r="D254" s="29"/>
    </row>
    <row r="255" spans="2:4" x14ac:dyDescent="0.25">
      <c r="B255" s="29"/>
      <c r="C255" s="53"/>
      <c r="D255" s="29"/>
    </row>
    <row r="256" spans="2:4" x14ac:dyDescent="0.25">
      <c r="B256" s="29"/>
      <c r="C256" s="53"/>
      <c r="D256" s="29"/>
    </row>
    <row r="257" spans="2:4" x14ac:dyDescent="0.25">
      <c r="B257" s="29"/>
      <c r="C257" s="53"/>
      <c r="D257" s="29"/>
    </row>
    <row r="258" spans="2:4" x14ac:dyDescent="0.25">
      <c r="B258" s="29"/>
      <c r="C258" s="53"/>
      <c r="D258" s="29"/>
    </row>
    <row r="259" spans="2:4" x14ac:dyDescent="0.25">
      <c r="B259" s="29"/>
      <c r="C259" s="53"/>
      <c r="D259" s="29"/>
    </row>
    <row r="260" spans="2:4" x14ac:dyDescent="0.25">
      <c r="B260" s="29"/>
      <c r="C260" s="53"/>
      <c r="D260" s="29"/>
    </row>
    <row r="261" spans="2:4" x14ac:dyDescent="0.25">
      <c r="B261" s="29"/>
      <c r="C261" s="53"/>
      <c r="D261" s="29"/>
    </row>
    <row r="262" spans="2:4" x14ac:dyDescent="0.25">
      <c r="B262" s="29"/>
      <c r="C262" s="53"/>
      <c r="D262" s="29"/>
    </row>
    <row r="263" spans="2:4" x14ac:dyDescent="0.25">
      <c r="B263" s="29"/>
      <c r="C263" s="53"/>
      <c r="D263" s="29"/>
    </row>
    <row r="264" spans="2:4" x14ac:dyDescent="0.25">
      <c r="B264" s="29"/>
      <c r="C264" s="53"/>
      <c r="D264" s="29"/>
    </row>
    <row r="265" spans="2:4" x14ac:dyDescent="0.25">
      <c r="B265" s="29"/>
      <c r="C265" s="53"/>
      <c r="D265" s="29"/>
    </row>
    <row r="266" spans="2:4" x14ac:dyDescent="0.25">
      <c r="B266" s="29"/>
      <c r="C266" s="53"/>
      <c r="D266" s="29"/>
    </row>
    <row r="267" spans="2:4" x14ac:dyDescent="0.25">
      <c r="B267" s="29"/>
      <c r="C267" s="53"/>
      <c r="D267" s="29"/>
    </row>
    <row r="268" spans="2:4" x14ac:dyDescent="0.25">
      <c r="B268" s="29"/>
      <c r="C268" s="53"/>
      <c r="D268" s="29"/>
    </row>
    <row r="269" spans="2:4" x14ac:dyDescent="0.25">
      <c r="B269" s="29"/>
      <c r="C269" s="53"/>
      <c r="D269" s="29"/>
    </row>
    <row r="270" spans="2:4" x14ac:dyDescent="0.25">
      <c r="B270" s="29"/>
      <c r="C270" s="53"/>
      <c r="D270" s="29"/>
    </row>
    <row r="271" spans="2:4" x14ac:dyDescent="0.25">
      <c r="B271" s="29"/>
      <c r="C271" s="53"/>
      <c r="D271" s="29"/>
    </row>
    <row r="272" spans="2:4" x14ac:dyDescent="0.25">
      <c r="B272" s="29"/>
      <c r="C272" s="53"/>
      <c r="D272" s="29"/>
    </row>
    <row r="273" spans="2:4" x14ac:dyDescent="0.25">
      <c r="B273" s="29"/>
      <c r="C273" s="53"/>
      <c r="D273" s="29"/>
    </row>
    <row r="274" spans="2:4" x14ac:dyDescent="0.25">
      <c r="B274" s="29"/>
      <c r="C274" s="53"/>
      <c r="D274" s="29"/>
    </row>
    <row r="275" spans="2:4" x14ac:dyDescent="0.25">
      <c r="B275" s="29"/>
      <c r="C275" s="53"/>
      <c r="D275" s="29"/>
    </row>
    <row r="276" spans="2:4" x14ac:dyDescent="0.25">
      <c r="B276" s="29"/>
      <c r="C276" s="53"/>
      <c r="D276" s="29"/>
    </row>
    <row r="277" spans="2:4" x14ac:dyDescent="0.25">
      <c r="B277" s="29"/>
      <c r="C277" s="53"/>
      <c r="D277" s="29"/>
    </row>
    <row r="278" spans="2:4" x14ac:dyDescent="0.25">
      <c r="B278" s="29"/>
      <c r="C278" s="53"/>
      <c r="D278" s="29"/>
    </row>
    <row r="279" spans="2:4" x14ac:dyDescent="0.25">
      <c r="B279" s="29"/>
      <c r="C279" s="53"/>
      <c r="D279" s="29"/>
    </row>
    <row r="280" spans="2:4" x14ac:dyDescent="0.25">
      <c r="B280" s="29"/>
      <c r="C280" s="53"/>
      <c r="D280" s="29"/>
    </row>
    <row r="281" spans="2:4" x14ac:dyDescent="0.25">
      <c r="B281" s="29"/>
      <c r="C281" s="53"/>
      <c r="D281" s="29"/>
    </row>
    <row r="282" spans="2:4" x14ac:dyDescent="0.25">
      <c r="B282" s="29"/>
      <c r="C282" s="53"/>
      <c r="D282" s="29"/>
    </row>
    <row r="283" spans="2:4" x14ac:dyDescent="0.25">
      <c r="B283" s="29"/>
      <c r="C283" s="53"/>
      <c r="D283" s="29"/>
    </row>
    <row r="284" spans="2:4" x14ac:dyDescent="0.25">
      <c r="B284" s="29"/>
      <c r="C284" s="53"/>
      <c r="D284" s="29"/>
    </row>
    <row r="285" spans="2:4" x14ac:dyDescent="0.25">
      <c r="B285" s="29"/>
      <c r="C285" s="53"/>
      <c r="D285" s="29"/>
    </row>
    <row r="286" spans="2:4" x14ac:dyDescent="0.25">
      <c r="B286" s="29"/>
      <c r="C286" s="53"/>
      <c r="D286" s="29"/>
    </row>
    <row r="287" spans="2:4" x14ac:dyDescent="0.25">
      <c r="B287" s="29"/>
      <c r="C287" s="53"/>
      <c r="D287" s="29"/>
    </row>
    <row r="288" spans="2:4" x14ac:dyDescent="0.25">
      <c r="B288" s="29"/>
      <c r="C288" s="53"/>
      <c r="D288" s="29"/>
    </row>
    <row r="289" spans="2:4" x14ac:dyDescent="0.25">
      <c r="B289" s="29"/>
      <c r="C289" s="53"/>
      <c r="D289" s="29"/>
    </row>
    <row r="290" spans="2:4" x14ac:dyDescent="0.25">
      <c r="B290" s="29"/>
      <c r="C290" s="53"/>
      <c r="D290" s="29"/>
    </row>
    <row r="291" spans="2:4" x14ac:dyDescent="0.25">
      <c r="B291" s="29"/>
      <c r="C291" s="53"/>
      <c r="D291" s="29"/>
    </row>
    <row r="292" spans="2:4" x14ac:dyDescent="0.25">
      <c r="B292" s="29"/>
      <c r="C292" s="53"/>
      <c r="D292" s="29"/>
    </row>
    <row r="293" spans="2:4" x14ac:dyDescent="0.25">
      <c r="B293" s="29"/>
      <c r="C293" s="53"/>
      <c r="D293" s="29"/>
    </row>
    <row r="294" spans="2:4" x14ac:dyDescent="0.25">
      <c r="B294" s="29"/>
      <c r="C294" s="53"/>
      <c r="D294" s="29"/>
    </row>
    <row r="295" spans="2:4" x14ac:dyDescent="0.25">
      <c r="B295" s="29"/>
      <c r="C295" s="53"/>
      <c r="D295" s="29"/>
    </row>
    <row r="296" spans="2:4" x14ac:dyDescent="0.25">
      <c r="B296" s="29"/>
      <c r="C296" s="53"/>
      <c r="D296" s="29"/>
    </row>
    <row r="297" spans="2:4" x14ac:dyDescent="0.25">
      <c r="B297" s="29"/>
      <c r="C297" s="53"/>
      <c r="D297" s="29"/>
    </row>
    <row r="298" spans="2:4" x14ac:dyDescent="0.25">
      <c r="B298" s="29"/>
      <c r="C298" s="53"/>
      <c r="D298" s="29"/>
    </row>
    <row r="299" spans="2:4" x14ac:dyDescent="0.25">
      <c r="B299" s="29"/>
      <c r="C299" s="53"/>
      <c r="D299" s="29"/>
    </row>
    <row r="300" spans="2:4" x14ac:dyDescent="0.25">
      <c r="B300" s="29"/>
      <c r="C300" s="53"/>
      <c r="D300" s="29"/>
    </row>
    <row r="301" spans="2:4" x14ac:dyDescent="0.25">
      <c r="B301" s="29"/>
      <c r="C301" s="53"/>
      <c r="D301" s="29"/>
    </row>
    <row r="302" spans="2:4" x14ac:dyDescent="0.25">
      <c r="B302" s="29"/>
      <c r="C302" s="53"/>
      <c r="D302" s="29"/>
    </row>
    <row r="303" spans="2:4" x14ac:dyDescent="0.25">
      <c r="B303" s="29"/>
      <c r="C303" s="53"/>
      <c r="D303" s="29"/>
    </row>
    <row r="304" spans="2:4" x14ac:dyDescent="0.25">
      <c r="B304" s="29"/>
      <c r="C304" s="53"/>
      <c r="D304" s="29"/>
    </row>
    <row r="305" spans="2:4" x14ac:dyDescent="0.25">
      <c r="B305" s="29"/>
      <c r="C305" s="53"/>
      <c r="D305" s="29"/>
    </row>
    <row r="306" spans="2:4" x14ac:dyDescent="0.25">
      <c r="B306" s="29"/>
      <c r="C306" s="53"/>
      <c r="D306" s="29"/>
    </row>
    <row r="307" spans="2:4" x14ac:dyDescent="0.25">
      <c r="B307" s="29"/>
      <c r="C307" s="53"/>
      <c r="D307" s="29"/>
    </row>
    <row r="308" spans="2:4" x14ac:dyDescent="0.25">
      <c r="B308" s="29"/>
      <c r="C308" s="53"/>
      <c r="D308" s="29"/>
    </row>
    <row r="309" spans="2:4" x14ac:dyDescent="0.25">
      <c r="B309" s="29"/>
      <c r="C309" s="53"/>
      <c r="D309" s="29"/>
    </row>
    <row r="310" spans="2:4" x14ac:dyDescent="0.25">
      <c r="B310" s="29"/>
      <c r="C310" s="53"/>
      <c r="D310" s="29"/>
    </row>
    <row r="311" spans="2:4" x14ac:dyDescent="0.25">
      <c r="B311" s="29"/>
      <c r="C311" s="53"/>
      <c r="D311" s="29"/>
    </row>
    <row r="312" spans="2:4" x14ac:dyDescent="0.25">
      <c r="B312" s="29"/>
      <c r="C312" s="53"/>
      <c r="D312" s="29"/>
    </row>
    <row r="313" spans="2:4" x14ac:dyDescent="0.25">
      <c r="B313" s="29"/>
      <c r="C313" s="53"/>
      <c r="D313" s="29"/>
    </row>
    <row r="314" spans="2:4" x14ac:dyDescent="0.25">
      <c r="B314" s="29"/>
      <c r="C314" s="53"/>
      <c r="D314" s="29"/>
    </row>
    <row r="315" spans="2:4" x14ac:dyDescent="0.25">
      <c r="B315" s="29"/>
      <c r="C315" s="53"/>
      <c r="D315" s="29"/>
    </row>
    <row r="316" spans="2:4" x14ac:dyDescent="0.25">
      <c r="B316" s="29"/>
      <c r="C316" s="53"/>
      <c r="D316" s="29"/>
    </row>
    <row r="317" spans="2:4" x14ac:dyDescent="0.25">
      <c r="B317" s="29"/>
      <c r="C317" s="53"/>
      <c r="D317" s="29"/>
    </row>
    <row r="318" spans="2:4" x14ac:dyDescent="0.25">
      <c r="B318" s="29"/>
      <c r="C318" s="53"/>
      <c r="D318" s="29"/>
    </row>
    <row r="319" spans="2:4" x14ac:dyDescent="0.25">
      <c r="B319" s="29"/>
      <c r="C319" s="53"/>
      <c r="D319" s="29"/>
    </row>
    <row r="320" spans="2:4" x14ac:dyDescent="0.25">
      <c r="B320" s="29"/>
      <c r="C320" s="53"/>
      <c r="D320" s="29"/>
    </row>
    <row r="321" spans="2:4" x14ac:dyDescent="0.25">
      <c r="B321" s="29"/>
      <c r="C321" s="53"/>
      <c r="D321" s="29"/>
    </row>
    <row r="322" spans="2:4" x14ac:dyDescent="0.25">
      <c r="B322" s="29"/>
      <c r="C322" s="53"/>
      <c r="D322" s="29"/>
    </row>
    <row r="323" spans="2:4" x14ac:dyDescent="0.25">
      <c r="B323" s="29"/>
      <c r="C323" s="53"/>
      <c r="D323" s="29"/>
    </row>
    <row r="324" spans="2:4" x14ac:dyDescent="0.25">
      <c r="B324" s="29"/>
      <c r="C324" s="53"/>
      <c r="D324" s="29"/>
    </row>
    <row r="325" spans="2:4" x14ac:dyDescent="0.25">
      <c r="B325" s="29"/>
      <c r="C325" s="53"/>
      <c r="D325" s="29"/>
    </row>
    <row r="326" spans="2:4" x14ac:dyDescent="0.25">
      <c r="B326" s="29"/>
      <c r="C326" s="53"/>
      <c r="D326" s="29"/>
    </row>
    <row r="327" spans="2:4" x14ac:dyDescent="0.25">
      <c r="B327" s="29"/>
      <c r="C327" s="53"/>
      <c r="D327" s="29"/>
    </row>
    <row r="328" spans="2:4" x14ac:dyDescent="0.25">
      <c r="B328" s="29"/>
      <c r="C328" s="53"/>
      <c r="D328" s="29"/>
    </row>
    <row r="329" spans="2:4" x14ac:dyDescent="0.25">
      <c r="B329" s="29"/>
      <c r="C329" s="53"/>
      <c r="D329" s="29"/>
    </row>
    <row r="330" spans="2:4" x14ac:dyDescent="0.25">
      <c r="B330" s="29"/>
      <c r="C330" s="53"/>
      <c r="D330" s="29"/>
    </row>
    <row r="331" spans="2:4" x14ac:dyDescent="0.25">
      <c r="B331" s="29"/>
      <c r="C331" s="53"/>
      <c r="D331" s="29"/>
    </row>
    <row r="332" spans="2:4" x14ac:dyDescent="0.25">
      <c r="B332" s="29"/>
      <c r="C332" s="53"/>
      <c r="D332" s="29"/>
    </row>
    <row r="333" spans="2:4" x14ac:dyDescent="0.25">
      <c r="B333" s="29"/>
      <c r="C333" s="53"/>
      <c r="D333" s="29"/>
    </row>
    <row r="334" spans="2:4" x14ac:dyDescent="0.25">
      <c r="B334" s="29"/>
      <c r="C334" s="53"/>
      <c r="D334" s="29"/>
    </row>
    <row r="335" spans="2:4" x14ac:dyDescent="0.25">
      <c r="B335" s="29"/>
      <c r="C335" s="53"/>
      <c r="D335" s="29"/>
    </row>
    <row r="336" spans="2:4" x14ac:dyDescent="0.25">
      <c r="B336" s="29"/>
      <c r="C336" s="53"/>
      <c r="D336" s="29"/>
    </row>
    <row r="337" spans="2:4" x14ac:dyDescent="0.25">
      <c r="B337" s="29"/>
      <c r="C337" s="53"/>
      <c r="D337" s="29"/>
    </row>
    <row r="338" spans="2:4" x14ac:dyDescent="0.25">
      <c r="B338" s="29"/>
      <c r="C338" s="53"/>
      <c r="D338" s="29"/>
    </row>
    <row r="339" spans="2:4" x14ac:dyDescent="0.25">
      <c r="B339" s="29"/>
      <c r="C339" s="53"/>
      <c r="D339" s="29"/>
    </row>
    <row r="340" spans="2:4" x14ac:dyDescent="0.25">
      <c r="B340" s="29"/>
      <c r="C340" s="53"/>
      <c r="D340" s="29"/>
    </row>
    <row r="341" spans="2:4" x14ac:dyDescent="0.25">
      <c r="B341" s="29"/>
      <c r="C341" s="53"/>
      <c r="D341" s="29"/>
    </row>
    <row r="342" spans="2:4" x14ac:dyDescent="0.25">
      <c r="B342" s="29"/>
      <c r="C342" s="53"/>
      <c r="D342" s="29"/>
    </row>
    <row r="343" spans="2:4" x14ac:dyDescent="0.25">
      <c r="B343" s="29"/>
      <c r="C343" s="53"/>
      <c r="D343" s="29"/>
    </row>
    <row r="344" spans="2:4" x14ac:dyDescent="0.25">
      <c r="B344" s="29"/>
      <c r="C344" s="53"/>
      <c r="D344" s="29"/>
    </row>
    <row r="345" spans="2:4" x14ac:dyDescent="0.25">
      <c r="B345" s="29"/>
      <c r="C345" s="53"/>
      <c r="D345" s="29"/>
    </row>
    <row r="346" spans="2:4" x14ac:dyDescent="0.25">
      <c r="B346" s="29"/>
      <c r="C346" s="53"/>
      <c r="D346" s="29"/>
    </row>
    <row r="347" spans="2:4" x14ac:dyDescent="0.25">
      <c r="B347" s="29"/>
      <c r="C347" s="53"/>
      <c r="D347" s="29"/>
    </row>
    <row r="348" spans="2:4" x14ac:dyDescent="0.25">
      <c r="B348" s="29"/>
      <c r="C348" s="53"/>
      <c r="D348" s="29"/>
    </row>
    <row r="349" spans="2:4" x14ac:dyDescent="0.25">
      <c r="B349" s="29"/>
      <c r="C349" s="53"/>
      <c r="D349" s="29"/>
    </row>
    <row r="350" spans="2:4" x14ac:dyDescent="0.25">
      <c r="B350" s="29"/>
      <c r="C350" s="53"/>
      <c r="D350" s="29"/>
    </row>
    <row r="351" spans="2:4" x14ac:dyDescent="0.25">
      <c r="B351" s="29"/>
      <c r="C351" s="53"/>
      <c r="D351" s="29"/>
    </row>
    <row r="352" spans="2:4" x14ac:dyDescent="0.25">
      <c r="B352" s="29"/>
      <c r="C352" s="53"/>
      <c r="D352" s="29"/>
    </row>
    <row r="353" spans="2:4" x14ac:dyDescent="0.25">
      <c r="B353" s="29"/>
      <c r="C353" s="53"/>
      <c r="D353" s="29"/>
    </row>
    <row r="354" spans="2:4" x14ac:dyDescent="0.25">
      <c r="B354" s="29"/>
      <c r="C354" s="53"/>
      <c r="D354" s="29"/>
    </row>
    <row r="355" spans="2:4" x14ac:dyDescent="0.25">
      <c r="B355" s="29"/>
      <c r="C355" s="53"/>
      <c r="D355" s="29"/>
    </row>
    <row r="356" spans="2:4" x14ac:dyDescent="0.25">
      <c r="B356" s="29"/>
      <c r="C356" s="53"/>
      <c r="D356" s="29"/>
    </row>
    <row r="357" spans="2:4" x14ac:dyDescent="0.25">
      <c r="B357" s="29"/>
      <c r="C357" s="53"/>
      <c r="D357" s="29"/>
    </row>
    <row r="358" spans="2:4" x14ac:dyDescent="0.25">
      <c r="B358" s="29"/>
      <c r="C358" s="53"/>
      <c r="D358" s="29"/>
    </row>
    <row r="359" spans="2:4" x14ac:dyDescent="0.25">
      <c r="B359" s="29"/>
      <c r="C359" s="53"/>
      <c r="D359" s="29"/>
    </row>
    <row r="360" spans="2:4" x14ac:dyDescent="0.25">
      <c r="B360" s="29"/>
      <c r="C360" s="53"/>
      <c r="D360" s="29"/>
    </row>
    <row r="361" spans="2:4" x14ac:dyDescent="0.25">
      <c r="B361" s="29"/>
      <c r="C361" s="53"/>
      <c r="D361" s="29"/>
    </row>
    <row r="362" spans="2:4" x14ac:dyDescent="0.25">
      <c r="B362" s="29"/>
      <c r="C362" s="53"/>
      <c r="D362" s="29"/>
    </row>
    <row r="363" spans="2:4" x14ac:dyDescent="0.25">
      <c r="B363" s="29"/>
      <c r="C363" s="53"/>
      <c r="D363" s="29"/>
    </row>
    <row r="364" spans="2:4" x14ac:dyDescent="0.25">
      <c r="B364" s="29"/>
      <c r="C364" s="53"/>
      <c r="D364" s="29"/>
    </row>
    <row r="365" spans="2:4" x14ac:dyDescent="0.25">
      <c r="B365" s="29"/>
      <c r="C365" s="53"/>
      <c r="D365" s="29"/>
    </row>
    <row r="366" spans="2:4" x14ac:dyDescent="0.25">
      <c r="B366" s="29"/>
      <c r="C366" s="53"/>
      <c r="D366" s="29"/>
    </row>
    <row r="367" spans="2:4" x14ac:dyDescent="0.25">
      <c r="B367" s="29"/>
      <c r="C367" s="53"/>
      <c r="D367" s="29"/>
    </row>
    <row r="368" spans="2:4" x14ac:dyDescent="0.25">
      <c r="B368" s="29"/>
      <c r="C368" s="53"/>
      <c r="D368" s="29"/>
    </row>
    <row r="369" spans="2:4" x14ac:dyDescent="0.25">
      <c r="B369" s="29"/>
      <c r="C369" s="53"/>
      <c r="D369" s="29"/>
    </row>
    <row r="370" spans="2:4" x14ac:dyDescent="0.25">
      <c r="B370" s="29"/>
      <c r="C370" s="53"/>
      <c r="D370" s="29"/>
    </row>
    <row r="371" spans="2:4" x14ac:dyDescent="0.25">
      <c r="B371" s="29"/>
      <c r="C371" s="53"/>
      <c r="D371" s="29"/>
    </row>
    <row r="372" spans="2:4" x14ac:dyDescent="0.25">
      <c r="B372" s="29"/>
      <c r="C372" s="53"/>
      <c r="D372" s="29"/>
    </row>
    <row r="373" spans="2:4" x14ac:dyDescent="0.25">
      <c r="B373" s="29"/>
      <c r="C373" s="53"/>
      <c r="D373" s="29"/>
    </row>
    <row r="374" spans="2:4" x14ac:dyDescent="0.25">
      <c r="B374" s="29"/>
      <c r="C374" s="53"/>
      <c r="D374" s="29"/>
    </row>
    <row r="375" spans="2:4" x14ac:dyDescent="0.25">
      <c r="B375" s="29"/>
      <c r="C375" s="53"/>
      <c r="D375" s="29"/>
    </row>
    <row r="376" spans="2:4" x14ac:dyDescent="0.25">
      <c r="B376" s="29"/>
      <c r="C376" s="53"/>
      <c r="D376" s="29"/>
    </row>
    <row r="377" spans="2:4" x14ac:dyDescent="0.25">
      <c r="B377" s="29"/>
      <c r="C377" s="53"/>
      <c r="D377" s="29"/>
    </row>
    <row r="378" spans="2:4" x14ac:dyDescent="0.25">
      <c r="B378" s="29"/>
      <c r="C378" s="53"/>
      <c r="D378" s="29"/>
    </row>
    <row r="379" spans="2:4" x14ac:dyDescent="0.25">
      <c r="B379" s="29"/>
      <c r="C379" s="53"/>
      <c r="D379" s="29"/>
    </row>
    <row r="380" spans="2:4" x14ac:dyDescent="0.25">
      <c r="B380" s="29"/>
      <c r="C380" s="53"/>
      <c r="D380" s="29"/>
    </row>
    <row r="381" spans="2:4" x14ac:dyDescent="0.25">
      <c r="B381" s="29"/>
      <c r="C381" s="53"/>
      <c r="D381" s="29"/>
    </row>
    <row r="382" spans="2:4" x14ac:dyDescent="0.25">
      <c r="B382" s="29"/>
      <c r="C382" s="53"/>
      <c r="D382" s="29"/>
    </row>
    <row r="383" spans="2:4" x14ac:dyDescent="0.25">
      <c r="B383" s="29"/>
      <c r="C383" s="53"/>
      <c r="D383" s="29"/>
    </row>
    <row r="384" spans="2:4" x14ac:dyDescent="0.25">
      <c r="B384" s="29"/>
      <c r="C384" s="53"/>
      <c r="D384" s="29"/>
    </row>
    <row r="385" spans="2:4" x14ac:dyDescent="0.25">
      <c r="B385" s="29"/>
      <c r="C385" s="53"/>
      <c r="D385" s="29"/>
    </row>
    <row r="386" spans="2:4" x14ac:dyDescent="0.25">
      <c r="B386" s="29"/>
      <c r="C386" s="53"/>
      <c r="D386" s="29"/>
    </row>
    <row r="387" spans="2:4" x14ac:dyDescent="0.25">
      <c r="B387" s="29"/>
      <c r="C387" s="53"/>
      <c r="D387" s="29"/>
    </row>
    <row r="388" spans="2:4" x14ac:dyDescent="0.25">
      <c r="B388" s="29"/>
      <c r="C388" s="53"/>
      <c r="D388" s="29"/>
    </row>
    <row r="389" spans="2:4" x14ac:dyDescent="0.25">
      <c r="B389" s="29"/>
      <c r="C389" s="53"/>
      <c r="D389" s="29"/>
    </row>
    <row r="390" spans="2:4" x14ac:dyDescent="0.25">
      <c r="B390" s="29"/>
      <c r="C390" s="53"/>
      <c r="D390" s="29"/>
    </row>
    <row r="391" spans="2:4" x14ac:dyDescent="0.25">
      <c r="B391" s="29"/>
      <c r="C391" s="53"/>
      <c r="D391" s="29"/>
    </row>
    <row r="392" spans="2:4" x14ac:dyDescent="0.25">
      <c r="B392" s="29"/>
      <c r="C392" s="53"/>
      <c r="D392" s="29"/>
    </row>
    <row r="393" spans="2:4" x14ac:dyDescent="0.25">
      <c r="B393" s="29"/>
      <c r="C393" s="53"/>
      <c r="D393" s="29"/>
    </row>
    <row r="394" spans="2:4" x14ac:dyDescent="0.25">
      <c r="B394" s="29"/>
      <c r="C394" s="53"/>
      <c r="D394" s="29"/>
    </row>
    <row r="395" spans="2:4" x14ac:dyDescent="0.25">
      <c r="B395" s="29"/>
      <c r="C395" s="53"/>
      <c r="D395" s="29"/>
    </row>
    <row r="396" spans="2:4" x14ac:dyDescent="0.25">
      <c r="B396" s="29"/>
      <c r="C396" s="53"/>
      <c r="D396" s="29"/>
    </row>
    <row r="397" spans="2:4" x14ac:dyDescent="0.25">
      <c r="B397" s="29"/>
      <c r="C397" s="53"/>
      <c r="D397" s="29"/>
    </row>
    <row r="398" spans="2:4" x14ac:dyDescent="0.25">
      <c r="B398" s="29"/>
      <c r="C398" s="53"/>
      <c r="D398" s="29"/>
    </row>
    <row r="399" spans="2:4" x14ac:dyDescent="0.25">
      <c r="B399" s="29"/>
      <c r="C399" s="53"/>
      <c r="D399" s="29"/>
    </row>
    <row r="400" spans="2:4" x14ac:dyDescent="0.25">
      <c r="B400" s="29"/>
      <c r="C400" s="53"/>
      <c r="D400" s="29"/>
    </row>
    <row r="401" spans="2:4" x14ac:dyDescent="0.25">
      <c r="B401" s="29"/>
      <c r="C401" s="53"/>
      <c r="D401" s="29"/>
    </row>
    <row r="402" spans="2:4" x14ac:dyDescent="0.25">
      <c r="B402" s="29"/>
      <c r="C402" s="53"/>
      <c r="D402" s="29"/>
    </row>
    <row r="403" spans="2:4" x14ac:dyDescent="0.25">
      <c r="B403" s="29"/>
      <c r="C403" s="53"/>
      <c r="D403" s="29"/>
    </row>
    <row r="404" spans="2:4" x14ac:dyDescent="0.25">
      <c r="B404" s="29"/>
      <c r="C404" s="53"/>
      <c r="D404" s="29"/>
    </row>
    <row r="405" spans="2:4" x14ac:dyDescent="0.25">
      <c r="B405" s="29"/>
      <c r="C405" s="53"/>
      <c r="D405" s="29"/>
    </row>
    <row r="406" spans="2:4" x14ac:dyDescent="0.25">
      <c r="B406" s="29"/>
      <c r="C406" s="53"/>
      <c r="D406" s="29"/>
    </row>
    <row r="407" spans="2:4" x14ac:dyDescent="0.25">
      <c r="B407" s="29"/>
      <c r="C407" s="53"/>
      <c r="D407" s="29"/>
    </row>
    <row r="408" spans="2:4" x14ac:dyDescent="0.25">
      <c r="B408" s="29"/>
      <c r="C408" s="53"/>
      <c r="D408" s="29"/>
    </row>
    <row r="409" spans="2:4" x14ac:dyDescent="0.25">
      <c r="B409" s="29"/>
      <c r="C409" s="53"/>
      <c r="D409" s="29"/>
    </row>
    <row r="410" spans="2:4" x14ac:dyDescent="0.25">
      <c r="B410" s="29"/>
      <c r="C410" s="53"/>
      <c r="D410" s="29"/>
    </row>
    <row r="411" spans="2:4" x14ac:dyDescent="0.25">
      <c r="B411" s="29"/>
      <c r="C411" s="53"/>
      <c r="D411" s="29"/>
    </row>
    <row r="412" spans="2:4" x14ac:dyDescent="0.25">
      <c r="B412" s="29"/>
      <c r="C412" s="53"/>
      <c r="D412" s="29"/>
    </row>
    <row r="413" spans="2:4" x14ac:dyDescent="0.25">
      <c r="B413" s="29"/>
      <c r="C413" s="53"/>
      <c r="D413" s="29"/>
    </row>
    <row r="414" spans="2:4" x14ac:dyDescent="0.25">
      <c r="B414" s="29"/>
      <c r="C414" s="53"/>
      <c r="D414" s="29"/>
    </row>
    <row r="415" spans="2:4" x14ac:dyDescent="0.25">
      <c r="B415" s="29"/>
      <c r="C415" s="53"/>
      <c r="D415" s="29"/>
    </row>
    <row r="416" spans="2:4" x14ac:dyDescent="0.25">
      <c r="B416" s="29"/>
      <c r="C416" s="53"/>
      <c r="D416" s="29"/>
    </row>
    <row r="417" spans="2:4" x14ac:dyDescent="0.25">
      <c r="B417" s="29"/>
      <c r="C417" s="53"/>
      <c r="D417" s="29"/>
    </row>
    <row r="418" spans="2:4" x14ac:dyDescent="0.25">
      <c r="B418" s="29"/>
      <c r="C418" s="53"/>
      <c r="D418" s="29"/>
    </row>
    <row r="419" spans="2:4" x14ac:dyDescent="0.25">
      <c r="B419" s="29"/>
      <c r="C419" s="53"/>
      <c r="D419" s="29"/>
    </row>
    <row r="420" spans="2:4" x14ac:dyDescent="0.25">
      <c r="B420" s="29"/>
      <c r="C420" s="53"/>
      <c r="D420" s="29"/>
    </row>
    <row r="421" spans="2:4" x14ac:dyDescent="0.25">
      <c r="B421" s="29"/>
      <c r="C421" s="53"/>
      <c r="D421" s="29"/>
    </row>
    <row r="422" spans="2:4" x14ac:dyDescent="0.25">
      <c r="B422" s="29"/>
      <c r="C422" s="53"/>
      <c r="D422" s="29"/>
    </row>
    <row r="423" spans="2:4" x14ac:dyDescent="0.25">
      <c r="B423" s="29"/>
      <c r="C423" s="53"/>
      <c r="D423" s="29"/>
    </row>
    <row r="424" spans="2:4" x14ac:dyDescent="0.25">
      <c r="B424" s="29"/>
      <c r="C424" s="53"/>
      <c r="D424" s="29"/>
    </row>
    <row r="425" spans="2:4" x14ac:dyDescent="0.25">
      <c r="B425" s="29"/>
      <c r="C425" s="53"/>
      <c r="D425" s="29"/>
    </row>
    <row r="426" spans="2:4" x14ac:dyDescent="0.25">
      <c r="B426" s="29"/>
      <c r="C426" s="53"/>
      <c r="D426" s="29"/>
    </row>
    <row r="427" spans="2:4" x14ac:dyDescent="0.25">
      <c r="B427" s="29"/>
      <c r="C427" s="53"/>
      <c r="D427" s="29"/>
    </row>
    <row r="428" spans="2:4" x14ac:dyDescent="0.25">
      <c r="B428" s="29"/>
      <c r="C428" s="53"/>
      <c r="D428" s="29"/>
    </row>
    <row r="429" spans="2:4" x14ac:dyDescent="0.25">
      <c r="B429" s="29"/>
      <c r="C429" s="53"/>
      <c r="D429" s="29"/>
    </row>
    <row r="430" spans="2:4" x14ac:dyDescent="0.25">
      <c r="B430" s="29"/>
      <c r="C430" s="53"/>
      <c r="D430" s="29"/>
    </row>
    <row r="431" spans="2:4" x14ac:dyDescent="0.25">
      <c r="B431" s="29"/>
      <c r="C431" s="53"/>
      <c r="D431" s="29"/>
    </row>
    <row r="432" spans="2:4" x14ac:dyDescent="0.25">
      <c r="B432" s="29"/>
      <c r="C432" s="53"/>
      <c r="D432" s="29"/>
    </row>
    <row r="433" spans="2:4" x14ac:dyDescent="0.25">
      <c r="B433" s="29"/>
      <c r="C433" s="53"/>
      <c r="D433" s="29"/>
    </row>
    <row r="434" spans="2:4" x14ac:dyDescent="0.25">
      <c r="B434" s="29"/>
      <c r="C434" s="53"/>
      <c r="D434" s="29"/>
    </row>
    <row r="435" spans="2:4" x14ac:dyDescent="0.25">
      <c r="B435" s="29"/>
      <c r="C435" s="53"/>
      <c r="D435" s="29"/>
    </row>
    <row r="436" spans="2:4" x14ac:dyDescent="0.25">
      <c r="B436" s="29"/>
      <c r="C436" s="53"/>
      <c r="D436" s="29"/>
    </row>
    <row r="437" spans="2:4" x14ac:dyDescent="0.25">
      <c r="B437" s="29"/>
      <c r="C437" s="53"/>
      <c r="D437" s="29"/>
    </row>
    <row r="438" spans="2:4" x14ac:dyDescent="0.25">
      <c r="B438" s="29"/>
      <c r="C438" s="53"/>
      <c r="D438" s="29"/>
    </row>
    <row r="439" spans="2:4" x14ac:dyDescent="0.25">
      <c r="B439" s="29"/>
      <c r="C439" s="53"/>
      <c r="D439" s="29"/>
    </row>
    <row r="440" spans="2:4" x14ac:dyDescent="0.25">
      <c r="B440" s="29"/>
      <c r="C440" s="53"/>
      <c r="D440" s="29"/>
    </row>
    <row r="441" spans="2:4" x14ac:dyDescent="0.25">
      <c r="B441" s="29"/>
      <c r="C441" s="53"/>
      <c r="D441" s="29"/>
    </row>
    <row r="442" spans="2:4" x14ac:dyDescent="0.25">
      <c r="B442" s="29"/>
      <c r="C442" s="53"/>
      <c r="D442" s="29"/>
    </row>
    <row r="443" spans="2:4" x14ac:dyDescent="0.25">
      <c r="B443" s="29"/>
      <c r="C443" s="53"/>
      <c r="D443" s="29"/>
    </row>
    <row r="444" spans="2:4" x14ac:dyDescent="0.25">
      <c r="B444" s="29"/>
      <c r="C444" s="53"/>
      <c r="D444" s="29"/>
    </row>
    <row r="445" spans="2:4" x14ac:dyDescent="0.25">
      <c r="B445" s="29"/>
      <c r="C445" s="53"/>
      <c r="D445" s="29"/>
    </row>
    <row r="446" spans="2:4" x14ac:dyDescent="0.25">
      <c r="B446" s="29"/>
      <c r="C446" s="53"/>
      <c r="D446" s="29"/>
    </row>
    <row r="447" spans="2:4" x14ac:dyDescent="0.25">
      <c r="B447" s="29"/>
      <c r="C447" s="53"/>
      <c r="D447" s="29"/>
    </row>
    <row r="448" spans="2:4" x14ac:dyDescent="0.25">
      <c r="B448" s="29"/>
      <c r="C448" s="53"/>
      <c r="D448" s="29"/>
    </row>
    <row r="449" spans="2:4" x14ac:dyDescent="0.25">
      <c r="B449" s="29"/>
      <c r="C449" s="53"/>
      <c r="D449" s="29"/>
    </row>
    <row r="450" spans="2:4" x14ac:dyDescent="0.25">
      <c r="B450" s="29"/>
      <c r="C450" s="53"/>
      <c r="D450" s="29"/>
    </row>
    <row r="451" spans="2:4" x14ac:dyDescent="0.25">
      <c r="B451" s="29"/>
      <c r="C451" s="53"/>
      <c r="D451" s="29"/>
    </row>
    <row r="452" spans="2:4" x14ac:dyDescent="0.25">
      <c r="B452" s="29"/>
      <c r="C452" s="53"/>
      <c r="D452" s="29"/>
    </row>
    <row r="453" spans="2:4" x14ac:dyDescent="0.25">
      <c r="B453" s="29"/>
      <c r="C453" s="53"/>
      <c r="D453" s="29"/>
    </row>
    <row r="454" spans="2:4" x14ac:dyDescent="0.25">
      <c r="B454" s="29"/>
      <c r="C454" s="53"/>
      <c r="D454" s="29"/>
    </row>
    <row r="455" spans="2:4" x14ac:dyDescent="0.25">
      <c r="B455" s="29"/>
      <c r="C455" s="53"/>
      <c r="D455" s="29"/>
    </row>
    <row r="456" spans="2:4" x14ac:dyDescent="0.25">
      <c r="B456" s="29"/>
      <c r="C456" s="53"/>
      <c r="D456" s="29"/>
    </row>
    <row r="457" spans="2:4" x14ac:dyDescent="0.25">
      <c r="B457" s="29"/>
      <c r="C457" s="53"/>
      <c r="D457" s="29"/>
    </row>
    <row r="458" spans="2:4" x14ac:dyDescent="0.25">
      <c r="B458" s="29"/>
      <c r="C458" s="53"/>
      <c r="D458" s="29"/>
    </row>
    <row r="459" spans="2:4" x14ac:dyDescent="0.25">
      <c r="B459" s="29"/>
      <c r="C459" s="53"/>
      <c r="D459" s="29"/>
    </row>
    <row r="460" spans="2:4" x14ac:dyDescent="0.25">
      <c r="B460" s="29"/>
      <c r="C460" s="53"/>
      <c r="D460" s="29"/>
    </row>
    <row r="461" spans="2:4" x14ac:dyDescent="0.25">
      <c r="B461" s="29"/>
      <c r="C461" s="53"/>
      <c r="D461" s="29"/>
    </row>
    <row r="462" spans="2:4" x14ac:dyDescent="0.25">
      <c r="B462" s="29"/>
      <c r="C462" s="53"/>
      <c r="D462" s="29"/>
    </row>
    <row r="463" spans="2:4" x14ac:dyDescent="0.25">
      <c r="B463" s="29"/>
      <c r="C463" s="53"/>
      <c r="D463" s="29"/>
    </row>
    <row r="464" spans="2:4" x14ac:dyDescent="0.25">
      <c r="B464" s="29"/>
      <c r="C464" s="53"/>
      <c r="D464" s="29"/>
    </row>
    <row r="465" spans="2:4" x14ac:dyDescent="0.25">
      <c r="B465" s="29"/>
      <c r="C465" s="53"/>
      <c r="D465" s="29"/>
    </row>
    <row r="466" spans="2:4" x14ac:dyDescent="0.25">
      <c r="B466" s="29"/>
      <c r="C466" s="53"/>
      <c r="D466" s="29"/>
    </row>
    <row r="467" spans="2:4" x14ac:dyDescent="0.25">
      <c r="B467" s="29"/>
      <c r="C467" s="53"/>
      <c r="D467" s="29"/>
    </row>
    <row r="468" spans="2:4" x14ac:dyDescent="0.25">
      <c r="B468" s="29"/>
      <c r="C468" s="53"/>
      <c r="D468" s="29"/>
    </row>
    <row r="469" spans="2:4" x14ac:dyDescent="0.25">
      <c r="B469" s="29"/>
      <c r="C469" s="53"/>
      <c r="D469" s="29"/>
    </row>
    <row r="470" spans="2:4" x14ac:dyDescent="0.25">
      <c r="B470" s="29"/>
      <c r="C470" s="53"/>
      <c r="D470" s="29"/>
    </row>
    <row r="471" spans="2:4" x14ac:dyDescent="0.25">
      <c r="B471" s="29"/>
      <c r="C471" s="53"/>
      <c r="D471" s="29"/>
    </row>
    <row r="472" spans="2:4" x14ac:dyDescent="0.25">
      <c r="B472" s="29"/>
      <c r="C472" s="53"/>
      <c r="D472" s="29"/>
    </row>
    <row r="473" spans="2:4" x14ac:dyDescent="0.25">
      <c r="B473" s="29"/>
      <c r="C473" s="53"/>
      <c r="D473" s="29"/>
    </row>
    <row r="474" spans="2:4" x14ac:dyDescent="0.25">
      <c r="B474" s="29"/>
      <c r="C474" s="53"/>
      <c r="D474" s="29"/>
    </row>
    <row r="475" spans="2:4" x14ac:dyDescent="0.25">
      <c r="B475" s="29"/>
      <c r="C475" s="53"/>
      <c r="D475" s="29"/>
    </row>
    <row r="476" spans="2:4" x14ac:dyDescent="0.25">
      <c r="B476" s="29"/>
      <c r="C476" s="53"/>
      <c r="D476" s="29"/>
    </row>
    <row r="477" spans="2:4" x14ac:dyDescent="0.25">
      <c r="B477" s="29"/>
      <c r="C477" s="53"/>
      <c r="D477" s="29"/>
    </row>
    <row r="478" spans="2:4" x14ac:dyDescent="0.25">
      <c r="B478" s="29"/>
      <c r="C478" s="53"/>
      <c r="D478" s="29"/>
    </row>
    <row r="479" spans="2:4" x14ac:dyDescent="0.25">
      <c r="B479" s="29"/>
      <c r="C479" s="53"/>
      <c r="D479" s="29"/>
    </row>
    <row r="480" spans="2:4" x14ac:dyDescent="0.25">
      <c r="B480" s="29"/>
      <c r="C480" s="53"/>
      <c r="D480" s="29"/>
    </row>
    <row r="481" spans="2:4" x14ac:dyDescent="0.25">
      <c r="B481" s="29"/>
      <c r="C481" s="53"/>
      <c r="D481" s="29"/>
    </row>
    <row r="482" spans="2:4" x14ac:dyDescent="0.25">
      <c r="B482" s="29"/>
      <c r="C482" s="53"/>
      <c r="D482" s="29"/>
    </row>
    <row r="483" spans="2:4" x14ac:dyDescent="0.25">
      <c r="B483" s="29"/>
      <c r="C483" s="53"/>
      <c r="D483" s="29"/>
    </row>
    <row r="484" spans="2:4" x14ac:dyDescent="0.25">
      <c r="B484" s="29"/>
      <c r="C484" s="53"/>
      <c r="D484" s="29"/>
    </row>
    <row r="485" spans="2:4" x14ac:dyDescent="0.25">
      <c r="B485" s="29"/>
      <c r="C485" s="53"/>
      <c r="D485" s="29"/>
    </row>
    <row r="486" spans="2:4" x14ac:dyDescent="0.25">
      <c r="B486" s="29"/>
      <c r="C486" s="53"/>
      <c r="D486" s="29"/>
    </row>
    <row r="487" spans="2:4" x14ac:dyDescent="0.25">
      <c r="B487" s="29"/>
      <c r="C487" s="53"/>
      <c r="D487" s="29"/>
    </row>
    <row r="488" spans="2:4" x14ac:dyDescent="0.25">
      <c r="B488" s="29"/>
      <c r="C488" s="53"/>
      <c r="D488" s="29"/>
    </row>
    <row r="489" spans="2:4" x14ac:dyDescent="0.25">
      <c r="B489" s="29"/>
      <c r="C489" s="53"/>
      <c r="D489" s="29"/>
    </row>
    <row r="490" spans="2:4" x14ac:dyDescent="0.25">
      <c r="B490" s="29"/>
      <c r="C490" s="53"/>
      <c r="D490" s="29"/>
    </row>
    <row r="491" spans="2:4" x14ac:dyDescent="0.25">
      <c r="B491" s="29"/>
      <c r="C491" s="53"/>
      <c r="D491" s="29"/>
    </row>
    <row r="492" spans="2:4" x14ac:dyDescent="0.25">
      <c r="B492" s="29"/>
      <c r="C492" s="53"/>
      <c r="D492" s="29"/>
    </row>
    <row r="493" spans="2:4" x14ac:dyDescent="0.25">
      <c r="B493" s="29"/>
      <c r="C493" s="53"/>
      <c r="D493" s="29"/>
    </row>
    <row r="494" spans="2:4" x14ac:dyDescent="0.25">
      <c r="B494" s="29"/>
      <c r="C494" s="53"/>
      <c r="D494" s="29"/>
    </row>
    <row r="495" spans="2:4" x14ac:dyDescent="0.25">
      <c r="B495" s="29"/>
      <c r="C495" s="53"/>
      <c r="D495" s="29"/>
    </row>
    <row r="496" spans="2:4" x14ac:dyDescent="0.25">
      <c r="B496" s="29"/>
      <c r="C496" s="53"/>
      <c r="D496" s="29"/>
    </row>
    <row r="497" spans="2:4" x14ac:dyDescent="0.25">
      <c r="B497" s="29"/>
      <c r="C497" s="53"/>
      <c r="D497" s="29"/>
    </row>
    <row r="498" spans="2:4" x14ac:dyDescent="0.25">
      <c r="B498" s="29"/>
      <c r="C498" s="53"/>
      <c r="D498" s="29"/>
    </row>
    <row r="499" spans="2:4" x14ac:dyDescent="0.25">
      <c r="B499" s="29"/>
      <c r="C499" s="53"/>
      <c r="D499" s="29"/>
    </row>
    <row r="500" spans="2:4" x14ac:dyDescent="0.25">
      <c r="B500" s="29"/>
      <c r="C500" s="53"/>
      <c r="D500" s="29"/>
    </row>
    <row r="501" spans="2:4" x14ac:dyDescent="0.25">
      <c r="B501" s="29"/>
      <c r="C501" s="53"/>
      <c r="D501" s="29"/>
    </row>
    <row r="502" spans="2:4" x14ac:dyDescent="0.25">
      <c r="B502" s="29"/>
      <c r="C502" s="53"/>
      <c r="D502" s="29"/>
    </row>
    <row r="503" spans="2:4" x14ac:dyDescent="0.25">
      <c r="B503" s="29"/>
      <c r="C503" s="53"/>
      <c r="D503" s="29"/>
    </row>
    <row r="504" spans="2:4" x14ac:dyDescent="0.25">
      <c r="B504" s="29"/>
      <c r="C504" s="53"/>
      <c r="D504" s="29"/>
    </row>
    <row r="505" spans="2:4" x14ac:dyDescent="0.25">
      <c r="B505" s="29"/>
      <c r="C505" s="53"/>
      <c r="D505" s="29"/>
    </row>
    <row r="506" spans="2:4" x14ac:dyDescent="0.25">
      <c r="B506" s="29"/>
      <c r="C506" s="53"/>
      <c r="D506" s="29"/>
    </row>
    <row r="507" spans="2:4" x14ac:dyDescent="0.25">
      <c r="B507" s="29"/>
      <c r="C507" s="53"/>
      <c r="D507" s="29"/>
    </row>
    <row r="508" spans="2:4" x14ac:dyDescent="0.25">
      <c r="B508" s="29"/>
      <c r="C508" s="53"/>
      <c r="D508" s="29"/>
    </row>
    <row r="509" spans="2:4" x14ac:dyDescent="0.25">
      <c r="B509" s="29"/>
      <c r="C509" s="53"/>
      <c r="D509" s="29"/>
    </row>
    <row r="510" spans="2:4" x14ac:dyDescent="0.25">
      <c r="B510" s="29"/>
      <c r="C510" s="53"/>
      <c r="D510" s="29"/>
    </row>
    <row r="511" spans="2:4" x14ac:dyDescent="0.25">
      <c r="B511" s="29"/>
      <c r="C511" s="53"/>
      <c r="D511" s="29"/>
    </row>
    <row r="512" spans="2:4" x14ac:dyDescent="0.25">
      <c r="B512" s="29"/>
      <c r="C512" s="53"/>
      <c r="D512" s="29"/>
    </row>
    <row r="513" spans="2:4" x14ac:dyDescent="0.25">
      <c r="B513" s="29"/>
      <c r="C513" s="53"/>
      <c r="D513" s="29"/>
    </row>
    <row r="514" spans="2:4" x14ac:dyDescent="0.25">
      <c r="B514" s="29"/>
      <c r="C514" s="53"/>
      <c r="D514" s="29"/>
    </row>
    <row r="515" spans="2:4" x14ac:dyDescent="0.25">
      <c r="B515" s="29"/>
      <c r="C515" s="53"/>
      <c r="D515" s="29"/>
    </row>
    <row r="516" spans="2:4" x14ac:dyDescent="0.25">
      <c r="B516" s="29"/>
      <c r="C516" s="53"/>
      <c r="D516" s="29"/>
    </row>
    <row r="517" spans="2:4" x14ac:dyDescent="0.25">
      <c r="B517" s="29"/>
      <c r="C517" s="53"/>
      <c r="D517" s="29"/>
    </row>
    <row r="518" spans="2:4" x14ac:dyDescent="0.25">
      <c r="B518" s="29"/>
      <c r="C518" s="53"/>
      <c r="D518" s="29"/>
    </row>
    <row r="519" spans="2:4" x14ac:dyDescent="0.25">
      <c r="B519" s="29"/>
      <c r="C519" s="53"/>
      <c r="D519" s="29"/>
    </row>
    <row r="520" spans="2:4" x14ac:dyDescent="0.25">
      <c r="B520" s="29"/>
      <c r="C520" s="53"/>
      <c r="D520" s="29"/>
    </row>
    <row r="521" spans="2:4" x14ac:dyDescent="0.25">
      <c r="B521" s="29"/>
      <c r="C521" s="53"/>
      <c r="D521" s="29"/>
    </row>
    <row r="522" spans="2:4" x14ac:dyDescent="0.25">
      <c r="B522" s="29"/>
      <c r="C522" s="53"/>
      <c r="D522" s="29"/>
    </row>
    <row r="523" spans="2:4" x14ac:dyDescent="0.25">
      <c r="B523" s="29"/>
      <c r="C523" s="53"/>
      <c r="D523" s="29"/>
    </row>
    <row r="524" spans="2:4" x14ac:dyDescent="0.25">
      <c r="B524" s="29"/>
      <c r="C524" s="53"/>
      <c r="D524" s="29"/>
    </row>
    <row r="525" spans="2:4" x14ac:dyDescent="0.25">
      <c r="B525" s="29"/>
      <c r="C525" s="53"/>
      <c r="D525" s="29"/>
    </row>
    <row r="526" spans="2:4" x14ac:dyDescent="0.25">
      <c r="B526" s="29"/>
      <c r="C526" s="53"/>
      <c r="D526" s="29"/>
    </row>
    <row r="527" spans="2:4" x14ac:dyDescent="0.25">
      <c r="B527" s="29"/>
      <c r="C527" s="53"/>
      <c r="D527" s="29"/>
    </row>
    <row r="528" spans="2:4" x14ac:dyDescent="0.25">
      <c r="B528" s="29"/>
      <c r="C528" s="53"/>
      <c r="D528" s="29"/>
    </row>
    <row r="529" spans="2:4" x14ac:dyDescent="0.25">
      <c r="B529" s="29"/>
      <c r="C529" s="53"/>
      <c r="D529" s="29"/>
    </row>
    <row r="530" spans="2:4" x14ac:dyDescent="0.25">
      <c r="B530" s="29"/>
      <c r="C530" s="53"/>
      <c r="D530" s="29"/>
    </row>
    <row r="531" spans="2:4" x14ac:dyDescent="0.25">
      <c r="B531" s="29"/>
      <c r="C531" s="53"/>
      <c r="D531" s="29"/>
    </row>
    <row r="532" spans="2:4" x14ac:dyDescent="0.25">
      <c r="B532" s="29"/>
      <c r="C532" s="53"/>
      <c r="D532" s="29"/>
    </row>
    <row r="533" spans="2:4" x14ac:dyDescent="0.25">
      <c r="B533" s="29"/>
      <c r="C533" s="53"/>
      <c r="D533" s="29"/>
    </row>
    <row r="534" spans="2:4" x14ac:dyDescent="0.25">
      <c r="B534" s="29"/>
      <c r="C534" s="53"/>
      <c r="D534" s="29"/>
    </row>
    <row r="535" spans="2:4" x14ac:dyDescent="0.25">
      <c r="B535" s="29"/>
      <c r="C535" s="53"/>
      <c r="D535" s="29"/>
    </row>
    <row r="536" spans="2:4" x14ac:dyDescent="0.25">
      <c r="B536" s="29"/>
      <c r="C536" s="53"/>
      <c r="D536" s="29"/>
    </row>
    <row r="537" spans="2:4" x14ac:dyDescent="0.25">
      <c r="B537" s="29"/>
      <c r="C537" s="53"/>
      <c r="D537" s="29"/>
    </row>
    <row r="538" spans="2:4" x14ac:dyDescent="0.25">
      <c r="B538" s="29"/>
      <c r="C538" s="53"/>
      <c r="D538" s="29"/>
    </row>
    <row r="539" spans="2:4" x14ac:dyDescent="0.25">
      <c r="B539" s="29"/>
      <c r="C539" s="53"/>
      <c r="D539" s="29"/>
    </row>
    <row r="540" spans="2:4" x14ac:dyDescent="0.25">
      <c r="B540" s="29"/>
      <c r="C540" s="53"/>
      <c r="D540" s="29"/>
    </row>
    <row r="541" spans="2:4" x14ac:dyDescent="0.25">
      <c r="B541" s="29"/>
      <c r="C541" s="53"/>
      <c r="D541" s="29"/>
    </row>
    <row r="542" spans="2:4" x14ac:dyDescent="0.25">
      <c r="B542" s="29"/>
      <c r="C542" s="53"/>
      <c r="D542" s="29"/>
    </row>
    <row r="543" spans="2:4" x14ac:dyDescent="0.25">
      <c r="B543" s="29"/>
      <c r="C543" s="53"/>
      <c r="D543" s="29"/>
    </row>
    <row r="544" spans="2:4" x14ac:dyDescent="0.25">
      <c r="B544" s="29"/>
      <c r="C544" s="53"/>
      <c r="D544" s="29"/>
    </row>
    <row r="545" spans="2:4" x14ac:dyDescent="0.25">
      <c r="B545" s="29"/>
      <c r="C545" s="53"/>
      <c r="D545" s="29"/>
    </row>
    <row r="546" spans="2:4" x14ac:dyDescent="0.25">
      <c r="B546" s="29"/>
      <c r="C546" s="53"/>
      <c r="D546" s="29"/>
    </row>
    <row r="547" spans="2:4" x14ac:dyDescent="0.25">
      <c r="B547" s="29"/>
      <c r="C547" s="53"/>
      <c r="D547" s="29"/>
    </row>
    <row r="548" spans="2:4" x14ac:dyDescent="0.25">
      <c r="B548" s="29"/>
      <c r="C548" s="53"/>
      <c r="D548" s="29"/>
    </row>
    <row r="549" spans="2:4" x14ac:dyDescent="0.25">
      <c r="B549" s="29"/>
      <c r="C549" s="53"/>
      <c r="D549" s="29"/>
    </row>
    <row r="550" spans="2:4" x14ac:dyDescent="0.25">
      <c r="B550" s="29"/>
      <c r="C550" s="53"/>
      <c r="D550" s="29"/>
    </row>
    <row r="551" spans="2:4" x14ac:dyDescent="0.25">
      <c r="B551" s="29"/>
      <c r="C551" s="53"/>
      <c r="D551" s="29"/>
    </row>
    <row r="552" spans="2:4" x14ac:dyDescent="0.25">
      <c r="B552" s="29"/>
      <c r="C552" s="53"/>
      <c r="D552" s="29"/>
    </row>
  </sheetData>
  <mergeCells count="1">
    <mergeCell ref="A1:D2"/>
  </mergeCells>
  <conditionalFormatting sqref="C4:C30">
    <cfRule type="expression" dxfId="56" priority="64">
      <formula>$C4 = "N/A"</formula>
    </cfRule>
    <cfRule type="expression" dxfId="55" priority="65">
      <formula>$C4 = "No"</formula>
    </cfRule>
    <cfRule type="expression" dxfId="54" priority="66">
      <formula>$C4="Yes"</formula>
    </cfRule>
  </conditionalFormatting>
  <conditionalFormatting sqref="D4:D30">
    <cfRule type="expression" dxfId="53" priority="55">
      <formula>NOT(ISBLANK($D4))</formula>
    </cfRule>
    <cfRule type="expression" dxfId="52" priority="62">
      <formula>$C4 = "N/A"</formula>
    </cfRule>
    <cfRule type="expression" dxfId="51" priority="63">
      <formula>$C4 = "Yes"</formula>
    </cfRule>
  </conditionalFormatting>
  <conditionalFormatting sqref="C33:C57">
    <cfRule type="expression" dxfId="50" priority="52">
      <formula>$C33 = "N/A"</formula>
    </cfRule>
    <cfRule type="expression" dxfId="49" priority="53">
      <formula>$C33 = "No"</formula>
    </cfRule>
    <cfRule type="expression" dxfId="48" priority="54">
      <formula>$C33="Yes"</formula>
    </cfRule>
  </conditionalFormatting>
  <conditionalFormatting sqref="D33:D57">
    <cfRule type="expression" dxfId="47" priority="49">
      <formula>NOT(ISBLANK($D33))</formula>
    </cfRule>
    <cfRule type="expression" dxfId="46" priority="50">
      <formula>$C33 = "N/A"</formula>
    </cfRule>
    <cfRule type="expression" dxfId="45" priority="51">
      <formula>$C33 = "Yes"</formula>
    </cfRule>
  </conditionalFormatting>
  <conditionalFormatting sqref="C60:C75">
    <cfRule type="expression" dxfId="44" priority="46">
      <formula>$C60 = "N/A"</formula>
    </cfRule>
    <cfRule type="expression" dxfId="43" priority="47">
      <formula>$C60 = "No"</formula>
    </cfRule>
    <cfRule type="expression" dxfId="42" priority="48">
      <formula>$C60="Yes"</formula>
    </cfRule>
  </conditionalFormatting>
  <conditionalFormatting sqref="D60:D75">
    <cfRule type="expression" dxfId="41" priority="43">
      <formula>NOT(ISBLANK($D60))</formula>
    </cfRule>
    <cfRule type="expression" dxfId="40" priority="44">
      <formula>$C60 = "N/A"</formula>
    </cfRule>
    <cfRule type="expression" dxfId="39" priority="45">
      <formula>$C60 = "Yes"</formula>
    </cfRule>
  </conditionalFormatting>
  <conditionalFormatting sqref="C78:C95">
    <cfRule type="expression" dxfId="38" priority="40">
      <formula>$C78 = "N/A"</formula>
    </cfRule>
    <cfRule type="expression" dxfId="37" priority="41">
      <formula>$C78 = "No"</formula>
    </cfRule>
    <cfRule type="expression" dxfId="36" priority="42">
      <formula>$C78="Yes"</formula>
    </cfRule>
  </conditionalFormatting>
  <conditionalFormatting sqref="D78:D95">
    <cfRule type="expression" dxfId="35" priority="37">
      <formula>NOT(ISBLANK($D78))</formula>
    </cfRule>
    <cfRule type="expression" dxfId="34" priority="38">
      <formula>$C78 = "N/A"</formula>
    </cfRule>
    <cfRule type="expression" dxfId="33" priority="39">
      <formula>$C78 = "Yes"</formula>
    </cfRule>
  </conditionalFormatting>
  <conditionalFormatting sqref="C98:C107">
    <cfRule type="expression" dxfId="32" priority="34">
      <formula>$C98 = "N/A"</formula>
    </cfRule>
    <cfRule type="expression" dxfId="31" priority="35">
      <formula>$C98 = "No"</formula>
    </cfRule>
    <cfRule type="expression" dxfId="30" priority="36">
      <formula>$C98="Yes"</formula>
    </cfRule>
  </conditionalFormatting>
  <conditionalFormatting sqref="D98:D107">
    <cfRule type="expression" dxfId="29" priority="31">
      <formula>NOT(ISBLANK($D98))</formula>
    </cfRule>
    <cfRule type="expression" dxfId="28" priority="32">
      <formula>$C98 = "N/A"</formula>
    </cfRule>
    <cfRule type="expression" dxfId="27" priority="33">
      <formula>$C98 = "Yes"</formula>
    </cfRule>
  </conditionalFormatting>
  <conditionalFormatting sqref="C109:C140">
    <cfRule type="expression" dxfId="26" priority="28">
      <formula>$C109 = "N/A"</formula>
    </cfRule>
    <cfRule type="expression" dxfId="25" priority="29">
      <formula>$C109 = "No"</formula>
    </cfRule>
    <cfRule type="expression" dxfId="24" priority="30">
      <formula>$C109="Yes"</formula>
    </cfRule>
  </conditionalFormatting>
  <conditionalFormatting sqref="D109:D140">
    <cfRule type="expression" dxfId="23" priority="25">
      <formula>NOT(ISBLANK($D109))</formula>
    </cfRule>
    <cfRule type="expression" dxfId="22" priority="26">
      <formula>$C109 = "N/A"</formula>
    </cfRule>
    <cfRule type="expression" dxfId="21" priority="27">
      <formula>$C109 = "Yes"</formula>
    </cfRule>
  </conditionalFormatting>
  <conditionalFormatting sqref="C143:C170">
    <cfRule type="expression" dxfId="20" priority="22">
      <formula>$C143 = "N/A"</formula>
    </cfRule>
    <cfRule type="expression" dxfId="19" priority="23">
      <formula>$C143 = "No"</formula>
    </cfRule>
    <cfRule type="expression" dxfId="18" priority="24">
      <formula>$C143="Yes"</formula>
    </cfRule>
  </conditionalFormatting>
  <conditionalFormatting sqref="D143:D170">
    <cfRule type="expression" dxfId="17" priority="19">
      <formula>NOT(ISBLANK($D143))</formula>
    </cfRule>
    <cfRule type="expression" dxfId="16" priority="20">
      <formula>$C143 = "N/A"</formula>
    </cfRule>
    <cfRule type="expression" dxfId="15" priority="21">
      <formula>$C143 = "Yes"</formula>
    </cfRule>
  </conditionalFormatting>
  <conditionalFormatting sqref="C173:C181">
    <cfRule type="expression" dxfId="14" priority="16">
      <formula>$C173 = "N/A"</formula>
    </cfRule>
    <cfRule type="expression" dxfId="13" priority="17">
      <formula>$C173 = "No"</formula>
    </cfRule>
    <cfRule type="expression" dxfId="12" priority="18">
      <formula>$C173="Yes"</formula>
    </cfRule>
  </conditionalFormatting>
  <conditionalFormatting sqref="D173:D181">
    <cfRule type="expression" dxfId="11" priority="13">
      <formula>NOT(ISBLANK($D173))</formula>
    </cfRule>
    <cfRule type="expression" dxfId="10" priority="14">
      <formula>$C173 = "N/A"</formula>
    </cfRule>
    <cfRule type="expression" dxfId="9" priority="15">
      <formula>$C173 = "Yes"</formula>
    </cfRule>
  </conditionalFormatting>
  <conditionalFormatting sqref="C184:C190">
    <cfRule type="expression" dxfId="8" priority="10">
      <formula>$C184 = "N/A"</formula>
    </cfRule>
    <cfRule type="expression" dxfId="7" priority="11">
      <formula>$C184 = "No"</formula>
    </cfRule>
    <cfRule type="expression" dxfId="6" priority="12">
      <formula>$C184="Yes"</formula>
    </cfRule>
  </conditionalFormatting>
  <conditionalFormatting sqref="D184:D190">
    <cfRule type="expression" dxfId="5" priority="7">
      <formula>NOT(ISBLANK($D184))</formula>
    </cfRule>
    <cfRule type="expression" dxfId="4" priority="8">
      <formula>$C184 = "N/A"</formula>
    </cfRule>
    <cfRule type="expression" dxfId="3" priority="9">
      <formula>$C184 = "Yes"</formula>
    </cfRule>
  </conditionalFormatting>
  <conditionalFormatting sqref="C191">
    <cfRule type="expression" dxfId="2" priority="1">
      <formula>$C191 = "N/A"</formula>
    </cfRule>
    <cfRule type="expression" dxfId="1" priority="2">
      <formula>$C191 = "No"</formula>
    </cfRule>
    <cfRule type="expression" dxfId="0" priority="3">
      <formula>$C191="Yes"</formula>
    </cfRule>
  </conditionalFormatting>
  <dataValidations count="3">
    <dataValidation type="list" allowBlank="1" showInputMessage="1" showErrorMessage="1" sqref="C108 C171 C182 C192:C235">
      <formula1>$J$1:$J$32</formula1>
    </dataValidation>
    <dataValidation type="list" allowBlank="1" showInputMessage="1" showErrorMessage="1" sqref="C141 C31 C58 C76 C96">
      <formula1>$J$1:$J$76</formula1>
    </dataValidation>
    <dataValidation type="list" allowBlank="1" showInputMessage="1" showErrorMessage="1" sqref="C4:C30 C184:C191 C173:C181 C143:C170 C109:C140 C98:C107 C78:C95 C60:C75 C33:C57">
      <formula1>$J$1:$J$3</formula1>
    </dataValidation>
  </dataValidations>
  <pageMargins left="0.7" right="0.7" top="0.75" bottom="0.75" header="0.3" footer="0.3"/>
  <pageSetup scale="66"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Compressors</vt:lpstr>
      <vt:lpstr>Pumps</vt:lpstr>
      <vt:lpstr>Pumps-Pivot Tables</vt:lpstr>
      <vt:lpstr>Pumps-Questions List</vt:lpstr>
      <vt:lpstr>Pumps-Checklist</vt:lpstr>
      <vt:lpstr>'Pumps-Checklist'!Print_Area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Tevis Gehr</dc:creator>
  <cp:lastModifiedBy>Tevis Gehr</cp:lastModifiedBy>
  <cp:lastPrinted>2016-06-27T21:28:54Z</cp:lastPrinted>
  <dcterms:created xsi:type="dcterms:W3CDTF">2016-06-08T16:11:45Z</dcterms:created>
  <dcterms:modified xsi:type="dcterms:W3CDTF">2016-07-11T15:56:02Z</dcterms:modified>
</cp:coreProperties>
</file>