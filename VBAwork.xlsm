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TRANSFER\Tevis Gehr\Dashboard\"/>
    </mc:Choice>
  </mc:AlternateContent>
  <bookViews>
    <workbookView xWindow="0" yWindow="0" windowWidth="28800" windowHeight="12435" activeTab="3"/>
  </bookViews>
  <sheets>
    <sheet name="Sheet1" sheetId="1" r:id="rId1"/>
    <sheet name="Calculations" sheetId="5" r:id="rId2"/>
    <sheet name="Schedule3" sheetId="2" r:id="rId3"/>
    <sheet name="Schedule" sheetId="6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5" l="1"/>
  <c r="D3" i="5"/>
  <c r="B5" i="5"/>
  <c r="B6" i="5"/>
  <c r="B7" i="5"/>
  <c r="B4" i="5"/>
  <c r="B3" i="5"/>
  <c r="A2" i="1" s="1"/>
  <c r="B2" i="1"/>
  <c r="B3" i="1"/>
  <c r="B6" i="1"/>
  <c r="B5" i="1"/>
  <c r="B4" i="1"/>
  <c r="A6" i="1"/>
  <c r="A5" i="1"/>
  <c r="A4" i="1"/>
  <c r="A3" i="1"/>
</calcChain>
</file>

<file path=xl/sharedStrings.xml><?xml version="1.0" encoding="utf-8"?>
<sst xmlns="http://schemas.openxmlformats.org/spreadsheetml/2006/main" count="762" uniqueCount="366">
  <si>
    <t>Due Date</t>
  </si>
  <si>
    <t>% Complete</t>
  </si>
  <si>
    <t>Task Name</t>
  </si>
  <si>
    <t>Duration</t>
  </si>
  <si>
    <t>Start</t>
  </si>
  <si>
    <t>Finish</t>
  </si>
  <si>
    <t>Predecessors</t>
  </si>
  <si>
    <t>Successors</t>
  </si>
  <si>
    <t>Free Slack</t>
  </si>
  <si>
    <t xml:space="preserve">C2359934-01-04 Project Schedule </t>
  </si>
  <si>
    <t>304.5 days</t>
  </si>
  <si>
    <t>Tue 12/3/13</t>
  </si>
  <si>
    <t>Fri 2/27/15</t>
  </si>
  <si>
    <t>0 days</t>
  </si>
  <si>
    <t xml:space="preserve">   Schedule Milestones</t>
  </si>
  <si>
    <t xml:space="preserve">      Book Order</t>
  </si>
  <si>
    <t xml:space="preserve">      LOI Acknowledgement</t>
  </si>
  <si>
    <t>2.5 wks</t>
  </si>
  <si>
    <t>Thu 12/19/13</t>
  </si>
  <si>
    <t>15,20,45,33,36,4</t>
  </si>
  <si>
    <t>0 wks</t>
  </si>
  <si>
    <t xml:space="preserve">      Contract Acknowledgement</t>
  </si>
  <si>
    <t>2.3 wks</t>
  </si>
  <si>
    <t>Tue 1/14/14</t>
  </si>
  <si>
    <t>15,20,45,33,36</t>
  </si>
  <si>
    <t xml:space="preserve">      Order Unit LL</t>
  </si>
  <si>
    <t>10 days</t>
  </si>
  <si>
    <t>Wed 5/7/14</t>
  </si>
  <si>
    <t>Thu 6/26/14</t>
  </si>
  <si>
    <t xml:space="preserve">      Order Kit LL</t>
  </si>
  <si>
    <t>Fri 6/20/14</t>
  </si>
  <si>
    <t>44SS</t>
  </si>
  <si>
    <t>170.5 days</t>
  </si>
  <si>
    <t xml:space="preserve">      Release to ME</t>
  </si>
  <si>
    <t>Mon 9/15/14</t>
  </si>
  <si>
    <t>15 days</t>
  </si>
  <si>
    <t xml:space="preserve">      Shipping Date</t>
  </si>
  <si>
    <t>Fri 1/16/15</t>
  </si>
  <si>
    <t xml:space="preserve">      Final data</t>
  </si>
  <si>
    <t>6 wks</t>
  </si>
  <si>
    <t xml:space="preserve">   Engineering</t>
  </si>
  <si>
    <t>209 days</t>
  </si>
  <si>
    <t>Mon 10/6/14</t>
  </si>
  <si>
    <t>60.5 days</t>
  </si>
  <si>
    <t xml:space="preserve">      Project Management</t>
  </si>
  <si>
    <t>55 days</t>
  </si>
  <si>
    <t>Fri 6/27/14</t>
  </si>
  <si>
    <t>75.5 days</t>
  </si>
  <si>
    <t xml:space="preserve">         Senior Review</t>
  </si>
  <si>
    <t>5 wks</t>
  </si>
  <si>
    <t>Fri 8/1/14</t>
  </si>
  <si>
    <t>33,24,32</t>
  </si>
  <si>
    <t xml:space="preserve">         Incorporate SR comments</t>
  </si>
  <si>
    <t>Mon 8/4/14</t>
  </si>
  <si>
    <t xml:space="preserve">      Unit Engineering</t>
  </si>
  <si>
    <t>185 days</t>
  </si>
  <si>
    <t>Wed 1/15/14</t>
  </si>
  <si>
    <t xml:space="preserve">         Configuration</t>
  </si>
  <si>
    <t>21 wks</t>
  </si>
  <si>
    <t>Thu 6/12/14</t>
  </si>
  <si>
    <t>3,4</t>
  </si>
  <si>
    <t>17,16,5,33,40,41,42,36</t>
  </si>
  <si>
    <t xml:space="preserve">         Unit (Castings) LL</t>
  </si>
  <si>
    <t>16 wks</t>
  </si>
  <si>
    <t>Fri 6/13/14</t>
  </si>
  <si>
    <t xml:space="preserve">         Spares</t>
  </si>
  <si>
    <t>Fri 7/25/14</t>
  </si>
  <si>
    <t xml:space="preserve">      Kit Engineering</t>
  </si>
  <si>
    <t>104 days</t>
  </si>
  <si>
    <t>Thu 1/2/14</t>
  </si>
  <si>
    <t>Wed 5/28/14</t>
  </si>
  <si>
    <t>70 days</t>
  </si>
  <si>
    <t xml:space="preserve">         Drafting/Design</t>
  </si>
  <si>
    <t>84 days</t>
  </si>
  <si>
    <t>Wed 4/30/14</t>
  </si>
  <si>
    <t xml:space="preserve">            Drafting Request</t>
  </si>
  <si>
    <t>0.6 wks</t>
  </si>
  <si>
    <t>Mon 1/6/14</t>
  </si>
  <si>
    <t xml:space="preserve">            Drawing Rev -</t>
  </si>
  <si>
    <t>Tue 1/7/14</t>
  </si>
  <si>
    <t>Thu 1/9/14</t>
  </si>
  <si>
    <t xml:space="preserve">            Customer Review Drawing Rev. -</t>
  </si>
  <si>
    <t>Fri 1/10/14</t>
  </si>
  <si>
    <t>23,40,41,42,44</t>
  </si>
  <si>
    <t xml:space="preserve">            Drawing Rev A</t>
  </si>
  <si>
    <t>3.8 wks</t>
  </si>
  <si>
    <t>Fri 4/4/14</t>
  </si>
  <si>
    <t>22,36</t>
  </si>
  <si>
    <t xml:space="preserve">            Customer Approve Drawing Rev A</t>
  </si>
  <si>
    <t>26,12,44FS+7 wks,45FS+5 wks</t>
  </si>
  <si>
    <t xml:space="preserve">         Electrical &amp; Controls Design</t>
  </si>
  <si>
    <t>20 days</t>
  </si>
  <si>
    <t xml:space="preserve">            Cause &amp; Effect</t>
  </si>
  <si>
    <t xml:space="preserve">            Control System Overview</t>
  </si>
  <si>
    <t xml:space="preserve">            Control System Drawings</t>
  </si>
  <si>
    <t xml:space="preserve">            PLC Programming</t>
  </si>
  <si>
    <t>4 wks</t>
  </si>
  <si>
    <t>Thu 5/1/14</t>
  </si>
  <si>
    <t>42FS-6 wks</t>
  </si>
  <si>
    <t>8 wks</t>
  </si>
  <si>
    <t xml:space="preserve">      Quality</t>
  </si>
  <si>
    <t>139 days</t>
  </si>
  <si>
    <t xml:space="preserve">         ITP Rev. A</t>
  </si>
  <si>
    <t>Wed 1/8/14</t>
  </si>
  <si>
    <t xml:space="preserve">         Customer Approve ITP Rev A</t>
  </si>
  <si>
    <t>2 wks</t>
  </si>
  <si>
    <t>Wed 1/22/14</t>
  </si>
  <si>
    <t xml:space="preserve">         OP 20/40</t>
  </si>
  <si>
    <t>3,4,15</t>
  </si>
  <si>
    <t xml:space="preserve">   Purchasing</t>
  </si>
  <si>
    <t>Thu 4/3/14</t>
  </si>
  <si>
    <t>Mon 10/20/14</t>
  </si>
  <si>
    <t>85.5 days</t>
  </si>
  <si>
    <t xml:space="preserve">      Main Motor</t>
  </si>
  <si>
    <t>25.5 days</t>
  </si>
  <si>
    <t>Fri 5/9/14</t>
  </si>
  <si>
    <t>199 days</t>
  </si>
  <si>
    <t xml:space="preserve">         Order Motor</t>
  </si>
  <si>
    <t>37,38,23</t>
  </si>
  <si>
    <t xml:space="preserve">         Main Motor Initial Data Pkg</t>
  </si>
  <si>
    <t>5.1 wks</t>
  </si>
  <si>
    <t>39.8 wks</t>
  </si>
  <si>
    <t xml:space="preserve">         Manufacturing</t>
  </si>
  <si>
    <t>52FS+3 wks</t>
  </si>
  <si>
    <t>27.8 wks</t>
  </si>
  <si>
    <t xml:space="preserve">      Buyout Items</t>
  </si>
  <si>
    <t>119 days</t>
  </si>
  <si>
    <t>Fri 5/2/14</t>
  </si>
  <si>
    <t xml:space="preserve">         Lube Oil Motor/Pump</t>
  </si>
  <si>
    <t>12 wks</t>
  </si>
  <si>
    <t>Mon 9/8/14</t>
  </si>
  <si>
    <t>22,15</t>
  </si>
  <si>
    <t xml:space="preserve">         Heat Exchanger</t>
  </si>
  <si>
    <t>18 wks</t>
  </si>
  <si>
    <t xml:space="preserve">         Control System Panel</t>
  </si>
  <si>
    <t>22,15,29FS-6 wks</t>
  </si>
  <si>
    <t>54,52FS+3 wks</t>
  </si>
  <si>
    <t xml:space="preserve">      Spares</t>
  </si>
  <si>
    <t>0.1 days</t>
  </si>
  <si>
    <t>Mon 7/28/14</t>
  </si>
  <si>
    <t>99.9 days</t>
  </si>
  <si>
    <t xml:space="preserve">      Kit Long Leads</t>
  </si>
  <si>
    <t>11 wks</t>
  </si>
  <si>
    <t>22,24FS+7 wks</t>
  </si>
  <si>
    <t>52FS+3 wks,6SS</t>
  </si>
  <si>
    <t xml:space="preserve">      Purchase Base</t>
  </si>
  <si>
    <t>Fri 6/6/14</t>
  </si>
  <si>
    <t>Mon 9/29/14</t>
  </si>
  <si>
    <t>3,4,24FS+5 wks</t>
  </si>
  <si>
    <t>3 wks</t>
  </si>
  <si>
    <t xml:space="preserve">   Manufacturing</t>
  </si>
  <si>
    <t>50 days</t>
  </si>
  <si>
    <t>Tue 10/7/14</t>
  </si>
  <si>
    <t>Wed 12/17/14</t>
  </si>
  <si>
    <t>25 days</t>
  </si>
  <si>
    <t xml:space="preserve">      Machine Unit</t>
  </si>
  <si>
    <t>Mon 10/27/14</t>
  </si>
  <si>
    <t>16,7</t>
  </si>
  <si>
    <t xml:space="preserve">      Unit Assembly</t>
  </si>
  <si>
    <t>Tue 10/28/14</t>
  </si>
  <si>
    <t>Mon 11/10/14</t>
  </si>
  <si>
    <t xml:space="preserve">      Performance Testing</t>
  </si>
  <si>
    <t>1 wk</t>
  </si>
  <si>
    <t>Tue 11/11/14</t>
  </si>
  <si>
    <t>Mon 11/17/14</t>
  </si>
  <si>
    <t xml:space="preserve">      Witness Performance Testing</t>
  </si>
  <si>
    <t>Tue 11/18/14</t>
  </si>
  <si>
    <t>Mon 11/24/14</t>
  </si>
  <si>
    <t>51FF</t>
  </si>
  <si>
    <t xml:space="preserve">      Witness Gbx Teardown &amp; Inspection</t>
  </si>
  <si>
    <t>50FF</t>
  </si>
  <si>
    <t>12.1 wks</t>
  </si>
  <si>
    <t xml:space="preserve">      Kit Assembly</t>
  </si>
  <si>
    <t>Wed 12/10/14</t>
  </si>
  <si>
    <t>45FS+3 wks,44FS+3 wks,38FS+3 wks,40FS+3 wks,41FS+3 wks,42FS+3 wks</t>
  </si>
  <si>
    <t>54FF,53</t>
  </si>
  <si>
    <t xml:space="preserve">      Painting</t>
  </si>
  <si>
    <t>Thu 12/11/14</t>
  </si>
  <si>
    <t>54FF</t>
  </si>
  <si>
    <t xml:space="preserve">      Control Panel Testing</t>
  </si>
  <si>
    <t>Thu 12/4/14</t>
  </si>
  <si>
    <t>52FF,42,53FF</t>
  </si>
  <si>
    <t xml:space="preserve">   Logistics</t>
  </si>
  <si>
    <t>8.5 days</t>
  </si>
  <si>
    <t>Thu 12/18/14</t>
  </si>
  <si>
    <t>Wed 1/7/15</t>
  </si>
  <si>
    <t xml:space="preserve">      Additional Time Allocation</t>
  </si>
  <si>
    <t>1.7 wks</t>
  </si>
  <si>
    <t>43,54</t>
  </si>
  <si>
    <t xml:space="preserve">   Packaging</t>
  </si>
  <si>
    <t>2 days</t>
  </si>
  <si>
    <t>Fri 1/9/15</t>
  </si>
  <si>
    <t xml:space="preserve">   FOB Long Beach Seaport</t>
  </si>
  <si>
    <t>Task Mode</t>
  </si>
  <si>
    <t>Notes</t>
  </si>
  <si>
    <t>Auto Scheduled</t>
  </si>
  <si>
    <t>Schedule Milestones</t>
  </si>
  <si>
    <t>187 days</t>
  </si>
  <si>
    <t>Thu 9/26/13</t>
  </si>
  <si>
    <t>Mon 6/30/14</t>
  </si>
  <si>
    <t xml:space="preserve">   Book Order</t>
  </si>
  <si>
    <t>1 day</t>
  </si>
  <si>
    <t xml:space="preserve">   Acknowledge Order</t>
  </si>
  <si>
    <t>Fri 10/25/13</t>
  </si>
  <si>
    <t xml:space="preserve">   Unit LL Release</t>
  </si>
  <si>
    <t>Mon 10/21/13</t>
  </si>
  <si>
    <t xml:space="preserve">   Kit LL Release</t>
  </si>
  <si>
    <t>Fri 12/6/13</t>
  </si>
  <si>
    <t xml:space="preserve">   Unit &amp; Kit ME Release Date</t>
  </si>
  <si>
    <t>Mon 2/17/14</t>
  </si>
  <si>
    <t xml:space="preserve">   Shipping Date (FAS - Houston TX)</t>
  </si>
  <si>
    <t>Financial Milestones</t>
  </si>
  <si>
    <t>205 days</t>
  </si>
  <si>
    <t xml:space="preserve">   PO with BG</t>
  </si>
  <si>
    <t xml:space="preserve">   Major Castings</t>
  </si>
  <si>
    <t xml:space="preserve">   Main Documents (50% First Issue)</t>
  </si>
  <si>
    <t>Tue 11/19/13</t>
  </si>
  <si>
    <t>12FS+2 wks</t>
  </si>
  <si>
    <t xml:space="preserve">   Main Documents (50% Approval)</t>
  </si>
  <si>
    <t>Wed 12/4/13</t>
  </si>
  <si>
    <t>11FS+2 wks</t>
  </si>
  <si>
    <t xml:space="preserve">   Ship Unit</t>
  </si>
  <si>
    <t xml:space="preserve">   Final Data with DNV Approval</t>
  </si>
  <si>
    <t xml:space="preserve">   Final Data Certified</t>
  </si>
  <si>
    <t>Engineering</t>
  </si>
  <si>
    <t>105 days</t>
  </si>
  <si>
    <t>Tue 9/10/13</t>
  </si>
  <si>
    <t>Fri 2/14/14</t>
  </si>
  <si>
    <t xml:space="preserve">   Project Management</t>
  </si>
  <si>
    <t>45 days</t>
  </si>
  <si>
    <t>Mon 11/11/13</t>
  </si>
  <si>
    <t xml:space="preserve">      Project &amp; Spec Review</t>
  </si>
  <si>
    <t>Tue 10/1/13</t>
  </si>
  <si>
    <t xml:space="preserve">      Project Schedule</t>
  </si>
  <si>
    <t>Tue 10/15/13</t>
  </si>
  <si>
    <t>Wed 10/16/13</t>
  </si>
  <si>
    <t xml:space="preserve">      Kickoff Meeting</t>
  </si>
  <si>
    <t xml:space="preserve">      Engineering Review</t>
  </si>
  <si>
    <t>30 days</t>
  </si>
  <si>
    <t xml:space="preserve">      Design Review</t>
  </si>
  <si>
    <t xml:space="preserve">   Unit Engineering</t>
  </si>
  <si>
    <t>52 days</t>
  </si>
  <si>
    <t>Fri 12/13/13</t>
  </si>
  <si>
    <t xml:space="preserve">      Seal Selection</t>
  </si>
  <si>
    <t>Mon 10/28/13</t>
  </si>
  <si>
    <t xml:space="preserve">      Pump Design</t>
  </si>
  <si>
    <t xml:space="preserve">      Unit Spares</t>
  </si>
  <si>
    <t>Mon 12/2/13</t>
  </si>
  <si>
    <t xml:space="preserve">   Kit Engineering</t>
  </si>
  <si>
    <t>72 days</t>
  </si>
  <si>
    <t>Tue 1/21/14</t>
  </si>
  <si>
    <t xml:space="preserve">      Major Comp. BOM</t>
  </si>
  <si>
    <t>40 days</t>
  </si>
  <si>
    <t>Mon 11/25/13</t>
  </si>
  <si>
    <t xml:space="preserve">         Preliminary</t>
  </si>
  <si>
    <t xml:space="preserve">         Finalize</t>
  </si>
  <si>
    <t>Tue 10/29/13</t>
  </si>
  <si>
    <t xml:space="preserve">      P&amp;ID Rev. A</t>
  </si>
  <si>
    <t>14 days</t>
  </si>
  <si>
    <t>Fri 11/1/13</t>
  </si>
  <si>
    <t>Wed 11/20/13</t>
  </si>
  <si>
    <t>32FS+10 days,50,33</t>
  </si>
  <si>
    <t xml:space="preserve">      P&amp;ID Rev. B</t>
  </si>
  <si>
    <t>Mon 12/9/13</t>
  </si>
  <si>
    <t>31FS+10 days</t>
  </si>
  <si>
    <t xml:space="preserve">      Electrical &amp; Controls Design</t>
  </si>
  <si>
    <t>35 days</t>
  </si>
  <si>
    <t>Thu 11/21/13</t>
  </si>
  <si>
    <t xml:space="preserve">         I/O List</t>
  </si>
  <si>
    <t>Wed 11/27/13</t>
  </si>
  <si>
    <t xml:space="preserve">         Control System Schematic</t>
  </si>
  <si>
    <t xml:space="preserve">         HMI/PCL Programming</t>
  </si>
  <si>
    <t>Mon 12/16/13</t>
  </si>
  <si>
    <t>56FS+2 wks</t>
  </si>
  <si>
    <t xml:space="preserve">   Quality</t>
  </si>
  <si>
    <t>67 days</t>
  </si>
  <si>
    <t>Mon 9/30/13</t>
  </si>
  <si>
    <t>Mon 1/13/14</t>
  </si>
  <si>
    <t xml:space="preserve">      ITP Rev. A</t>
  </si>
  <si>
    <t>Fri 10/4/13</t>
  </si>
  <si>
    <t>39FS+2 wks</t>
  </si>
  <si>
    <t xml:space="preserve">      ITP Rev. B</t>
  </si>
  <si>
    <t>Wed 10/23/13</t>
  </si>
  <si>
    <t>38FS+2 wks</t>
  </si>
  <si>
    <t>40FS+8 wks</t>
  </si>
  <si>
    <t xml:space="preserve">      OP 20/40</t>
  </si>
  <si>
    <t>39FS+8 wks</t>
  </si>
  <si>
    <t xml:space="preserve">   Manufacturing Engineering</t>
  </si>
  <si>
    <t>5 days</t>
  </si>
  <si>
    <t>Mon 2/10/14</t>
  </si>
  <si>
    <t xml:space="preserve">      Release Unit &amp; Kit</t>
  </si>
  <si>
    <t>Documentation</t>
  </si>
  <si>
    <t>190 days</t>
  </si>
  <si>
    <t>Fri 10/18/13</t>
  </si>
  <si>
    <t xml:space="preserve">   Submittal 1</t>
  </si>
  <si>
    <t>Thu 10/31/13</t>
  </si>
  <si>
    <t>45FS+2 wks</t>
  </si>
  <si>
    <t xml:space="preserve">   Submittal 2</t>
  </si>
  <si>
    <t>Fri 11/15/13</t>
  </si>
  <si>
    <t>44FS+2 wks</t>
  </si>
  <si>
    <t>46FS+2 wks</t>
  </si>
  <si>
    <t xml:space="preserve">   Submittal 3</t>
  </si>
  <si>
    <t>Tue 12/17/13</t>
  </si>
  <si>
    <t xml:space="preserve">   Final data</t>
  </si>
  <si>
    <t>Customer Dependent</t>
  </si>
  <si>
    <t>93 days</t>
  </si>
  <si>
    <t>Tue 2/18/14</t>
  </si>
  <si>
    <t xml:space="preserve">   Initial Customer Clarifications</t>
  </si>
  <si>
    <t xml:space="preserve">   Review P&amp;ID Rev. A</t>
  </si>
  <si>
    <t xml:space="preserve">   Approve P&amp;ID</t>
  </si>
  <si>
    <t xml:space="preserve">   OU Drawing</t>
  </si>
  <si>
    <t xml:space="preserve">   ITP Submital</t>
  </si>
  <si>
    <t>Fri 10/11/13</t>
  </si>
  <si>
    <t>54FS+2 wks</t>
  </si>
  <si>
    <t xml:space="preserve">   ITP Approval</t>
  </si>
  <si>
    <t>Fri 11/8/13</t>
  </si>
  <si>
    <t>53FS+2 wks</t>
  </si>
  <si>
    <t xml:space="preserve">   Main Motor Initial Data Pkg</t>
  </si>
  <si>
    <t xml:space="preserve">   Approve Control System Design</t>
  </si>
  <si>
    <t>Wed 2/5/14</t>
  </si>
  <si>
    <t>36FS+2 wks</t>
  </si>
  <si>
    <t>Drafting/Design</t>
  </si>
  <si>
    <t>Wed 12/11/13</t>
  </si>
  <si>
    <t xml:space="preserve">   Base - BA</t>
  </si>
  <si>
    <t>10 wks</t>
  </si>
  <si>
    <t xml:space="preserve">   Outline</t>
  </si>
  <si>
    <t>Purchasing</t>
  </si>
  <si>
    <t>136 days</t>
  </si>
  <si>
    <t xml:space="preserve">   Main Motor</t>
  </si>
  <si>
    <t xml:space="preserve">      Vendor Dwgs</t>
  </si>
  <si>
    <t xml:space="preserve">      Manufacturing</t>
  </si>
  <si>
    <t xml:space="preserve">   Buyout Items</t>
  </si>
  <si>
    <t>80 days</t>
  </si>
  <si>
    <t xml:space="preserve">      Lube Oil Motor/Pump</t>
  </si>
  <si>
    <t xml:space="preserve">   Unit Spares</t>
  </si>
  <si>
    <t>Fri 4/11/14</t>
  </si>
  <si>
    <t xml:space="preserve">   Unit Long Leads</t>
  </si>
  <si>
    <t>Tue 11/5/13</t>
  </si>
  <si>
    <t xml:space="preserve">   Kit Long Leads</t>
  </si>
  <si>
    <t>Fri 2/7/14</t>
  </si>
  <si>
    <t xml:space="preserve">   Purchase Base</t>
  </si>
  <si>
    <t xml:space="preserve">   Kit Purchase Parts</t>
  </si>
  <si>
    <t>Fri 3/7/14</t>
  </si>
  <si>
    <t>Manufacturing</t>
  </si>
  <si>
    <t>69 days</t>
  </si>
  <si>
    <t>Mon 3/24/14</t>
  </si>
  <si>
    <t xml:space="preserve">   Machine Unit</t>
  </si>
  <si>
    <t>7 wks</t>
  </si>
  <si>
    <t>Mon 5/12/14</t>
  </si>
  <si>
    <t xml:space="preserve">   Unit Assembly</t>
  </si>
  <si>
    <t>Mon 4/14/14</t>
  </si>
  <si>
    <t xml:space="preserve">   Performance Testing</t>
  </si>
  <si>
    <t>Mon 5/5/14</t>
  </si>
  <si>
    <t>Fri 5/16/14</t>
  </si>
  <si>
    <t xml:space="preserve">   Witness Performance Testing</t>
  </si>
  <si>
    <t>Mon 5/19/14</t>
  </si>
  <si>
    <t>Fri 5/23/14</t>
  </si>
  <si>
    <t xml:space="preserve">   Kit Assembly</t>
  </si>
  <si>
    <t xml:space="preserve">   Witness Surface Inspection</t>
  </si>
  <si>
    <t>Mon 6/23/14</t>
  </si>
  <si>
    <t>Logistics</t>
  </si>
  <si>
    <t>Upcoming Deadlines</t>
  </si>
  <si>
    <t>Upcoming Schedule Items:</t>
  </si>
  <si>
    <t>Name Column</t>
  </si>
  <si>
    <t>Date Column</t>
  </si>
  <si>
    <t>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</si>
</sst>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363636"/>
      <name val="Arial"/>
      <family val="2"/>
    </font>
    <font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u/>
      <sz val="11"/>
      <color theme="1"/>
      <name val="Calibri"/>
      <family val="2"/>
      <scheme val="minor"/>
    </font>
    <font>
      <sz val="10"/>
      <color rgb="FF363636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FE3E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 applyAlignment="1">
      <alignment vertical="center" wrapText="1"/>
    </xf>
    <xf numFmtId="9" fontId="4" fillId="3" borderId="1" xfId="0" applyNumberFormat="1" applyFont="1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9" fontId="5" fillId="3" borderId="1" xfId="0" applyNumberFormat="1" applyFont="1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9" fontId="6" fillId="3" borderId="1" xfId="0" applyNumberFormat="1" applyFont="1" applyFill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NumberFormat="1"/>
    <xf numFmtId="0" fontId="0" fillId="4" borderId="3" xfId="0" applyFill="1" applyBorder="1"/>
    <xf numFmtId="0" fontId="7" fillId="0" borderId="0" xfId="0" applyFont="1"/>
    <xf numFmtId="0" fontId="0" fillId="4" borderId="2" xfId="0" applyFill="1" applyBorder="1"/>
    <xf numFmtId="0" fontId="8" fillId="2" borderId="1" xfId="0" applyFont="1" applyFill="1" applyBorder="1" applyAlignment="1">
      <alignment vertical="center" wrapText="1"/>
    </xf>
    <xf numFmtId="0" fontId="9" fillId="3" borderId="1" xfId="0" applyFont="1" applyFill="1" applyBorder="1" applyAlignment="1">
      <alignment vertical="center" wrapText="1"/>
    </xf>
    <xf numFmtId="9" fontId="9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vertical="center" wrapText="1"/>
    </xf>
    <xf numFmtId="9" fontId="10" fillId="3" borderId="1" xfId="0" applyNumberFormat="1" applyFont="1" applyFill="1" applyBorder="1" applyAlignment="1">
      <alignment vertical="center" wrapText="1"/>
    </xf>
    <xf numFmtId="0" fontId="0" fillId="0" borderId="0" xfId="0" applyFill="1" applyBorder="1"/>
    <xf numFmtId="0" fontId="0" fillId="0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A10" sqref="A10"/>
    </sheetView>
  </sheetViews>
  <sheetFormatPr defaultRowHeight="15" x14ac:dyDescent="0.25"/>
  <cols>
    <col min="1" max="1" width="31.42578125" customWidth="1"/>
    <col min="2" max="2" width="15.42578125" customWidth="1"/>
    <col min="3" max="3" width="13.85546875" customWidth="1"/>
    <col min="7" max="7" width="9.140625" customWidth="1"/>
  </cols>
  <sheetData>
    <row r="1" spans="1:2" x14ac:dyDescent="0.25">
      <c r="A1" s="14" t="s">
        <v>361</v>
      </c>
      <c r="B1" s="14" t="s">
        <v>0</v>
      </c>
    </row>
    <row r="2" spans="1:2" x14ac:dyDescent="0.25">
      <c r="A2" t="str">
        <f>taskName(Calculations!B3,Calculations!$D$3)</f>
        <v xml:space="preserve">         Spares</v>
      </c>
      <c r="B2" t="str">
        <f>taskFinishDate(Calculations!B3,Calculations!$E$3)</f>
        <v>Fri 7/25/14</v>
      </c>
    </row>
    <row r="3" spans="1:2" x14ac:dyDescent="0.25">
      <c r="A3" t="str">
        <f>taskName(Calculations!B4,Calculations!$D$3)</f>
        <v xml:space="preserve">      Spares</v>
      </c>
      <c r="B3" t="str">
        <f>taskFinishDate(Calculations!B4,Calculations!$E$3)</f>
        <v>Mon 7/28/14</v>
      </c>
    </row>
    <row r="4" spans="1:2" x14ac:dyDescent="0.25">
      <c r="A4" t="str">
        <f>taskName(Calculations!B5,Calculations!$D$3)</f>
        <v xml:space="preserve">         Senior Review</v>
      </c>
      <c r="B4" t="str">
        <f>taskFinishDate(Calculations!B5,Calculations!$E$3)</f>
        <v>Fri 8/1/14</v>
      </c>
    </row>
    <row r="5" spans="1:2" x14ac:dyDescent="0.25">
      <c r="A5" t="str">
        <f>taskName(Calculations!B6,Calculations!$D$3)</f>
        <v xml:space="preserve">         Lube Oil Motor/Pump</v>
      </c>
      <c r="B5" t="str">
        <f>taskFinishDate(Calculations!B6,Calculations!$E$3)</f>
        <v>Mon 9/8/14</v>
      </c>
    </row>
    <row r="6" spans="1:2" x14ac:dyDescent="0.25">
      <c r="A6" t="str">
        <f>taskName(Calculations!B7,Calculations!$D$3)</f>
        <v xml:space="preserve">         Control System Panel</v>
      </c>
      <c r="B6" t="str">
        <f>taskFinishDate(Calculations!B7,Calculations!$E$3)</f>
        <v>Mon 9/8/14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8"/>
  <sheetViews>
    <sheetView workbookViewId="0">
      <selection activeCell="B39" sqref="B39"/>
    </sheetView>
  </sheetViews>
  <sheetFormatPr defaultRowHeight="15" x14ac:dyDescent="0.25"/>
  <cols>
    <col min="4" max="4" width="13.7109375" bestFit="1" customWidth="1"/>
    <col min="5" max="5" width="12.42578125" bestFit="1" customWidth="1"/>
  </cols>
  <sheetData>
    <row r="1" spans="1:5" x14ac:dyDescent="0.25">
      <c r="A1" s="14" t="s">
        <v>362</v>
      </c>
    </row>
    <row r="2" spans="1:5" ht="15.75" thickBot="1" x14ac:dyDescent="0.3">
      <c r="A2" s="14"/>
      <c r="B2" t="s">
        <v>365</v>
      </c>
      <c r="D2" t="s">
        <v>363</v>
      </c>
      <c r="E2" t="s">
        <v>364</v>
      </c>
    </row>
    <row r="3" spans="1:5" ht="16.5" thickTop="1" thickBot="1" x14ac:dyDescent="0.3">
      <c r="A3">
        <v>0</v>
      </c>
      <c r="B3" s="13">
        <f>getRow(A3)</f>
        <v>19</v>
      </c>
      <c r="C3" s="22"/>
      <c r="D3" s="15">
        <f>getNameColumn()</f>
        <v>2</v>
      </c>
      <c r="E3" s="15">
        <f>getFinishDateColumn()</f>
        <v>5</v>
      </c>
    </row>
    <row r="4" spans="1:5" ht="16.5" thickTop="1" thickBot="1" x14ac:dyDescent="0.3">
      <c r="A4">
        <v>1</v>
      </c>
      <c r="B4" s="13">
        <f t="shared" ref="B4:B7" si="0">getRow(A4)</f>
        <v>45</v>
      </c>
      <c r="C4" s="21"/>
      <c r="D4" s="21"/>
      <c r="E4" s="21"/>
    </row>
    <row r="5" spans="1:5" ht="16.5" thickTop="1" thickBot="1" x14ac:dyDescent="0.3">
      <c r="A5">
        <v>2</v>
      </c>
      <c r="B5" s="13">
        <f t="shared" si="0"/>
        <v>14</v>
      </c>
      <c r="C5" s="21"/>
      <c r="D5" s="21"/>
      <c r="E5" s="21"/>
    </row>
    <row r="6" spans="1:5" ht="16.5" thickTop="1" thickBot="1" x14ac:dyDescent="0.3">
      <c r="A6">
        <v>3</v>
      </c>
      <c r="B6" s="13">
        <f t="shared" si="0"/>
        <v>42</v>
      </c>
      <c r="C6" s="21"/>
      <c r="D6" s="21"/>
      <c r="E6" s="21"/>
    </row>
    <row r="7" spans="1:5" ht="16.5" thickTop="1" thickBot="1" x14ac:dyDescent="0.3">
      <c r="A7">
        <v>4</v>
      </c>
      <c r="B7" s="15">
        <f t="shared" si="0"/>
        <v>44</v>
      </c>
      <c r="C7" s="21"/>
      <c r="D7" s="21"/>
      <c r="E7" s="21"/>
    </row>
    <row r="8" spans="1:5" ht="15.75" thickTop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80"/>
  <sheetViews>
    <sheetView topLeftCell="A7" workbookViewId="0">
      <selection activeCell="O17" sqref="O17"/>
    </sheetView>
  </sheetViews>
  <sheetFormatPr defaultRowHeight="15" x14ac:dyDescent="0.25"/>
  <cols>
    <col min="3" max="3" width="13.5703125" customWidth="1"/>
    <col min="7" max="7" width="14.140625" customWidth="1"/>
    <col min="12" max="12" width="10.7109375" bestFit="1" customWidth="1"/>
    <col min="13" max="13" width="9.7109375" bestFit="1" customWidth="1"/>
    <col min="15" max="15" width="9.7109375" bestFit="1" customWidth="1"/>
  </cols>
  <sheetData>
    <row r="1" spans="2:15" ht="25.5" x14ac:dyDescent="0.25">
      <c r="B1" s="16" t="s">
        <v>193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1</v>
      </c>
      <c r="J1" s="16" t="s">
        <v>194</v>
      </c>
    </row>
    <row r="2" spans="2:15" ht="45" x14ac:dyDescent="0.25">
      <c r="B2" s="17" t="s">
        <v>195</v>
      </c>
      <c r="C2" s="17" t="s">
        <v>196</v>
      </c>
      <c r="D2" s="17" t="s">
        <v>197</v>
      </c>
      <c r="E2" s="17" t="s">
        <v>198</v>
      </c>
      <c r="F2" s="17" t="s">
        <v>199</v>
      </c>
      <c r="G2" s="3"/>
      <c r="H2" s="3"/>
      <c r="I2" s="18">
        <v>0.62</v>
      </c>
      <c r="J2" s="3"/>
    </row>
    <row r="3" spans="2:15" ht="45" x14ac:dyDescent="0.25">
      <c r="B3" s="19" t="s">
        <v>195</v>
      </c>
      <c r="C3" s="19" t="s">
        <v>200</v>
      </c>
      <c r="D3" s="19" t="s">
        <v>201</v>
      </c>
      <c r="E3" s="19" t="s">
        <v>198</v>
      </c>
      <c r="F3" s="19" t="s">
        <v>198</v>
      </c>
      <c r="G3" s="3"/>
      <c r="H3" s="3"/>
      <c r="I3" s="20">
        <v>1</v>
      </c>
      <c r="J3" s="3"/>
      <c r="L3" s="11"/>
    </row>
    <row r="4" spans="2:15" ht="45" x14ac:dyDescent="0.25">
      <c r="B4" s="19" t="s">
        <v>195</v>
      </c>
      <c r="C4" s="19" t="s">
        <v>202</v>
      </c>
      <c r="D4" s="19" t="s">
        <v>201</v>
      </c>
      <c r="E4" s="19" t="s">
        <v>203</v>
      </c>
      <c r="F4" s="19" t="s">
        <v>203</v>
      </c>
      <c r="G4" s="3"/>
      <c r="H4" s="3"/>
      <c r="I4" s="20">
        <v>1</v>
      </c>
      <c r="J4" s="3"/>
      <c r="L4" s="12"/>
    </row>
    <row r="5" spans="2:15" ht="45" x14ac:dyDescent="0.25">
      <c r="B5" s="19" t="s">
        <v>195</v>
      </c>
      <c r="C5" s="19" t="s">
        <v>204</v>
      </c>
      <c r="D5" s="19" t="s">
        <v>201</v>
      </c>
      <c r="E5" s="19" t="s">
        <v>205</v>
      </c>
      <c r="F5" s="19" t="s">
        <v>205</v>
      </c>
      <c r="G5" s="3"/>
      <c r="H5" s="3"/>
      <c r="I5" s="20">
        <v>1</v>
      </c>
      <c r="J5" s="3"/>
      <c r="L5" s="12"/>
      <c r="O5" s="12"/>
    </row>
    <row r="6" spans="2:15" ht="45" x14ac:dyDescent="0.25">
      <c r="B6" s="19" t="s">
        <v>195</v>
      </c>
      <c r="C6" s="19" t="s">
        <v>206</v>
      </c>
      <c r="D6" s="19" t="s">
        <v>201</v>
      </c>
      <c r="E6" s="19" t="s">
        <v>207</v>
      </c>
      <c r="F6" s="19" t="s">
        <v>207</v>
      </c>
      <c r="G6" s="3"/>
      <c r="H6" s="3"/>
      <c r="I6" s="20">
        <v>0.7</v>
      </c>
      <c r="J6" s="3"/>
      <c r="L6" s="12"/>
      <c r="M6" s="12"/>
    </row>
    <row r="7" spans="2:15" ht="45" x14ac:dyDescent="0.25">
      <c r="B7" s="19" t="s">
        <v>195</v>
      </c>
      <c r="C7" s="19" t="s">
        <v>208</v>
      </c>
      <c r="D7" s="19" t="s">
        <v>201</v>
      </c>
      <c r="E7" s="19" t="s">
        <v>209</v>
      </c>
      <c r="F7" s="19" t="s">
        <v>209</v>
      </c>
      <c r="G7" s="3"/>
      <c r="H7" s="3"/>
      <c r="I7" s="20">
        <v>0</v>
      </c>
      <c r="J7" s="3"/>
      <c r="L7" s="12"/>
    </row>
    <row r="8" spans="2:15" ht="45" x14ac:dyDescent="0.25">
      <c r="B8" s="19" t="s">
        <v>195</v>
      </c>
      <c r="C8" s="19" t="s">
        <v>210</v>
      </c>
      <c r="D8" s="19" t="s">
        <v>201</v>
      </c>
      <c r="E8" s="19" t="s">
        <v>199</v>
      </c>
      <c r="F8" s="19" t="s">
        <v>199</v>
      </c>
      <c r="G8" s="3"/>
      <c r="H8" s="3"/>
      <c r="I8" s="20">
        <v>0</v>
      </c>
      <c r="J8" s="3"/>
      <c r="L8" s="12"/>
    </row>
    <row r="9" spans="2:15" ht="45" x14ac:dyDescent="0.25">
      <c r="B9" s="17" t="s">
        <v>195</v>
      </c>
      <c r="C9" s="17" t="s">
        <v>211</v>
      </c>
      <c r="D9" s="17" t="s">
        <v>212</v>
      </c>
      <c r="E9" s="17" t="s">
        <v>198</v>
      </c>
      <c r="F9" s="17" t="s">
        <v>139</v>
      </c>
      <c r="G9" s="3"/>
      <c r="H9" s="3"/>
      <c r="I9" s="18">
        <v>0.44</v>
      </c>
      <c r="J9" s="3"/>
      <c r="L9" s="12"/>
    </row>
    <row r="10" spans="2:15" ht="45" x14ac:dyDescent="0.25">
      <c r="B10" s="19" t="s">
        <v>195</v>
      </c>
      <c r="C10" s="19" t="s">
        <v>213</v>
      </c>
      <c r="D10" s="19" t="s">
        <v>201</v>
      </c>
      <c r="E10" s="19" t="s">
        <v>198</v>
      </c>
      <c r="F10" s="19" t="s">
        <v>198</v>
      </c>
      <c r="G10" s="3"/>
      <c r="H10" s="3"/>
      <c r="I10" s="20">
        <v>1</v>
      </c>
      <c r="J10" s="3"/>
    </row>
    <row r="11" spans="2:15" ht="45" x14ac:dyDescent="0.25">
      <c r="B11" s="19" t="s">
        <v>195</v>
      </c>
      <c r="C11" s="19" t="s">
        <v>214</v>
      </c>
      <c r="D11" s="19" t="s">
        <v>201</v>
      </c>
      <c r="E11" s="19" t="s">
        <v>205</v>
      </c>
      <c r="F11" s="19" t="s">
        <v>205</v>
      </c>
      <c r="G11" s="3"/>
      <c r="H11" s="3"/>
      <c r="I11" s="20">
        <v>0.75</v>
      </c>
      <c r="J11" s="3"/>
    </row>
    <row r="12" spans="2:15" ht="60" x14ac:dyDescent="0.25">
      <c r="B12" s="19" t="s">
        <v>195</v>
      </c>
      <c r="C12" s="19" t="s">
        <v>215</v>
      </c>
      <c r="D12" s="19" t="s">
        <v>13</v>
      </c>
      <c r="E12" s="19" t="s">
        <v>216</v>
      </c>
      <c r="F12" s="19" t="s">
        <v>216</v>
      </c>
      <c r="G12" s="3"/>
      <c r="H12" s="19" t="s">
        <v>217</v>
      </c>
      <c r="I12" s="20">
        <v>0.9</v>
      </c>
      <c r="J12" s="3"/>
      <c r="L12" s="12"/>
    </row>
    <row r="13" spans="2:15" ht="60" x14ac:dyDescent="0.25">
      <c r="B13" s="19" t="s">
        <v>195</v>
      </c>
      <c r="C13" s="19" t="s">
        <v>218</v>
      </c>
      <c r="D13" s="19" t="s">
        <v>13</v>
      </c>
      <c r="E13" s="19" t="s">
        <v>219</v>
      </c>
      <c r="F13" s="19" t="s">
        <v>219</v>
      </c>
      <c r="G13" s="19" t="s">
        <v>220</v>
      </c>
      <c r="H13" s="3"/>
      <c r="I13" s="20">
        <v>0.5</v>
      </c>
      <c r="J13" s="3"/>
    </row>
    <row r="14" spans="2:15" ht="45" x14ac:dyDescent="0.25">
      <c r="B14" s="19" t="s">
        <v>195</v>
      </c>
      <c r="C14" s="19" t="s">
        <v>221</v>
      </c>
      <c r="D14" s="19" t="s">
        <v>201</v>
      </c>
      <c r="E14" s="19" t="s">
        <v>199</v>
      </c>
      <c r="F14" s="19" t="s">
        <v>199</v>
      </c>
      <c r="G14" s="3"/>
      <c r="H14" s="3"/>
      <c r="I14" s="20">
        <v>0</v>
      </c>
      <c r="J14" s="3"/>
    </row>
    <row r="15" spans="2:15" ht="45" x14ac:dyDescent="0.25">
      <c r="B15" s="19" t="s">
        <v>195</v>
      </c>
      <c r="C15" s="19" t="s">
        <v>222</v>
      </c>
      <c r="D15" s="19" t="s">
        <v>201</v>
      </c>
      <c r="E15" s="19" t="s">
        <v>199</v>
      </c>
      <c r="F15" s="19" t="s">
        <v>199</v>
      </c>
      <c r="G15" s="3"/>
      <c r="H15" s="3"/>
      <c r="I15" s="20">
        <v>0</v>
      </c>
      <c r="J15" s="3"/>
    </row>
    <row r="16" spans="2:15" ht="45" x14ac:dyDescent="0.25">
      <c r="B16" s="19" t="s">
        <v>195</v>
      </c>
      <c r="C16" s="19" t="s">
        <v>223</v>
      </c>
      <c r="D16" s="19" t="s">
        <v>13</v>
      </c>
      <c r="E16" s="19" t="s">
        <v>139</v>
      </c>
      <c r="F16" s="19" t="s">
        <v>139</v>
      </c>
      <c r="G16" s="3"/>
      <c r="H16" s="3"/>
      <c r="I16" s="20">
        <v>0</v>
      </c>
      <c r="J16" s="3"/>
    </row>
    <row r="17" spans="2:10" ht="45" x14ac:dyDescent="0.25">
      <c r="B17" s="17" t="s">
        <v>195</v>
      </c>
      <c r="C17" s="17" t="s">
        <v>224</v>
      </c>
      <c r="D17" s="17" t="s">
        <v>225</v>
      </c>
      <c r="E17" s="17" t="s">
        <v>226</v>
      </c>
      <c r="F17" s="17" t="s">
        <v>227</v>
      </c>
      <c r="G17" s="3"/>
      <c r="H17" s="3"/>
      <c r="I17" s="18">
        <v>0.68</v>
      </c>
      <c r="J17" s="3"/>
    </row>
    <row r="18" spans="2:10" ht="45" x14ac:dyDescent="0.25">
      <c r="B18" s="17" t="s">
        <v>195</v>
      </c>
      <c r="C18" s="17" t="s">
        <v>228</v>
      </c>
      <c r="D18" s="17" t="s">
        <v>229</v>
      </c>
      <c r="E18" s="17" t="s">
        <v>226</v>
      </c>
      <c r="F18" s="17" t="s">
        <v>230</v>
      </c>
      <c r="G18" s="3"/>
      <c r="H18" s="3"/>
      <c r="I18" s="18">
        <v>1</v>
      </c>
      <c r="J18" s="3"/>
    </row>
    <row r="19" spans="2:10" ht="45" x14ac:dyDescent="0.25">
      <c r="B19" s="19" t="s">
        <v>195</v>
      </c>
      <c r="C19" s="19" t="s">
        <v>231</v>
      </c>
      <c r="D19" s="19" t="s">
        <v>149</v>
      </c>
      <c r="E19" s="19" t="s">
        <v>232</v>
      </c>
      <c r="F19" s="19" t="s">
        <v>205</v>
      </c>
      <c r="G19" s="3"/>
      <c r="H19" s="3"/>
      <c r="I19" s="20">
        <v>1</v>
      </c>
      <c r="J19" s="3"/>
    </row>
    <row r="20" spans="2:10" ht="45" x14ac:dyDescent="0.25">
      <c r="B20" s="19" t="s">
        <v>195</v>
      </c>
      <c r="C20" s="19" t="s">
        <v>233</v>
      </c>
      <c r="D20" s="19" t="s">
        <v>190</v>
      </c>
      <c r="E20" s="19" t="s">
        <v>234</v>
      </c>
      <c r="F20" s="19" t="s">
        <v>235</v>
      </c>
      <c r="G20" s="3"/>
      <c r="H20" s="3"/>
      <c r="I20" s="20">
        <v>1</v>
      </c>
      <c r="J20" s="3"/>
    </row>
    <row r="21" spans="2:10" ht="45" x14ac:dyDescent="0.25">
      <c r="B21" s="19" t="s">
        <v>195</v>
      </c>
      <c r="C21" s="19" t="s">
        <v>236</v>
      </c>
      <c r="D21" s="19" t="s">
        <v>201</v>
      </c>
      <c r="E21" s="19" t="s">
        <v>226</v>
      </c>
      <c r="F21" s="19" t="s">
        <v>226</v>
      </c>
      <c r="G21" s="3"/>
      <c r="H21" s="3"/>
      <c r="I21" s="20">
        <v>1</v>
      </c>
      <c r="J21" s="3"/>
    </row>
    <row r="22" spans="2:10" ht="45" x14ac:dyDescent="0.25">
      <c r="B22" s="19" t="s">
        <v>195</v>
      </c>
      <c r="C22" s="19" t="s">
        <v>237</v>
      </c>
      <c r="D22" s="19" t="s">
        <v>238</v>
      </c>
      <c r="E22" s="19" t="s">
        <v>232</v>
      </c>
      <c r="F22" s="19" t="s">
        <v>230</v>
      </c>
      <c r="G22" s="3"/>
      <c r="H22" s="3"/>
      <c r="I22" s="20">
        <v>1</v>
      </c>
      <c r="J22" s="3"/>
    </row>
    <row r="23" spans="2:10" ht="45" x14ac:dyDescent="0.25">
      <c r="B23" s="19" t="s">
        <v>195</v>
      </c>
      <c r="C23" s="19" t="s">
        <v>239</v>
      </c>
      <c r="D23" s="19" t="s">
        <v>238</v>
      </c>
      <c r="E23" s="19" t="s">
        <v>232</v>
      </c>
      <c r="F23" s="19" t="s">
        <v>230</v>
      </c>
      <c r="G23" s="3"/>
      <c r="H23" s="3"/>
      <c r="I23" s="20">
        <v>1</v>
      </c>
      <c r="J23" s="3"/>
    </row>
    <row r="24" spans="2:10" ht="45" x14ac:dyDescent="0.25">
      <c r="B24" s="17" t="s">
        <v>195</v>
      </c>
      <c r="C24" s="17" t="s">
        <v>240</v>
      </c>
      <c r="D24" s="17" t="s">
        <v>241</v>
      </c>
      <c r="E24" s="17" t="s">
        <v>232</v>
      </c>
      <c r="F24" s="17" t="s">
        <v>242</v>
      </c>
      <c r="G24" s="3"/>
      <c r="H24" s="3"/>
      <c r="I24" s="18">
        <v>0.8</v>
      </c>
      <c r="J24" s="3"/>
    </row>
    <row r="25" spans="2:10" ht="45" x14ac:dyDescent="0.25">
      <c r="B25" s="19" t="s">
        <v>195</v>
      </c>
      <c r="C25" s="19" t="s">
        <v>243</v>
      </c>
      <c r="D25" s="19" t="s">
        <v>96</v>
      </c>
      <c r="E25" s="19" t="s">
        <v>232</v>
      </c>
      <c r="F25" s="19" t="s">
        <v>244</v>
      </c>
      <c r="G25" s="3"/>
      <c r="H25" s="3"/>
      <c r="I25" s="20">
        <v>1</v>
      </c>
      <c r="J25" s="3"/>
    </row>
    <row r="26" spans="2:10" ht="45" x14ac:dyDescent="0.25">
      <c r="B26" s="19" t="s">
        <v>195</v>
      </c>
      <c r="C26" s="19" t="s">
        <v>245</v>
      </c>
      <c r="D26" s="19" t="s">
        <v>96</v>
      </c>
      <c r="E26" s="19" t="s">
        <v>232</v>
      </c>
      <c r="F26" s="19" t="s">
        <v>244</v>
      </c>
      <c r="G26" s="3"/>
      <c r="H26" s="3"/>
      <c r="I26" s="20">
        <v>1</v>
      </c>
      <c r="J26" s="3"/>
    </row>
    <row r="27" spans="2:10" ht="45" x14ac:dyDescent="0.25">
      <c r="B27" s="19" t="s">
        <v>195</v>
      </c>
      <c r="C27" s="19" t="s">
        <v>246</v>
      </c>
      <c r="D27" s="19" t="s">
        <v>105</v>
      </c>
      <c r="E27" s="19" t="s">
        <v>247</v>
      </c>
      <c r="F27" s="19" t="s">
        <v>242</v>
      </c>
      <c r="G27" s="3"/>
      <c r="H27" s="3"/>
      <c r="I27" s="20">
        <v>0</v>
      </c>
      <c r="J27" s="3"/>
    </row>
    <row r="28" spans="2:10" ht="45" x14ac:dyDescent="0.25">
      <c r="B28" s="17" t="s">
        <v>195</v>
      </c>
      <c r="C28" s="17" t="s">
        <v>248</v>
      </c>
      <c r="D28" s="17" t="s">
        <v>249</v>
      </c>
      <c r="E28" s="17" t="s">
        <v>232</v>
      </c>
      <c r="F28" s="17" t="s">
        <v>250</v>
      </c>
      <c r="G28" s="3"/>
      <c r="H28" s="3"/>
      <c r="I28" s="18">
        <v>0.4</v>
      </c>
      <c r="J28" s="3"/>
    </row>
    <row r="29" spans="2:10" ht="45" x14ac:dyDescent="0.25">
      <c r="B29" s="17" t="s">
        <v>195</v>
      </c>
      <c r="C29" s="17" t="s">
        <v>251</v>
      </c>
      <c r="D29" s="17" t="s">
        <v>252</v>
      </c>
      <c r="E29" s="17" t="s">
        <v>232</v>
      </c>
      <c r="F29" s="17" t="s">
        <v>253</v>
      </c>
      <c r="G29" s="3"/>
      <c r="H29" s="3"/>
      <c r="I29" s="18">
        <v>0.45</v>
      </c>
      <c r="J29" s="3"/>
    </row>
    <row r="30" spans="2:10" ht="45" x14ac:dyDescent="0.25">
      <c r="B30" s="19" t="s">
        <v>195</v>
      </c>
      <c r="C30" s="19" t="s">
        <v>254</v>
      </c>
      <c r="D30" s="19" t="s">
        <v>96</v>
      </c>
      <c r="E30" s="19" t="s">
        <v>232</v>
      </c>
      <c r="F30" s="19" t="s">
        <v>244</v>
      </c>
      <c r="G30" s="3"/>
      <c r="H30" s="19">
        <v>30</v>
      </c>
      <c r="I30" s="20">
        <v>0.9</v>
      </c>
      <c r="J30" s="3"/>
    </row>
    <row r="31" spans="2:10" ht="45" x14ac:dyDescent="0.25">
      <c r="B31" s="19" t="s">
        <v>195</v>
      </c>
      <c r="C31" s="19" t="s">
        <v>255</v>
      </c>
      <c r="D31" s="19" t="s">
        <v>96</v>
      </c>
      <c r="E31" s="19" t="s">
        <v>256</v>
      </c>
      <c r="F31" s="19" t="s">
        <v>253</v>
      </c>
      <c r="G31" s="19">
        <v>29</v>
      </c>
      <c r="H31" s="3"/>
      <c r="I31" s="20">
        <v>0</v>
      </c>
      <c r="J31" s="3"/>
    </row>
    <row r="32" spans="2:10" ht="45" x14ac:dyDescent="0.25">
      <c r="B32" s="19" t="s">
        <v>195</v>
      </c>
      <c r="C32" s="19" t="s">
        <v>257</v>
      </c>
      <c r="D32" s="19" t="s">
        <v>258</v>
      </c>
      <c r="E32" s="19" t="s">
        <v>259</v>
      </c>
      <c r="F32" s="19" t="s">
        <v>260</v>
      </c>
      <c r="G32" s="3"/>
      <c r="H32" s="19" t="s">
        <v>261</v>
      </c>
      <c r="I32" s="20">
        <v>1</v>
      </c>
      <c r="J32" s="3"/>
    </row>
    <row r="33" spans="2:10" ht="45" x14ac:dyDescent="0.25">
      <c r="B33" s="19" t="s">
        <v>195</v>
      </c>
      <c r="C33" s="19" t="s">
        <v>262</v>
      </c>
      <c r="D33" s="19" t="s">
        <v>162</v>
      </c>
      <c r="E33" s="19" t="s">
        <v>263</v>
      </c>
      <c r="F33" s="19" t="s">
        <v>242</v>
      </c>
      <c r="G33" s="19" t="s">
        <v>264</v>
      </c>
      <c r="H33" s="3"/>
      <c r="I33" s="20">
        <v>1</v>
      </c>
      <c r="J33" s="3"/>
    </row>
    <row r="34" spans="2:10" ht="45" x14ac:dyDescent="0.25">
      <c r="B34" s="17" t="s">
        <v>195</v>
      </c>
      <c r="C34" s="17" t="s">
        <v>265</v>
      </c>
      <c r="D34" s="17" t="s">
        <v>266</v>
      </c>
      <c r="E34" s="17" t="s">
        <v>267</v>
      </c>
      <c r="F34" s="17" t="s">
        <v>250</v>
      </c>
      <c r="G34" s="17">
        <v>31</v>
      </c>
      <c r="H34" s="3"/>
      <c r="I34" s="18">
        <v>0.06</v>
      </c>
      <c r="J34" s="3"/>
    </row>
    <row r="35" spans="2:10" ht="45" x14ac:dyDescent="0.25">
      <c r="B35" s="19" t="s">
        <v>195</v>
      </c>
      <c r="C35" s="19" t="s">
        <v>268</v>
      </c>
      <c r="D35" s="19" t="s">
        <v>162</v>
      </c>
      <c r="E35" s="19" t="s">
        <v>267</v>
      </c>
      <c r="F35" s="19" t="s">
        <v>269</v>
      </c>
      <c r="G35" s="3"/>
      <c r="H35" s="3"/>
      <c r="I35" s="20">
        <v>0.5</v>
      </c>
      <c r="J35" s="3"/>
    </row>
    <row r="36" spans="2:10" ht="45" x14ac:dyDescent="0.25">
      <c r="B36" s="19" t="s">
        <v>195</v>
      </c>
      <c r="C36" s="19" t="s">
        <v>270</v>
      </c>
      <c r="D36" s="19" t="s">
        <v>149</v>
      </c>
      <c r="E36" s="19" t="s">
        <v>267</v>
      </c>
      <c r="F36" s="19" t="s">
        <v>242</v>
      </c>
      <c r="G36" s="3"/>
      <c r="H36" s="19">
        <v>36</v>
      </c>
      <c r="I36" s="20">
        <v>0</v>
      </c>
      <c r="J36" s="3"/>
    </row>
    <row r="37" spans="2:10" ht="45" x14ac:dyDescent="0.25">
      <c r="B37" s="19" t="s">
        <v>195</v>
      </c>
      <c r="C37" s="19" t="s">
        <v>271</v>
      </c>
      <c r="D37" s="19" t="s">
        <v>96</v>
      </c>
      <c r="E37" s="19" t="s">
        <v>272</v>
      </c>
      <c r="F37" s="19" t="s">
        <v>250</v>
      </c>
      <c r="G37" s="19">
        <v>35</v>
      </c>
      <c r="H37" s="19" t="s">
        <v>273</v>
      </c>
      <c r="I37" s="20">
        <v>0</v>
      </c>
      <c r="J37" s="3"/>
    </row>
    <row r="38" spans="2:10" ht="45" x14ac:dyDescent="0.25">
      <c r="B38" s="17" t="s">
        <v>195</v>
      </c>
      <c r="C38" s="17" t="s">
        <v>274</v>
      </c>
      <c r="D38" s="17" t="s">
        <v>275</v>
      </c>
      <c r="E38" s="17" t="s">
        <v>276</v>
      </c>
      <c r="F38" s="17" t="s">
        <v>277</v>
      </c>
      <c r="G38" s="3"/>
      <c r="H38" s="3"/>
      <c r="I38" s="18">
        <v>0.67</v>
      </c>
      <c r="J38" s="3"/>
    </row>
    <row r="39" spans="2:10" ht="45" x14ac:dyDescent="0.25">
      <c r="B39" s="19" t="s">
        <v>195</v>
      </c>
      <c r="C39" s="19" t="s">
        <v>278</v>
      </c>
      <c r="D39" s="19" t="s">
        <v>162</v>
      </c>
      <c r="E39" s="19" t="s">
        <v>276</v>
      </c>
      <c r="F39" s="19" t="s">
        <v>279</v>
      </c>
      <c r="G39" s="3"/>
      <c r="H39" s="19" t="s">
        <v>280</v>
      </c>
      <c r="I39" s="20">
        <v>1</v>
      </c>
      <c r="J39" s="3"/>
    </row>
    <row r="40" spans="2:10" ht="45" x14ac:dyDescent="0.25">
      <c r="B40" s="19" t="s">
        <v>195</v>
      </c>
      <c r="C40" s="19" t="s">
        <v>281</v>
      </c>
      <c r="D40" s="19" t="s">
        <v>162</v>
      </c>
      <c r="E40" s="19" t="s">
        <v>282</v>
      </c>
      <c r="F40" s="19" t="s">
        <v>256</v>
      </c>
      <c r="G40" s="19" t="s">
        <v>283</v>
      </c>
      <c r="H40" s="19" t="s">
        <v>284</v>
      </c>
      <c r="I40" s="20">
        <v>1</v>
      </c>
      <c r="J40" s="3"/>
    </row>
    <row r="41" spans="2:10" ht="45" x14ac:dyDescent="0.25">
      <c r="B41" s="19" t="s">
        <v>195</v>
      </c>
      <c r="C41" s="19" t="s">
        <v>285</v>
      </c>
      <c r="D41" s="19" t="s">
        <v>162</v>
      </c>
      <c r="E41" s="19" t="s">
        <v>79</v>
      </c>
      <c r="F41" s="19" t="s">
        <v>277</v>
      </c>
      <c r="G41" s="19" t="s">
        <v>286</v>
      </c>
      <c r="H41" s="19">
        <v>41</v>
      </c>
      <c r="I41" s="20">
        <v>0</v>
      </c>
      <c r="J41" s="3"/>
    </row>
    <row r="42" spans="2:10" ht="45" x14ac:dyDescent="0.25">
      <c r="B42" s="17" t="s">
        <v>195</v>
      </c>
      <c r="C42" s="17" t="s">
        <v>287</v>
      </c>
      <c r="D42" s="17" t="s">
        <v>288</v>
      </c>
      <c r="E42" s="17" t="s">
        <v>289</v>
      </c>
      <c r="F42" s="17" t="s">
        <v>227</v>
      </c>
      <c r="G42" s="17">
        <v>40</v>
      </c>
      <c r="H42" s="3"/>
      <c r="I42" s="18">
        <v>0</v>
      </c>
      <c r="J42" s="3"/>
    </row>
    <row r="43" spans="2:10" ht="45" x14ac:dyDescent="0.25">
      <c r="B43" s="19" t="s">
        <v>195</v>
      </c>
      <c r="C43" s="19" t="s">
        <v>290</v>
      </c>
      <c r="D43" s="19" t="s">
        <v>162</v>
      </c>
      <c r="E43" s="19" t="s">
        <v>289</v>
      </c>
      <c r="F43" s="19" t="s">
        <v>227</v>
      </c>
      <c r="G43" s="3"/>
      <c r="H43" s="3"/>
      <c r="I43" s="20">
        <v>0</v>
      </c>
      <c r="J43" s="3"/>
    </row>
    <row r="44" spans="2:10" ht="45" x14ac:dyDescent="0.25">
      <c r="B44" s="17" t="s">
        <v>195</v>
      </c>
      <c r="C44" s="17" t="s">
        <v>291</v>
      </c>
      <c r="D44" s="17" t="s">
        <v>292</v>
      </c>
      <c r="E44" s="17" t="s">
        <v>293</v>
      </c>
      <c r="F44" s="17" t="s">
        <v>139</v>
      </c>
      <c r="G44" s="3"/>
      <c r="H44" s="3"/>
      <c r="I44" s="18">
        <v>0.4</v>
      </c>
      <c r="J44" s="3"/>
    </row>
    <row r="45" spans="2:10" ht="45" x14ac:dyDescent="0.25">
      <c r="B45" s="19" t="s">
        <v>195</v>
      </c>
      <c r="C45" s="19" t="s">
        <v>294</v>
      </c>
      <c r="D45" s="19" t="s">
        <v>105</v>
      </c>
      <c r="E45" s="19" t="s">
        <v>293</v>
      </c>
      <c r="F45" s="19" t="s">
        <v>295</v>
      </c>
      <c r="G45" s="3"/>
      <c r="H45" s="19" t="s">
        <v>296</v>
      </c>
      <c r="I45" s="20">
        <v>1</v>
      </c>
      <c r="J45" s="3"/>
    </row>
    <row r="46" spans="2:10" ht="45" x14ac:dyDescent="0.25">
      <c r="B46" s="19" t="s">
        <v>195</v>
      </c>
      <c r="C46" s="19" t="s">
        <v>297</v>
      </c>
      <c r="D46" s="19" t="s">
        <v>105</v>
      </c>
      <c r="E46" s="19" t="s">
        <v>298</v>
      </c>
      <c r="F46" s="19" t="s">
        <v>247</v>
      </c>
      <c r="G46" s="19" t="s">
        <v>299</v>
      </c>
      <c r="H46" s="19" t="s">
        <v>300</v>
      </c>
      <c r="I46" s="20">
        <v>1</v>
      </c>
      <c r="J46" s="3"/>
    </row>
    <row r="47" spans="2:10" ht="45" x14ac:dyDescent="0.25">
      <c r="B47" s="19" t="s">
        <v>195</v>
      </c>
      <c r="C47" s="19" t="s">
        <v>301</v>
      </c>
      <c r="D47" s="19" t="s">
        <v>105</v>
      </c>
      <c r="E47" s="19" t="s">
        <v>302</v>
      </c>
      <c r="F47" s="19" t="s">
        <v>103</v>
      </c>
      <c r="G47" s="19" t="s">
        <v>296</v>
      </c>
      <c r="H47" s="3"/>
      <c r="I47" s="20">
        <v>0</v>
      </c>
      <c r="J47" s="3"/>
    </row>
    <row r="48" spans="2:10" ht="45" x14ac:dyDescent="0.25">
      <c r="B48" s="19" t="s">
        <v>195</v>
      </c>
      <c r="C48" s="19" t="s">
        <v>303</v>
      </c>
      <c r="D48" s="19" t="s">
        <v>96</v>
      </c>
      <c r="E48" s="19" t="s">
        <v>199</v>
      </c>
      <c r="F48" s="19" t="s">
        <v>139</v>
      </c>
      <c r="G48" s="3"/>
      <c r="H48" s="3"/>
      <c r="I48" s="20">
        <v>0</v>
      </c>
      <c r="J48" s="3"/>
    </row>
    <row r="49" spans="2:10" ht="45" x14ac:dyDescent="0.25">
      <c r="B49" s="17" t="s">
        <v>195</v>
      </c>
      <c r="C49" s="17" t="s">
        <v>304</v>
      </c>
      <c r="D49" s="17" t="s">
        <v>305</v>
      </c>
      <c r="E49" s="17" t="s">
        <v>276</v>
      </c>
      <c r="F49" s="17" t="s">
        <v>306</v>
      </c>
      <c r="G49" s="3"/>
      <c r="H49" s="3"/>
      <c r="I49" s="18">
        <v>0.84</v>
      </c>
      <c r="J49" s="3"/>
    </row>
    <row r="50" spans="2:10" ht="45" x14ac:dyDescent="0.25">
      <c r="B50" s="19" t="s">
        <v>195</v>
      </c>
      <c r="C50" s="19" t="s">
        <v>307</v>
      </c>
      <c r="D50" s="19" t="s">
        <v>39</v>
      </c>
      <c r="E50" s="19" t="s">
        <v>232</v>
      </c>
      <c r="F50" s="19" t="s">
        <v>230</v>
      </c>
      <c r="G50" s="3"/>
      <c r="H50" s="3"/>
      <c r="I50" s="20">
        <v>1</v>
      </c>
      <c r="J50" s="3"/>
    </row>
    <row r="51" spans="2:10" ht="45" x14ac:dyDescent="0.25">
      <c r="B51" s="19" t="s">
        <v>195</v>
      </c>
      <c r="C51" s="19" t="s">
        <v>308</v>
      </c>
      <c r="D51" s="19" t="s">
        <v>162</v>
      </c>
      <c r="E51" s="19" t="s">
        <v>267</v>
      </c>
      <c r="F51" s="19" t="s">
        <v>269</v>
      </c>
      <c r="G51" s="19">
        <v>31</v>
      </c>
      <c r="H51" s="19">
        <v>51</v>
      </c>
      <c r="I51" s="20">
        <v>1</v>
      </c>
      <c r="J51" s="3"/>
    </row>
    <row r="52" spans="2:10" ht="45" x14ac:dyDescent="0.25">
      <c r="B52" s="19" t="s">
        <v>195</v>
      </c>
      <c r="C52" s="19" t="s">
        <v>309</v>
      </c>
      <c r="D52" s="19" t="s">
        <v>162</v>
      </c>
      <c r="E52" s="19" t="s">
        <v>247</v>
      </c>
      <c r="F52" s="19" t="s">
        <v>207</v>
      </c>
      <c r="G52" s="19">
        <v>50</v>
      </c>
      <c r="H52" s="3"/>
      <c r="I52" s="20">
        <v>0</v>
      </c>
      <c r="J52" s="3"/>
    </row>
    <row r="53" spans="2:10" ht="45" x14ac:dyDescent="0.25">
      <c r="B53" s="19" t="s">
        <v>195</v>
      </c>
      <c r="C53" s="19" t="s">
        <v>310</v>
      </c>
      <c r="D53" s="19" t="s">
        <v>105</v>
      </c>
      <c r="E53" s="19" t="s">
        <v>293</v>
      </c>
      <c r="F53" s="19" t="s">
        <v>295</v>
      </c>
      <c r="G53" s="3"/>
      <c r="H53" s="3"/>
      <c r="I53" s="20">
        <v>1</v>
      </c>
      <c r="J53" s="3"/>
    </row>
    <row r="54" spans="2:10" ht="45" x14ac:dyDescent="0.25">
      <c r="B54" s="19" t="s">
        <v>195</v>
      </c>
      <c r="C54" s="19" t="s">
        <v>311</v>
      </c>
      <c r="D54" s="19" t="s">
        <v>105</v>
      </c>
      <c r="E54" s="19" t="s">
        <v>276</v>
      </c>
      <c r="F54" s="19" t="s">
        <v>312</v>
      </c>
      <c r="G54" s="3"/>
      <c r="H54" s="19" t="s">
        <v>313</v>
      </c>
      <c r="I54" s="20">
        <v>1</v>
      </c>
      <c r="J54" s="3"/>
    </row>
    <row r="55" spans="2:10" ht="45" x14ac:dyDescent="0.25">
      <c r="B55" s="19" t="s">
        <v>195</v>
      </c>
      <c r="C55" s="19" t="s">
        <v>314</v>
      </c>
      <c r="D55" s="19" t="s">
        <v>105</v>
      </c>
      <c r="E55" s="19" t="s">
        <v>244</v>
      </c>
      <c r="F55" s="19" t="s">
        <v>315</v>
      </c>
      <c r="G55" s="19" t="s">
        <v>316</v>
      </c>
      <c r="H55" s="3"/>
      <c r="I55" s="20">
        <v>1</v>
      </c>
      <c r="J55" s="3"/>
    </row>
    <row r="56" spans="2:10" ht="45" x14ac:dyDescent="0.25">
      <c r="B56" s="19" t="s">
        <v>195</v>
      </c>
      <c r="C56" s="19" t="s">
        <v>317</v>
      </c>
      <c r="D56" s="19" t="s">
        <v>149</v>
      </c>
      <c r="E56" s="19" t="s">
        <v>259</v>
      </c>
      <c r="F56" s="19" t="s">
        <v>267</v>
      </c>
      <c r="G56" s="3"/>
      <c r="H56" s="3"/>
      <c r="I56" s="20">
        <v>1</v>
      </c>
      <c r="J56" s="3"/>
    </row>
    <row r="57" spans="2:10" ht="60" x14ac:dyDescent="0.25">
      <c r="B57" s="19" t="s">
        <v>195</v>
      </c>
      <c r="C57" s="19" t="s">
        <v>318</v>
      </c>
      <c r="D57" s="19" t="s">
        <v>105</v>
      </c>
      <c r="E57" s="19" t="s">
        <v>319</v>
      </c>
      <c r="F57" s="19" t="s">
        <v>306</v>
      </c>
      <c r="G57" s="19" t="s">
        <v>320</v>
      </c>
      <c r="H57" s="3"/>
      <c r="I57" s="20">
        <v>0</v>
      </c>
      <c r="J57" s="3"/>
    </row>
    <row r="58" spans="2:10" ht="45" x14ac:dyDescent="0.25">
      <c r="B58" s="17" t="s">
        <v>195</v>
      </c>
      <c r="C58" s="17" t="s">
        <v>321</v>
      </c>
      <c r="D58" s="17" t="s">
        <v>151</v>
      </c>
      <c r="E58" s="17" t="s">
        <v>232</v>
      </c>
      <c r="F58" s="17" t="s">
        <v>322</v>
      </c>
      <c r="G58" s="3"/>
      <c r="H58" s="3"/>
      <c r="I58" s="18">
        <v>0.9</v>
      </c>
      <c r="J58" s="3"/>
    </row>
    <row r="59" spans="2:10" ht="45" x14ac:dyDescent="0.25">
      <c r="B59" s="19" t="s">
        <v>195</v>
      </c>
      <c r="C59" s="19" t="s">
        <v>323</v>
      </c>
      <c r="D59" s="19" t="s">
        <v>324</v>
      </c>
      <c r="E59" s="19" t="s">
        <v>232</v>
      </c>
      <c r="F59" s="19" t="s">
        <v>322</v>
      </c>
      <c r="G59" s="3"/>
      <c r="H59" s="3"/>
      <c r="I59" s="20">
        <v>0.9</v>
      </c>
      <c r="J59" s="3"/>
    </row>
    <row r="60" spans="2:10" ht="45" x14ac:dyDescent="0.25">
      <c r="B60" s="19" t="s">
        <v>195</v>
      </c>
      <c r="C60" s="19" t="s">
        <v>325</v>
      </c>
      <c r="D60" s="19" t="s">
        <v>324</v>
      </c>
      <c r="E60" s="19" t="s">
        <v>232</v>
      </c>
      <c r="F60" s="19" t="s">
        <v>322</v>
      </c>
      <c r="G60" s="3"/>
      <c r="H60" s="3"/>
      <c r="I60" s="20">
        <v>0.9</v>
      </c>
      <c r="J60" s="3"/>
    </row>
    <row r="61" spans="2:10" ht="45" x14ac:dyDescent="0.25">
      <c r="B61" s="17" t="s">
        <v>195</v>
      </c>
      <c r="C61" s="17" t="s">
        <v>326</v>
      </c>
      <c r="D61" s="17" t="s">
        <v>327</v>
      </c>
      <c r="E61" s="17" t="s">
        <v>312</v>
      </c>
      <c r="F61" s="17" t="s">
        <v>127</v>
      </c>
      <c r="G61" s="3"/>
      <c r="H61" s="3"/>
      <c r="I61" s="18">
        <v>0.04</v>
      </c>
      <c r="J61" s="3"/>
    </row>
    <row r="62" spans="2:10" ht="45" x14ac:dyDescent="0.25">
      <c r="B62" s="17" t="s">
        <v>195</v>
      </c>
      <c r="C62" s="17" t="s">
        <v>328</v>
      </c>
      <c r="D62" s="17" t="s">
        <v>327</v>
      </c>
      <c r="E62" s="17" t="s">
        <v>312</v>
      </c>
      <c r="F62" s="17" t="s">
        <v>127</v>
      </c>
      <c r="G62" s="3"/>
      <c r="H62" s="3"/>
      <c r="I62" s="18">
        <v>0.31</v>
      </c>
      <c r="J62" s="3"/>
    </row>
    <row r="63" spans="2:10" ht="45" x14ac:dyDescent="0.25">
      <c r="B63" s="19" t="s">
        <v>195</v>
      </c>
      <c r="C63" s="19" t="s">
        <v>329</v>
      </c>
      <c r="D63" s="19" t="s">
        <v>39</v>
      </c>
      <c r="E63" s="19" t="s">
        <v>312</v>
      </c>
      <c r="F63" s="19" t="s">
        <v>267</v>
      </c>
      <c r="G63" s="3"/>
      <c r="H63" s="19">
        <v>63</v>
      </c>
      <c r="I63" s="20">
        <v>1</v>
      </c>
      <c r="J63" s="3"/>
    </row>
    <row r="64" spans="2:10" ht="45" x14ac:dyDescent="0.25">
      <c r="B64" s="19" t="s">
        <v>195</v>
      </c>
      <c r="C64" s="19" t="s">
        <v>330</v>
      </c>
      <c r="D64" s="19" t="s">
        <v>63</v>
      </c>
      <c r="E64" s="19" t="s">
        <v>82</v>
      </c>
      <c r="F64" s="19" t="s">
        <v>127</v>
      </c>
      <c r="G64" s="19">
        <v>62</v>
      </c>
      <c r="H64" s="3"/>
      <c r="I64" s="20">
        <v>0.05</v>
      </c>
      <c r="J64" s="3"/>
    </row>
    <row r="65" spans="2:10" ht="45" x14ac:dyDescent="0.25">
      <c r="B65" s="17" t="s">
        <v>195</v>
      </c>
      <c r="C65" s="17" t="s">
        <v>331</v>
      </c>
      <c r="D65" s="17" t="s">
        <v>332</v>
      </c>
      <c r="E65" s="17" t="s">
        <v>82</v>
      </c>
      <c r="F65" s="17" t="s">
        <v>127</v>
      </c>
      <c r="G65" s="3"/>
      <c r="H65" s="3"/>
      <c r="I65" s="18">
        <v>0.05</v>
      </c>
      <c r="J65" s="3"/>
    </row>
    <row r="66" spans="2:10" ht="45" x14ac:dyDescent="0.25">
      <c r="B66" s="19" t="s">
        <v>195</v>
      </c>
      <c r="C66" s="19" t="s">
        <v>333</v>
      </c>
      <c r="D66" s="19" t="s">
        <v>63</v>
      </c>
      <c r="E66" s="19" t="s">
        <v>82</v>
      </c>
      <c r="F66" s="19" t="s">
        <v>127</v>
      </c>
      <c r="G66" s="3"/>
      <c r="H66" s="3"/>
      <c r="I66" s="20">
        <v>0.05</v>
      </c>
      <c r="J66" s="3"/>
    </row>
    <row r="67" spans="2:10" ht="45" x14ac:dyDescent="0.25">
      <c r="B67" s="19" t="s">
        <v>195</v>
      </c>
      <c r="C67" s="19" t="s">
        <v>334</v>
      </c>
      <c r="D67" s="19" t="s">
        <v>99</v>
      </c>
      <c r="E67" s="19" t="s">
        <v>227</v>
      </c>
      <c r="F67" s="19" t="s">
        <v>335</v>
      </c>
      <c r="G67" s="3"/>
      <c r="H67" s="3"/>
      <c r="I67" s="20">
        <v>0</v>
      </c>
      <c r="J67" s="3"/>
    </row>
    <row r="68" spans="2:10" ht="45" x14ac:dyDescent="0.25">
      <c r="B68" s="17" t="s">
        <v>195</v>
      </c>
      <c r="C68" s="17" t="s">
        <v>336</v>
      </c>
      <c r="D68" s="17" t="s">
        <v>68</v>
      </c>
      <c r="E68" s="17" t="s">
        <v>337</v>
      </c>
      <c r="F68" s="17" t="s">
        <v>335</v>
      </c>
      <c r="G68" s="3"/>
      <c r="H68" s="3"/>
      <c r="I68" s="18">
        <v>0</v>
      </c>
      <c r="J68" s="3"/>
    </row>
    <row r="69" spans="2:10" ht="45" x14ac:dyDescent="0.25">
      <c r="B69" s="19" t="s">
        <v>195</v>
      </c>
      <c r="C69" s="19" t="s">
        <v>338</v>
      </c>
      <c r="D69" s="19" t="s">
        <v>129</v>
      </c>
      <c r="E69" s="19" t="s">
        <v>339</v>
      </c>
      <c r="F69" s="19" t="s">
        <v>127</v>
      </c>
      <c r="G69" s="3"/>
      <c r="H69" s="3"/>
      <c r="I69" s="20">
        <v>0</v>
      </c>
      <c r="J69" s="3"/>
    </row>
    <row r="70" spans="2:10" ht="45" x14ac:dyDescent="0.25">
      <c r="B70" s="19" t="s">
        <v>195</v>
      </c>
      <c r="C70" s="19" t="s">
        <v>340</v>
      </c>
      <c r="D70" s="19" t="s">
        <v>129</v>
      </c>
      <c r="E70" s="19" t="s">
        <v>339</v>
      </c>
      <c r="F70" s="19" t="s">
        <v>127</v>
      </c>
      <c r="G70" s="3"/>
      <c r="H70" s="3"/>
      <c r="I70" s="20">
        <v>0</v>
      </c>
      <c r="J70" s="3"/>
    </row>
    <row r="71" spans="2:10" ht="45" x14ac:dyDescent="0.25">
      <c r="B71" s="19" t="s">
        <v>195</v>
      </c>
      <c r="C71" s="19" t="s">
        <v>341</v>
      </c>
      <c r="D71" s="19" t="s">
        <v>99</v>
      </c>
      <c r="E71" s="19" t="s">
        <v>342</v>
      </c>
      <c r="F71" s="19" t="s">
        <v>127</v>
      </c>
      <c r="G71" s="3"/>
      <c r="H71" s="3"/>
      <c r="I71" s="20">
        <v>0</v>
      </c>
      <c r="J71" s="3"/>
    </row>
    <row r="72" spans="2:10" ht="45" x14ac:dyDescent="0.25">
      <c r="B72" s="17" t="s">
        <v>195</v>
      </c>
      <c r="C72" s="17" t="s">
        <v>343</v>
      </c>
      <c r="D72" s="17" t="s">
        <v>344</v>
      </c>
      <c r="E72" s="17" t="s">
        <v>345</v>
      </c>
      <c r="F72" s="17" t="s">
        <v>199</v>
      </c>
      <c r="G72" s="3"/>
      <c r="H72" s="3"/>
      <c r="I72" s="18">
        <v>0</v>
      </c>
      <c r="J72" s="3"/>
    </row>
    <row r="73" spans="2:10" ht="45" x14ac:dyDescent="0.25">
      <c r="B73" s="19" t="s">
        <v>195</v>
      </c>
      <c r="C73" s="19" t="s">
        <v>346</v>
      </c>
      <c r="D73" s="19" t="s">
        <v>347</v>
      </c>
      <c r="E73" s="19" t="s">
        <v>345</v>
      </c>
      <c r="F73" s="19" t="s">
        <v>348</v>
      </c>
      <c r="G73" s="3"/>
      <c r="H73" s="3"/>
      <c r="I73" s="20">
        <v>0</v>
      </c>
      <c r="J73" s="3"/>
    </row>
    <row r="74" spans="2:10" ht="45" x14ac:dyDescent="0.25">
      <c r="B74" s="19" t="s">
        <v>195</v>
      </c>
      <c r="C74" s="19" t="s">
        <v>349</v>
      </c>
      <c r="D74" s="19" t="s">
        <v>96</v>
      </c>
      <c r="E74" s="19" t="s">
        <v>350</v>
      </c>
      <c r="F74" s="19" t="s">
        <v>115</v>
      </c>
      <c r="G74" s="3"/>
      <c r="H74" s="3"/>
      <c r="I74" s="20">
        <v>0</v>
      </c>
      <c r="J74" s="3"/>
    </row>
    <row r="75" spans="2:10" ht="45" x14ac:dyDescent="0.25">
      <c r="B75" s="19" t="s">
        <v>195</v>
      </c>
      <c r="C75" s="19" t="s">
        <v>351</v>
      </c>
      <c r="D75" s="19" t="s">
        <v>105</v>
      </c>
      <c r="E75" s="19" t="s">
        <v>352</v>
      </c>
      <c r="F75" s="19" t="s">
        <v>353</v>
      </c>
      <c r="G75" s="3"/>
      <c r="H75" s="3"/>
      <c r="I75" s="20">
        <v>0</v>
      </c>
      <c r="J75" s="3"/>
    </row>
    <row r="76" spans="2:10" ht="45" x14ac:dyDescent="0.25">
      <c r="B76" s="19" t="s">
        <v>195</v>
      </c>
      <c r="C76" s="19" t="s">
        <v>354</v>
      </c>
      <c r="D76" s="19" t="s">
        <v>162</v>
      </c>
      <c r="E76" s="19" t="s">
        <v>355</v>
      </c>
      <c r="F76" s="19" t="s">
        <v>356</v>
      </c>
      <c r="G76" s="3"/>
      <c r="H76" s="3"/>
      <c r="I76" s="20">
        <v>0</v>
      </c>
      <c r="J76" s="3"/>
    </row>
    <row r="77" spans="2:10" ht="45" x14ac:dyDescent="0.25">
      <c r="B77" s="19" t="s">
        <v>195</v>
      </c>
      <c r="C77" s="19" t="s">
        <v>357</v>
      </c>
      <c r="D77" s="19" t="s">
        <v>99</v>
      </c>
      <c r="E77" s="19" t="s">
        <v>352</v>
      </c>
      <c r="F77" s="19" t="s">
        <v>199</v>
      </c>
      <c r="G77" s="3"/>
      <c r="H77" s="3"/>
      <c r="I77" s="20">
        <v>0</v>
      </c>
      <c r="J77" s="3"/>
    </row>
    <row r="78" spans="2:10" ht="45" x14ac:dyDescent="0.25">
      <c r="B78" s="19" t="s">
        <v>195</v>
      </c>
      <c r="C78" s="19" t="s">
        <v>358</v>
      </c>
      <c r="D78" s="19" t="s">
        <v>162</v>
      </c>
      <c r="E78" s="19" t="s">
        <v>359</v>
      </c>
      <c r="F78" s="19" t="s">
        <v>46</v>
      </c>
      <c r="G78" s="3"/>
      <c r="H78" s="3"/>
      <c r="I78" s="20">
        <v>0</v>
      </c>
      <c r="J78" s="3"/>
    </row>
    <row r="79" spans="2:10" ht="45" x14ac:dyDescent="0.25">
      <c r="B79" s="17" t="s">
        <v>195</v>
      </c>
      <c r="C79" s="17" t="s">
        <v>360</v>
      </c>
      <c r="D79" s="17" t="s">
        <v>190</v>
      </c>
      <c r="E79" s="17" t="s">
        <v>28</v>
      </c>
      <c r="F79" s="17" t="s">
        <v>46</v>
      </c>
      <c r="G79" s="3"/>
      <c r="H79" s="3"/>
      <c r="I79" s="18">
        <v>0</v>
      </c>
      <c r="J79" s="3"/>
    </row>
    <row r="80" spans="2:10" ht="45" x14ac:dyDescent="0.25">
      <c r="B80" s="19" t="s">
        <v>195</v>
      </c>
      <c r="C80" s="19" t="s">
        <v>189</v>
      </c>
      <c r="D80" s="19" t="s">
        <v>190</v>
      </c>
      <c r="E80" s="19" t="s">
        <v>28</v>
      </c>
      <c r="F80" s="19" t="s">
        <v>46</v>
      </c>
      <c r="G80" s="3"/>
      <c r="H80" s="3"/>
      <c r="I80" s="20">
        <v>0</v>
      </c>
      <c r="J8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60"/>
  <sheetViews>
    <sheetView tabSelected="1" workbookViewId="0">
      <selection activeCell="L16" sqref="L16"/>
    </sheetView>
  </sheetViews>
  <sheetFormatPr defaultRowHeight="15" x14ac:dyDescent="0.25"/>
  <cols>
    <col min="2" max="2" width="13.5703125" customWidth="1"/>
    <col min="6" max="6" width="14.140625" customWidth="1"/>
    <col min="11" max="11" width="10.7109375" bestFit="1" customWidth="1"/>
    <col min="12" max="12" width="9.7109375" bestFit="1" customWidth="1"/>
    <col min="14" max="14" width="9.7109375" bestFit="1" customWidth="1"/>
  </cols>
  <sheetData>
    <row r="1" spans="1:14" ht="22.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</row>
    <row r="2" spans="1:14" ht="38.25" x14ac:dyDescent="0.25">
      <c r="A2" s="2">
        <v>0.25</v>
      </c>
      <c r="B2" s="4" t="s">
        <v>9</v>
      </c>
      <c r="C2" s="4" t="s">
        <v>10</v>
      </c>
      <c r="D2" s="4" t="s">
        <v>11</v>
      </c>
      <c r="E2" s="4" t="s">
        <v>12</v>
      </c>
      <c r="F2" s="5"/>
      <c r="G2" s="5"/>
      <c r="H2" s="4" t="s">
        <v>13</v>
      </c>
    </row>
    <row r="3" spans="1:14" ht="45" x14ac:dyDescent="0.25">
      <c r="A3" s="6">
        <v>0.53</v>
      </c>
      <c r="B3" s="7" t="s">
        <v>14</v>
      </c>
      <c r="C3" s="7" t="s">
        <v>10</v>
      </c>
      <c r="D3" s="7" t="s">
        <v>11</v>
      </c>
      <c r="E3" s="7" t="s">
        <v>12</v>
      </c>
      <c r="F3" s="8"/>
      <c r="G3" s="8"/>
      <c r="H3" s="7" t="s">
        <v>13</v>
      </c>
      <c r="K3" s="11"/>
    </row>
    <row r="4" spans="1:14" x14ac:dyDescent="0.25">
      <c r="A4" s="9">
        <v>1</v>
      </c>
      <c r="B4" s="10" t="s">
        <v>15</v>
      </c>
      <c r="C4" s="10" t="s">
        <v>13</v>
      </c>
      <c r="D4" s="10" t="s">
        <v>11</v>
      </c>
      <c r="E4" s="10" t="s">
        <v>11</v>
      </c>
      <c r="F4" s="8"/>
      <c r="G4" s="10">
        <v>3</v>
      </c>
      <c r="H4" s="10" t="s">
        <v>13</v>
      </c>
      <c r="K4" s="12"/>
    </row>
    <row r="5" spans="1:14" ht="33.75" x14ac:dyDescent="0.25">
      <c r="A5" s="9">
        <v>1</v>
      </c>
      <c r="B5" s="10" t="s">
        <v>16</v>
      </c>
      <c r="C5" s="10" t="s">
        <v>17</v>
      </c>
      <c r="D5" s="10" t="s">
        <v>11</v>
      </c>
      <c r="E5" s="10" t="s">
        <v>18</v>
      </c>
      <c r="F5" s="10">
        <v>2</v>
      </c>
      <c r="G5" s="10" t="s">
        <v>19</v>
      </c>
      <c r="H5" s="10" t="s">
        <v>20</v>
      </c>
      <c r="K5" s="12"/>
      <c r="N5" s="12"/>
    </row>
    <row r="6" spans="1:14" ht="33.75" x14ac:dyDescent="0.25">
      <c r="A6" s="9">
        <v>1</v>
      </c>
      <c r="B6" s="10" t="s">
        <v>21</v>
      </c>
      <c r="C6" s="10" t="s">
        <v>22</v>
      </c>
      <c r="D6" s="10" t="s">
        <v>18</v>
      </c>
      <c r="E6" s="10" t="s">
        <v>23</v>
      </c>
      <c r="F6" s="10">
        <v>3</v>
      </c>
      <c r="G6" s="10" t="s">
        <v>24</v>
      </c>
      <c r="H6" s="10" t="s">
        <v>20</v>
      </c>
      <c r="K6" s="12"/>
      <c r="L6" s="12"/>
    </row>
    <row r="7" spans="1:14" ht="22.5" x14ac:dyDescent="0.25">
      <c r="A7" s="9">
        <v>1</v>
      </c>
      <c r="B7" s="10" t="s">
        <v>25</v>
      </c>
      <c r="C7" s="10" t="s">
        <v>26</v>
      </c>
      <c r="D7" s="10" t="s">
        <v>27</v>
      </c>
      <c r="E7" s="10" t="s">
        <v>28</v>
      </c>
      <c r="F7" s="10">
        <v>15</v>
      </c>
      <c r="G7" s="8"/>
      <c r="H7" s="10" t="s">
        <v>13</v>
      </c>
      <c r="K7" s="12"/>
    </row>
    <row r="8" spans="1:14" ht="22.5" x14ac:dyDescent="0.25">
      <c r="A8" s="9">
        <v>0</v>
      </c>
      <c r="B8" s="10" t="s">
        <v>29</v>
      </c>
      <c r="C8" s="10" t="s">
        <v>13</v>
      </c>
      <c r="D8" s="10" t="s">
        <v>30</v>
      </c>
      <c r="E8" s="10" t="s">
        <v>30</v>
      </c>
      <c r="F8" s="10" t="s">
        <v>31</v>
      </c>
      <c r="G8" s="8"/>
      <c r="H8" s="10" t="s">
        <v>32</v>
      </c>
      <c r="K8" s="12"/>
    </row>
    <row r="9" spans="1:14" ht="33.75" x14ac:dyDescent="0.25">
      <c r="A9" s="9">
        <v>0</v>
      </c>
      <c r="B9" s="10" t="s">
        <v>33</v>
      </c>
      <c r="C9" s="10" t="s">
        <v>13</v>
      </c>
      <c r="D9" s="10" t="s">
        <v>34</v>
      </c>
      <c r="E9" s="10" t="s">
        <v>34</v>
      </c>
      <c r="F9" s="10">
        <v>13</v>
      </c>
      <c r="G9" s="10">
        <v>47</v>
      </c>
      <c r="H9" s="10" t="s">
        <v>35</v>
      </c>
      <c r="K9" s="12"/>
    </row>
    <row r="10" spans="1:14" ht="33.75" x14ac:dyDescent="0.25">
      <c r="A10" s="9">
        <v>0</v>
      </c>
      <c r="B10" s="10" t="s">
        <v>36</v>
      </c>
      <c r="C10" s="10" t="s">
        <v>13</v>
      </c>
      <c r="D10" s="10" t="s">
        <v>37</v>
      </c>
      <c r="E10" s="10" t="s">
        <v>37</v>
      </c>
      <c r="F10" s="10">
        <v>58</v>
      </c>
      <c r="G10" s="10">
        <v>9</v>
      </c>
      <c r="H10" s="10" t="s">
        <v>13</v>
      </c>
    </row>
    <row r="11" spans="1:14" ht="22.5" x14ac:dyDescent="0.25">
      <c r="A11" s="9">
        <v>0</v>
      </c>
      <c r="B11" s="10" t="s">
        <v>38</v>
      </c>
      <c r="C11" s="10" t="s">
        <v>39</v>
      </c>
      <c r="D11" s="10" t="s">
        <v>37</v>
      </c>
      <c r="E11" s="10" t="s">
        <v>12</v>
      </c>
      <c r="F11" s="10">
        <v>8</v>
      </c>
      <c r="G11" s="8"/>
      <c r="H11" s="10" t="s">
        <v>20</v>
      </c>
    </row>
    <row r="12" spans="1:14" ht="33.75" x14ac:dyDescent="0.25">
      <c r="A12" s="6">
        <v>0.43</v>
      </c>
      <c r="B12" s="7" t="s">
        <v>40</v>
      </c>
      <c r="C12" s="7" t="s">
        <v>41</v>
      </c>
      <c r="D12" s="7" t="s">
        <v>11</v>
      </c>
      <c r="E12" s="7" t="s">
        <v>42</v>
      </c>
      <c r="F12" s="8"/>
      <c r="G12" s="8"/>
      <c r="H12" s="7" t="s">
        <v>43</v>
      </c>
      <c r="K12" s="12"/>
    </row>
    <row r="13" spans="1:14" ht="45" x14ac:dyDescent="0.25">
      <c r="A13" s="6">
        <v>0</v>
      </c>
      <c r="B13" s="7" t="s">
        <v>44</v>
      </c>
      <c r="C13" s="7" t="s">
        <v>45</v>
      </c>
      <c r="D13" s="7" t="s">
        <v>46</v>
      </c>
      <c r="E13" s="7" t="s">
        <v>34</v>
      </c>
      <c r="F13" s="8"/>
      <c r="G13" s="8"/>
      <c r="H13" s="7" t="s">
        <v>47</v>
      </c>
    </row>
    <row r="14" spans="1:14" ht="33.75" x14ac:dyDescent="0.25">
      <c r="A14" s="9">
        <v>0</v>
      </c>
      <c r="B14" s="10" t="s">
        <v>48</v>
      </c>
      <c r="C14" s="10" t="s">
        <v>49</v>
      </c>
      <c r="D14" s="10" t="s">
        <v>46</v>
      </c>
      <c r="E14" s="10" t="s">
        <v>50</v>
      </c>
      <c r="F14" s="10" t="s">
        <v>51</v>
      </c>
      <c r="G14" s="10">
        <v>13</v>
      </c>
      <c r="H14" s="10" t="s">
        <v>20</v>
      </c>
    </row>
    <row r="15" spans="1:14" ht="45" x14ac:dyDescent="0.25">
      <c r="A15" s="9">
        <v>0</v>
      </c>
      <c r="B15" s="10" t="s">
        <v>52</v>
      </c>
      <c r="C15" s="10" t="s">
        <v>39</v>
      </c>
      <c r="D15" s="10" t="s">
        <v>53</v>
      </c>
      <c r="E15" s="10" t="s">
        <v>34</v>
      </c>
      <c r="F15" s="10">
        <v>12</v>
      </c>
      <c r="G15" s="10">
        <v>7</v>
      </c>
      <c r="H15" s="10" t="s">
        <v>20</v>
      </c>
    </row>
    <row r="16" spans="1:14" ht="33.75" x14ac:dyDescent="0.25">
      <c r="A16" s="6">
        <v>0.5</v>
      </c>
      <c r="B16" s="7" t="s">
        <v>54</v>
      </c>
      <c r="C16" s="7" t="s">
        <v>55</v>
      </c>
      <c r="D16" s="7" t="s">
        <v>56</v>
      </c>
      <c r="E16" s="7" t="s">
        <v>42</v>
      </c>
      <c r="F16" s="8"/>
      <c r="G16" s="8"/>
      <c r="H16" s="7" t="s">
        <v>43</v>
      </c>
    </row>
    <row r="17" spans="1:8" ht="33.75" x14ac:dyDescent="0.25">
      <c r="A17" s="9">
        <v>0.9</v>
      </c>
      <c r="B17" s="10" t="s">
        <v>57</v>
      </c>
      <c r="C17" s="10" t="s">
        <v>58</v>
      </c>
      <c r="D17" s="10" t="s">
        <v>56</v>
      </c>
      <c r="E17" s="10" t="s">
        <v>59</v>
      </c>
      <c r="F17" s="10" t="s">
        <v>60</v>
      </c>
      <c r="G17" s="10" t="s">
        <v>61</v>
      </c>
      <c r="H17" s="10" t="s">
        <v>20</v>
      </c>
    </row>
    <row r="18" spans="1:8" ht="33.75" x14ac:dyDescent="0.25">
      <c r="A18" s="9">
        <v>0.15</v>
      </c>
      <c r="B18" s="10" t="s">
        <v>62</v>
      </c>
      <c r="C18" s="10" t="s">
        <v>63</v>
      </c>
      <c r="D18" s="10" t="s">
        <v>64</v>
      </c>
      <c r="E18" s="10" t="s">
        <v>42</v>
      </c>
      <c r="F18" s="10">
        <v>15</v>
      </c>
      <c r="G18" s="10">
        <v>47</v>
      </c>
      <c r="H18" s="10" t="s">
        <v>20</v>
      </c>
    </row>
    <row r="19" spans="1:8" x14ac:dyDescent="0.25">
      <c r="A19" s="9">
        <v>0</v>
      </c>
      <c r="B19" s="10" t="s">
        <v>65</v>
      </c>
      <c r="C19" s="10" t="s">
        <v>39</v>
      </c>
      <c r="D19" s="10" t="s">
        <v>64</v>
      </c>
      <c r="E19" s="10" t="s">
        <v>66</v>
      </c>
      <c r="F19" s="10">
        <v>15</v>
      </c>
      <c r="G19" s="10">
        <v>43</v>
      </c>
      <c r="H19" s="10" t="s">
        <v>20</v>
      </c>
    </row>
    <row r="20" spans="1:8" ht="33.75" x14ac:dyDescent="0.25">
      <c r="A20" s="6">
        <v>0.39</v>
      </c>
      <c r="B20" s="7" t="s">
        <v>67</v>
      </c>
      <c r="C20" s="7" t="s">
        <v>68</v>
      </c>
      <c r="D20" s="7" t="s">
        <v>69</v>
      </c>
      <c r="E20" s="7" t="s">
        <v>70</v>
      </c>
      <c r="F20" s="8"/>
      <c r="G20" s="8"/>
      <c r="H20" s="7" t="s">
        <v>71</v>
      </c>
    </row>
    <row r="21" spans="1:8" ht="33.75" x14ac:dyDescent="0.25">
      <c r="A21" s="6">
        <v>0.66</v>
      </c>
      <c r="B21" s="7" t="s">
        <v>72</v>
      </c>
      <c r="C21" s="7" t="s">
        <v>73</v>
      </c>
      <c r="D21" s="7" t="s">
        <v>69</v>
      </c>
      <c r="E21" s="7" t="s">
        <v>74</v>
      </c>
      <c r="F21" s="8"/>
      <c r="G21" s="8"/>
      <c r="H21" s="7" t="s">
        <v>35</v>
      </c>
    </row>
    <row r="22" spans="1:8" ht="33.75" x14ac:dyDescent="0.25">
      <c r="A22" s="9">
        <v>1</v>
      </c>
      <c r="B22" s="10" t="s">
        <v>75</v>
      </c>
      <c r="C22" s="10" t="s">
        <v>76</v>
      </c>
      <c r="D22" s="10" t="s">
        <v>69</v>
      </c>
      <c r="E22" s="10" t="s">
        <v>77</v>
      </c>
      <c r="F22" s="10" t="s">
        <v>60</v>
      </c>
      <c r="G22" s="10">
        <v>21</v>
      </c>
      <c r="H22" s="10" t="s">
        <v>20</v>
      </c>
    </row>
    <row r="23" spans="1:8" ht="33.75" x14ac:dyDescent="0.25">
      <c r="A23" s="9">
        <v>1</v>
      </c>
      <c r="B23" s="10" t="s">
        <v>78</v>
      </c>
      <c r="C23" s="10" t="s">
        <v>76</v>
      </c>
      <c r="D23" s="10" t="s">
        <v>79</v>
      </c>
      <c r="E23" s="10" t="s">
        <v>80</v>
      </c>
      <c r="F23" s="10">
        <v>20</v>
      </c>
      <c r="G23" s="10">
        <v>22</v>
      </c>
      <c r="H23" s="10" t="s">
        <v>20</v>
      </c>
    </row>
    <row r="24" spans="1:8" ht="56.25" x14ac:dyDescent="0.25">
      <c r="A24" s="9">
        <v>1</v>
      </c>
      <c r="B24" s="10" t="s">
        <v>81</v>
      </c>
      <c r="C24" s="10" t="s">
        <v>76</v>
      </c>
      <c r="D24" s="10" t="s">
        <v>82</v>
      </c>
      <c r="E24" s="10" t="s">
        <v>23</v>
      </c>
      <c r="F24" s="10">
        <v>21</v>
      </c>
      <c r="G24" s="10" t="s">
        <v>83</v>
      </c>
      <c r="H24" s="10" t="s">
        <v>20</v>
      </c>
    </row>
    <row r="25" spans="1:8" ht="33.75" x14ac:dyDescent="0.25">
      <c r="A25" s="9">
        <v>0.5</v>
      </c>
      <c r="B25" s="10" t="s">
        <v>84</v>
      </c>
      <c r="C25" s="10" t="s">
        <v>85</v>
      </c>
      <c r="D25" s="10" t="s">
        <v>86</v>
      </c>
      <c r="E25" s="10" t="s">
        <v>74</v>
      </c>
      <c r="F25" s="10" t="s">
        <v>87</v>
      </c>
      <c r="G25" s="10">
        <v>24</v>
      </c>
      <c r="H25" s="10" t="s">
        <v>20</v>
      </c>
    </row>
    <row r="26" spans="1:8" ht="56.25" x14ac:dyDescent="0.25">
      <c r="A26" s="9">
        <v>0</v>
      </c>
      <c r="B26" s="10" t="s">
        <v>88</v>
      </c>
      <c r="C26" s="10" t="s">
        <v>20</v>
      </c>
      <c r="D26" s="10" t="s">
        <v>74</v>
      </c>
      <c r="E26" s="10" t="s">
        <v>74</v>
      </c>
      <c r="F26" s="10">
        <v>23</v>
      </c>
      <c r="G26" s="10" t="s">
        <v>89</v>
      </c>
      <c r="H26" s="10" t="s">
        <v>20</v>
      </c>
    </row>
    <row r="27" spans="1:8" ht="56.25" x14ac:dyDescent="0.25">
      <c r="A27" s="6">
        <v>0</v>
      </c>
      <c r="B27" s="7" t="s">
        <v>90</v>
      </c>
      <c r="C27" s="7" t="s">
        <v>91</v>
      </c>
      <c r="D27" s="7" t="s">
        <v>74</v>
      </c>
      <c r="E27" s="7" t="s">
        <v>70</v>
      </c>
      <c r="F27" s="8"/>
      <c r="G27" s="8"/>
      <c r="H27" s="7" t="s">
        <v>71</v>
      </c>
    </row>
    <row r="28" spans="1:8" ht="33.75" x14ac:dyDescent="0.25">
      <c r="A28" s="9">
        <v>0</v>
      </c>
      <c r="B28" s="10" t="s">
        <v>92</v>
      </c>
      <c r="C28" s="10" t="s">
        <v>20</v>
      </c>
      <c r="D28" s="10" t="s">
        <v>74</v>
      </c>
      <c r="E28" s="10" t="s">
        <v>74</v>
      </c>
      <c r="F28" s="10">
        <v>24</v>
      </c>
      <c r="G28" s="10">
        <v>27</v>
      </c>
      <c r="H28" s="10" t="s">
        <v>20</v>
      </c>
    </row>
    <row r="29" spans="1:8" ht="45" x14ac:dyDescent="0.25">
      <c r="A29" s="9">
        <v>0</v>
      </c>
      <c r="B29" s="10" t="s">
        <v>93</v>
      </c>
      <c r="C29" s="10" t="s">
        <v>20</v>
      </c>
      <c r="D29" s="10" t="s">
        <v>74</v>
      </c>
      <c r="E29" s="10" t="s">
        <v>74</v>
      </c>
      <c r="F29" s="10">
        <v>26</v>
      </c>
      <c r="G29" s="10">
        <v>28</v>
      </c>
      <c r="H29" s="10" t="s">
        <v>20</v>
      </c>
    </row>
    <row r="30" spans="1:8" ht="45" x14ac:dyDescent="0.25">
      <c r="A30" s="9">
        <v>0</v>
      </c>
      <c r="B30" s="10" t="s">
        <v>94</v>
      </c>
      <c r="C30" s="10" t="s">
        <v>20</v>
      </c>
      <c r="D30" s="10" t="s">
        <v>74</v>
      </c>
      <c r="E30" s="10" t="s">
        <v>74</v>
      </c>
      <c r="F30" s="10">
        <v>27</v>
      </c>
      <c r="G30" s="10">
        <v>29</v>
      </c>
      <c r="H30" s="10" t="s">
        <v>20</v>
      </c>
    </row>
    <row r="31" spans="1:8" ht="45" x14ac:dyDescent="0.25">
      <c r="A31" s="9">
        <v>0</v>
      </c>
      <c r="B31" s="10" t="s">
        <v>95</v>
      </c>
      <c r="C31" s="10" t="s">
        <v>96</v>
      </c>
      <c r="D31" s="10" t="s">
        <v>97</v>
      </c>
      <c r="E31" s="10" t="s">
        <v>70</v>
      </c>
      <c r="F31" s="10">
        <v>28</v>
      </c>
      <c r="G31" s="10" t="s">
        <v>98</v>
      </c>
      <c r="H31" s="10" t="s">
        <v>99</v>
      </c>
    </row>
    <row r="32" spans="1:8" ht="22.5" x14ac:dyDescent="0.25">
      <c r="A32" s="6">
        <v>0.75</v>
      </c>
      <c r="B32" s="7" t="s">
        <v>100</v>
      </c>
      <c r="C32" s="7" t="s">
        <v>101</v>
      </c>
      <c r="D32" s="7" t="s">
        <v>11</v>
      </c>
      <c r="E32" s="7" t="s">
        <v>28</v>
      </c>
      <c r="F32" s="8"/>
      <c r="G32" s="8"/>
      <c r="H32" s="7" t="s">
        <v>47</v>
      </c>
    </row>
    <row r="33" spans="1:8" ht="22.5" x14ac:dyDescent="0.25">
      <c r="A33" s="9">
        <v>1</v>
      </c>
      <c r="B33" s="10" t="s">
        <v>102</v>
      </c>
      <c r="C33" s="10" t="s">
        <v>96</v>
      </c>
      <c r="D33" s="10" t="s">
        <v>11</v>
      </c>
      <c r="E33" s="10" t="s">
        <v>103</v>
      </c>
      <c r="F33" s="8"/>
      <c r="G33" s="10">
        <v>32</v>
      </c>
      <c r="H33" s="10" t="s">
        <v>20</v>
      </c>
    </row>
    <row r="34" spans="1:8" ht="45" x14ac:dyDescent="0.25">
      <c r="A34" s="9">
        <v>1</v>
      </c>
      <c r="B34" s="10" t="s">
        <v>104</v>
      </c>
      <c r="C34" s="10" t="s">
        <v>105</v>
      </c>
      <c r="D34" s="10" t="s">
        <v>80</v>
      </c>
      <c r="E34" s="10" t="s">
        <v>106</v>
      </c>
      <c r="F34" s="10">
        <v>31</v>
      </c>
      <c r="G34" s="10">
        <v>12</v>
      </c>
      <c r="H34" s="10" t="s">
        <v>20</v>
      </c>
    </row>
    <row r="35" spans="1:8" ht="22.5" x14ac:dyDescent="0.25">
      <c r="A35" s="9">
        <v>0</v>
      </c>
      <c r="B35" s="10" t="s">
        <v>107</v>
      </c>
      <c r="C35" s="10" t="s">
        <v>105</v>
      </c>
      <c r="D35" s="10" t="s">
        <v>64</v>
      </c>
      <c r="E35" s="10" t="s">
        <v>28</v>
      </c>
      <c r="F35" s="10" t="s">
        <v>108</v>
      </c>
      <c r="G35" s="10">
        <v>12</v>
      </c>
      <c r="H35" s="10" t="s">
        <v>20</v>
      </c>
    </row>
    <row r="36" spans="1:8" ht="33.75" x14ac:dyDescent="0.25">
      <c r="A36" s="6">
        <v>0.1</v>
      </c>
      <c r="B36" s="7" t="s">
        <v>109</v>
      </c>
      <c r="C36" s="7" t="s">
        <v>101</v>
      </c>
      <c r="D36" s="7" t="s">
        <v>110</v>
      </c>
      <c r="E36" s="7" t="s">
        <v>111</v>
      </c>
      <c r="F36" s="8"/>
      <c r="G36" s="8"/>
      <c r="H36" s="7" t="s">
        <v>112</v>
      </c>
    </row>
    <row r="37" spans="1:8" ht="22.5" x14ac:dyDescent="0.25">
      <c r="A37" s="6">
        <v>0.5</v>
      </c>
      <c r="B37" s="7" t="s">
        <v>113</v>
      </c>
      <c r="C37" s="7" t="s">
        <v>114</v>
      </c>
      <c r="D37" s="7" t="s">
        <v>110</v>
      </c>
      <c r="E37" s="7" t="s">
        <v>115</v>
      </c>
      <c r="F37" s="8"/>
      <c r="G37" s="8"/>
      <c r="H37" s="7" t="s">
        <v>116</v>
      </c>
    </row>
    <row r="38" spans="1:8" ht="33.75" x14ac:dyDescent="0.25">
      <c r="A38" s="9">
        <v>1</v>
      </c>
      <c r="B38" s="10" t="s">
        <v>117</v>
      </c>
      <c r="C38" s="10" t="s">
        <v>20</v>
      </c>
      <c r="D38" s="10" t="s">
        <v>110</v>
      </c>
      <c r="E38" s="10" t="s">
        <v>110</v>
      </c>
      <c r="F38" s="10" t="s">
        <v>108</v>
      </c>
      <c r="G38" s="10" t="s">
        <v>118</v>
      </c>
      <c r="H38" s="10" t="s">
        <v>20</v>
      </c>
    </row>
    <row r="39" spans="1:8" ht="33.75" x14ac:dyDescent="0.25">
      <c r="A39" s="9">
        <v>0.5</v>
      </c>
      <c r="B39" s="10" t="s">
        <v>119</v>
      </c>
      <c r="C39" s="10" t="s">
        <v>120</v>
      </c>
      <c r="D39" s="10" t="s">
        <v>86</v>
      </c>
      <c r="E39" s="10" t="s">
        <v>115</v>
      </c>
      <c r="F39" s="10">
        <v>36</v>
      </c>
      <c r="G39" s="8"/>
      <c r="H39" s="10" t="s">
        <v>121</v>
      </c>
    </row>
    <row r="40" spans="1:8" ht="33.75" x14ac:dyDescent="0.25">
      <c r="A40" s="9">
        <v>0</v>
      </c>
      <c r="B40" s="10" t="s">
        <v>122</v>
      </c>
      <c r="C40" s="10" t="s">
        <v>20</v>
      </c>
      <c r="D40" s="10" t="s">
        <v>110</v>
      </c>
      <c r="E40" s="10" t="s">
        <v>110</v>
      </c>
      <c r="F40" s="10">
        <v>36</v>
      </c>
      <c r="G40" s="10" t="s">
        <v>123</v>
      </c>
      <c r="H40" s="10" t="s">
        <v>124</v>
      </c>
    </row>
    <row r="41" spans="1:8" ht="33.75" x14ac:dyDescent="0.25">
      <c r="A41" s="6">
        <v>0.11</v>
      </c>
      <c r="B41" s="7" t="s">
        <v>125</v>
      </c>
      <c r="C41" s="7" t="s">
        <v>126</v>
      </c>
      <c r="D41" s="7" t="s">
        <v>127</v>
      </c>
      <c r="E41" s="7" t="s">
        <v>111</v>
      </c>
      <c r="F41" s="8"/>
      <c r="G41" s="8"/>
      <c r="H41" s="7" t="s">
        <v>13</v>
      </c>
    </row>
    <row r="42" spans="1:8" ht="33.75" x14ac:dyDescent="0.25">
      <c r="A42" s="9">
        <v>0</v>
      </c>
      <c r="B42" s="10" t="s">
        <v>128</v>
      </c>
      <c r="C42" s="10" t="s">
        <v>129</v>
      </c>
      <c r="D42" s="10" t="s">
        <v>64</v>
      </c>
      <c r="E42" s="10" t="s">
        <v>130</v>
      </c>
      <c r="F42" s="10" t="s">
        <v>131</v>
      </c>
      <c r="G42" s="10" t="s">
        <v>123</v>
      </c>
      <c r="H42" s="10" t="s">
        <v>39</v>
      </c>
    </row>
    <row r="43" spans="1:8" ht="22.5" x14ac:dyDescent="0.25">
      <c r="A43" s="9">
        <v>0.25</v>
      </c>
      <c r="B43" s="10" t="s">
        <v>132</v>
      </c>
      <c r="C43" s="10" t="s">
        <v>133</v>
      </c>
      <c r="D43" s="10" t="s">
        <v>127</v>
      </c>
      <c r="E43" s="10" t="s">
        <v>111</v>
      </c>
      <c r="F43" s="10" t="s">
        <v>131</v>
      </c>
      <c r="G43" s="10" t="s">
        <v>123</v>
      </c>
      <c r="H43" s="10" t="s">
        <v>20</v>
      </c>
    </row>
    <row r="44" spans="1:8" ht="45" x14ac:dyDescent="0.25">
      <c r="A44" s="9">
        <v>0</v>
      </c>
      <c r="B44" s="10" t="s">
        <v>134</v>
      </c>
      <c r="C44" s="10" t="s">
        <v>129</v>
      </c>
      <c r="D44" s="10" t="s">
        <v>64</v>
      </c>
      <c r="E44" s="10" t="s">
        <v>130</v>
      </c>
      <c r="F44" s="10" t="s">
        <v>135</v>
      </c>
      <c r="G44" s="10" t="s">
        <v>136</v>
      </c>
      <c r="H44" s="10" t="s">
        <v>39</v>
      </c>
    </row>
    <row r="45" spans="1:8" ht="22.5" x14ac:dyDescent="0.25">
      <c r="A45" s="9">
        <v>0</v>
      </c>
      <c r="B45" s="10" t="s">
        <v>137</v>
      </c>
      <c r="C45" s="10" t="s">
        <v>138</v>
      </c>
      <c r="D45" s="10" t="s">
        <v>139</v>
      </c>
      <c r="E45" s="10" t="s">
        <v>139</v>
      </c>
      <c r="F45" s="10">
        <v>17</v>
      </c>
      <c r="G45" s="10">
        <v>56</v>
      </c>
      <c r="H45" s="10" t="s">
        <v>140</v>
      </c>
    </row>
    <row r="46" spans="1:8" ht="22.5" x14ac:dyDescent="0.25">
      <c r="A46" s="9">
        <v>0</v>
      </c>
      <c r="B46" s="10" t="s">
        <v>141</v>
      </c>
      <c r="C46" s="10" t="s">
        <v>142</v>
      </c>
      <c r="D46" s="10" t="s">
        <v>30</v>
      </c>
      <c r="E46" s="10" t="s">
        <v>130</v>
      </c>
      <c r="F46" s="10" t="s">
        <v>143</v>
      </c>
      <c r="G46" s="10" t="s">
        <v>144</v>
      </c>
      <c r="H46" s="10" t="s">
        <v>20</v>
      </c>
    </row>
    <row r="47" spans="1:8" ht="33.75" x14ac:dyDescent="0.25">
      <c r="A47" s="9">
        <v>0</v>
      </c>
      <c r="B47" s="10" t="s">
        <v>145</v>
      </c>
      <c r="C47" s="10" t="s">
        <v>63</v>
      </c>
      <c r="D47" s="10" t="s">
        <v>146</v>
      </c>
      <c r="E47" s="10" t="s">
        <v>147</v>
      </c>
      <c r="F47" s="10" t="s">
        <v>148</v>
      </c>
      <c r="G47" s="10" t="s">
        <v>123</v>
      </c>
      <c r="H47" s="10" t="s">
        <v>149</v>
      </c>
    </row>
    <row r="48" spans="1:8" ht="33.75" x14ac:dyDescent="0.25">
      <c r="A48" s="6">
        <v>0</v>
      </c>
      <c r="B48" s="7" t="s">
        <v>150</v>
      </c>
      <c r="C48" s="7" t="s">
        <v>151</v>
      </c>
      <c r="D48" s="7" t="s">
        <v>152</v>
      </c>
      <c r="E48" s="7" t="s">
        <v>153</v>
      </c>
      <c r="F48" s="8"/>
      <c r="G48" s="8"/>
      <c r="H48" s="7" t="s">
        <v>154</v>
      </c>
    </row>
    <row r="49" spans="1:8" ht="33.75" x14ac:dyDescent="0.25">
      <c r="A49" s="9">
        <v>0</v>
      </c>
      <c r="B49" s="10" t="s">
        <v>155</v>
      </c>
      <c r="C49" s="10" t="s">
        <v>149</v>
      </c>
      <c r="D49" s="10" t="s">
        <v>152</v>
      </c>
      <c r="E49" s="10" t="s">
        <v>156</v>
      </c>
      <c r="F49" s="10" t="s">
        <v>157</v>
      </c>
      <c r="G49" s="10">
        <v>48</v>
      </c>
      <c r="H49" s="10" t="s">
        <v>20</v>
      </c>
    </row>
    <row r="50" spans="1:8" ht="22.5" x14ac:dyDescent="0.25">
      <c r="A50" s="9">
        <v>0</v>
      </c>
      <c r="B50" s="10" t="s">
        <v>158</v>
      </c>
      <c r="C50" s="10" t="s">
        <v>105</v>
      </c>
      <c r="D50" s="10" t="s">
        <v>159</v>
      </c>
      <c r="E50" s="10" t="s">
        <v>160</v>
      </c>
      <c r="F50" s="10">
        <v>47</v>
      </c>
      <c r="G50" s="10">
        <v>49</v>
      </c>
      <c r="H50" s="10" t="s">
        <v>20</v>
      </c>
    </row>
    <row r="51" spans="1:8" ht="33.75" x14ac:dyDescent="0.25">
      <c r="A51" s="9">
        <v>0</v>
      </c>
      <c r="B51" s="10" t="s">
        <v>161</v>
      </c>
      <c r="C51" s="10" t="s">
        <v>162</v>
      </c>
      <c r="D51" s="10" t="s">
        <v>163</v>
      </c>
      <c r="E51" s="10" t="s">
        <v>164</v>
      </c>
      <c r="F51" s="10">
        <v>48</v>
      </c>
      <c r="G51" s="10">
        <v>50</v>
      </c>
      <c r="H51" s="10" t="s">
        <v>20</v>
      </c>
    </row>
    <row r="52" spans="1:8" ht="45" x14ac:dyDescent="0.25">
      <c r="A52" s="9">
        <v>0</v>
      </c>
      <c r="B52" s="10" t="s">
        <v>165</v>
      </c>
      <c r="C52" s="10" t="s">
        <v>162</v>
      </c>
      <c r="D52" s="10" t="s">
        <v>166</v>
      </c>
      <c r="E52" s="10" t="s">
        <v>167</v>
      </c>
      <c r="F52" s="10">
        <v>49</v>
      </c>
      <c r="G52" s="10" t="s">
        <v>168</v>
      </c>
      <c r="H52" s="10" t="s">
        <v>20</v>
      </c>
    </row>
    <row r="53" spans="1:8" ht="67.5" x14ac:dyDescent="0.25">
      <c r="A53" s="9">
        <v>0</v>
      </c>
      <c r="B53" s="10" t="s">
        <v>169</v>
      </c>
      <c r="C53" s="10" t="s">
        <v>162</v>
      </c>
      <c r="D53" s="10" t="s">
        <v>166</v>
      </c>
      <c r="E53" s="10" t="s">
        <v>167</v>
      </c>
      <c r="F53" s="10" t="s">
        <v>170</v>
      </c>
      <c r="G53" s="8"/>
      <c r="H53" s="10" t="s">
        <v>171</v>
      </c>
    </row>
    <row r="54" spans="1:8" ht="123.75" x14ac:dyDescent="0.25">
      <c r="A54" s="9">
        <v>0</v>
      </c>
      <c r="B54" s="10" t="s">
        <v>172</v>
      </c>
      <c r="C54" s="10" t="s">
        <v>96</v>
      </c>
      <c r="D54" s="10" t="s">
        <v>163</v>
      </c>
      <c r="E54" s="10" t="s">
        <v>173</v>
      </c>
      <c r="F54" s="10" t="s">
        <v>174</v>
      </c>
      <c r="G54" s="10" t="s">
        <v>175</v>
      </c>
      <c r="H54" s="10" t="s">
        <v>20</v>
      </c>
    </row>
    <row r="55" spans="1:8" ht="22.5" x14ac:dyDescent="0.25">
      <c r="A55" s="9">
        <v>0</v>
      </c>
      <c r="B55" s="10" t="s">
        <v>176</v>
      </c>
      <c r="C55" s="10" t="s">
        <v>162</v>
      </c>
      <c r="D55" s="10" t="s">
        <v>177</v>
      </c>
      <c r="E55" s="10" t="s">
        <v>153</v>
      </c>
      <c r="F55" s="10">
        <v>52</v>
      </c>
      <c r="G55" s="10" t="s">
        <v>178</v>
      </c>
      <c r="H55" s="10" t="s">
        <v>20</v>
      </c>
    </row>
    <row r="56" spans="1:8" ht="33.75" x14ac:dyDescent="0.25">
      <c r="A56" s="9">
        <v>0</v>
      </c>
      <c r="B56" s="10" t="s">
        <v>179</v>
      </c>
      <c r="C56" s="10" t="s">
        <v>105</v>
      </c>
      <c r="D56" s="10" t="s">
        <v>180</v>
      </c>
      <c r="E56" s="10" t="s">
        <v>153</v>
      </c>
      <c r="F56" s="10" t="s">
        <v>181</v>
      </c>
      <c r="G56" s="10">
        <v>56</v>
      </c>
      <c r="H56" s="10" t="s">
        <v>20</v>
      </c>
    </row>
    <row r="57" spans="1:8" ht="22.5" x14ac:dyDescent="0.25">
      <c r="A57" s="6">
        <v>0</v>
      </c>
      <c r="B57" s="7" t="s">
        <v>182</v>
      </c>
      <c r="C57" s="7" t="s">
        <v>183</v>
      </c>
      <c r="D57" s="7" t="s">
        <v>184</v>
      </c>
      <c r="E57" s="7" t="s">
        <v>185</v>
      </c>
      <c r="F57" s="8"/>
      <c r="G57" s="8"/>
      <c r="H57" s="7" t="s">
        <v>13</v>
      </c>
    </row>
    <row r="58" spans="1:8" ht="45" x14ac:dyDescent="0.25">
      <c r="A58" s="9">
        <v>0</v>
      </c>
      <c r="B58" s="10" t="s">
        <v>186</v>
      </c>
      <c r="C58" s="10" t="s">
        <v>187</v>
      </c>
      <c r="D58" s="10" t="s">
        <v>184</v>
      </c>
      <c r="E58" s="10" t="s">
        <v>185</v>
      </c>
      <c r="F58" s="10" t="s">
        <v>188</v>
      </c>
      <c r="G58" s="10">
        <v>57</v>
      </c>
      <c r="H58" s="10" t="s">
        <v>20</v>
      </c>
    </row>
    <row r="59" spans="1:8" ht="22.5" x14ac:dyDescent="0.25">
      <c r="A59" s="9">
        <v>0</v>
      </c>
      <c r="B59" s="10" t="s">
        <v>189</v>
      </c>
      <c r="C59" s="10" t="s">
        <v>190</v>
      </c>
      <c r="D59" s="10" t="s">
        <v>185</v>
      </c>
      <c r="E59" s="10" t="s">
        <v>191</v>
      </c>
      <c r="F59" s="10">
        <v>56</v>
      </c>
      <c r="G59" s="10">
        <v>58</v>
      </c>
      <c r="H59" s="10" t="s">
        <v>13</v>
      </c>
    </row>
    <row r="60" spans="1:8" ht="45" x14ac:dyDescent="0.25">
      <c r="A60" s="9">
        <v>0</v>
      </c>
      <c r="B60" s="10" t="s">
        <v>192</v>
      </c>
      <c r="C60" s="10" t="s">
        <v>162</v>
      </c>
      <c r="D60" s="10" t="s">
        <v>191</v>
      </c>
      <c r="E60" s="10" t="s">
        <v>37</v>
      </c>
      <c r="F60" s="10">
        <v>57</v>
      </c>
      <c r="G60" s="10">
        <v>8</v>
      </c>
      <c r="H60" s="1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Calculations</vt:lpstr>
      <vt:lpstr>Schedule3</vt:lpstr>
      <vt:lpstr>Schedule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Tevis Gehr</dc:creator>
  <cp:lastModifiedBy>Tevis Gehr</cp:lastModifiedBy>
  <dcterms:created xsi:type="dcterms:W3CDTF">2014-07-22T14:12:10Z</dcterms:created>
  <dcterms:modified xsi:type="dcterms:W3CDTF">2014-07-22T21:02:01Z</dcterms:modified>
</cp:coreProperties>
</file>